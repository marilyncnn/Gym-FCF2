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05" windowWidth="19215" windowHeight="6285" tabRatio="500"/>
  </bookViews>
  <sheets>
    <sheet name="Admin" sheetId="2" r:id="rId1"/>
    <sheet name="Forecast" sheetId="3" r:id="rId2"/>
    <sheet name="Formulas" sheetId="5" state="hidden" r:id="rId3"/>
    <sheet name="Settings" sheetId="8" state="hidden" r:id="rId4"/>
    <sheet name="Source Data" sheetId="6" state="hidden" r:id="rId5"/>
  </sheets>
  <functionGroups builtInGroupCount="17"/>
  <definedNames>
    <definedName name="_xlnm._FilterDatabase" localSheetId="0" hidden="1">Admin!$F$10:$F$11</definedName>
    <definedName name="_xlnm._FilterDatabase" localSheetId="3" hidden="1">Settings!$Q$2:$AC$298</definedName>
    <definedName name="_xlnm._FilterDatabase" localSheetId="4" hidden="1">'Source Data'!$A$5:$AD$5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OFFSET(tblForecast,-5,,1)</definedName>
    <definedName name="Display">Forecast!$A$11</definedName>
    <definedName name="Environ">Settings!$C$13</definedName>
    <definedName name="ExportData">Forecast!$C$11:$C$111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Total">Forecast!$N$1</definedName>
    <definedName name="ForecastVer">Admin!$B$14</definedName>
    <definedName name="Formulas">Formulas!$A$11:$DC$113</definedName>
    <definedName name="Host">Settings!$C$14</definedName>
    <definedName name="ListBrand">Settings!$A$2:$A$5</definedName>
    <definedName name="ListChannel">Settings!$C$2:$C$4</definedName>
    <definedName name="ListSeason">Settings!$G$2:$G$11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Data'!$A$6:$AD$109</definedName>
    <definedName name="tblLYFC">Settings!$Q$2:$W$294</definedName>
  </definedNames>
  <calcPr calcId="145621"/>
</workbook>
</file>

<file path=xl/calcChain.xml><?xml version="1.0" encoding="utf-8"?>
<calcChain xmlns="http://schemas.openxmlformats.org/spreadsheetml/2006/main">
  <c r="DC111" i="3" l="1"/>
  <c r="DB111" i="3"/>
  <c r="DC110" i="3"/>
  <c r="DB110" i="3"/>
  <c r="DC109" i="3"/>
  <c r="DB109" i="3"/>
  <c r="C109" i="3"/>
  <c r="DC108" i="3"/>
  <c r="DB108" i="3"/>
  <c r="CZ108" i="3"/>
  <c r="DA108" i="3" s="1"/>
  <c r="DC106" i="3"/>
  <c r="DB106" i="3"/>
  <c r="DC105" i="3"/>
  <c r="DB105" i="3"/>
  <c r="DC104" i="3"/>
  <c r="DB104" i="3"/>
  <c r="C104" i="3"/>
  <c r="DC103" i="3"/>
  <c r="DB103" i="3"/>
  <c r="DA103" i="3" s="1"/>
  <c r="CZ103" i="3"/>
  <c r="C103" i="3"/>
  <c r="DC102" i="3"/>
  <c r="DB102" i="3"/>
  <c r="CZ102" i="3"/>
  <c r="DC100" i="3"/>
  <c r="DB100" i="3"/>
  <c r="CZ100" i="3"/>
  <c r="DC99" i="3"/>
  <c r="DB99" i="3"/>
  <c r="CZ99" i="3"/>
  <c r="DA99" i="3" s="1"/>
  <c r="DC98" i="3"/>
  <c r="DB98" i="3"/>
  <c r="CZ98" i="3"/>
  <c r="DC97" i="3"/>
  <c r="DB97" i="3"/>
  <c r="DA97" i="3" s="1"/>
  <c r="CZ97" i="3"/>
  <c r="DC94" i="3"/>
  <c r="DB94" i="3"/>
  <c r="CZ94" i="3"/>
  <c r="DC93" i="3"/>
  <c r="DB93" i="3"/>
  <c r="CZ93" i="3"/>
  <c r="DC92" i="3"/>
  <c r="DB92" i="3"/>
  <c r="CZ92" i="3"/>
  <c r="DA92" i="3" s="1"/>
  <c r="DC91" i="3"/>
  <c r="DB91" i="3"/>
  <c r="CZ91" i="3"/>
  <c r="DC89" i="3"/>
  <c r="DB89" i="3"/>
  <c r="CZ89" i="3"/>
  <c r="DC88" i="3"/>
  <c r="DB88" i="3"/>
  <c r="DA88" i="3" s="1"/>
  <c r="CZ88" i="3"/>
  <c r="DC87" i="3"/>
  <c r="DB87" i="3"/>
  <c r="CZ87" i="3"/>
  <c r="DC86" i="3"/>
  <c r="DB86" i="3"/>
  <c r="DA86" i="3" s="1"/>
  <c r="CZ86" i="3"/>
  <c r="DC85" i="3"/>
  <c r="DB85" i="3"/>
  <c r="CZ85" i="3"/>
  <c r="DC83" i="3"/>
  <c r="DB83" i="3"/>
  <c r="CZ83" i="3"/>
  <c r="DC82" i="3"/>
  <c r="DB82" i="3"/>
  <c r="CZ82" i="3"/>
  <c r="DA82" i="3" s="1"/>
  <c r="DC81" i="3"/>
  <c r="DB81" i="3"/>
  <c r="CZ81" i="3"/>
  <c r="DC80" i="3"/>
  <c r="DB80" i="3"/>
  <c r="DA80" i="3" s="1"/>
  <c r="CZ80" i="3"/>
  <c r="DC76" i="3"/>
  <c r="DB76" i="3"/>
  <c r="DA76" i="3" s="1"/>
  <c r="CZ76" i="3"/>
  <c r="DC75" i="3"/>
  <c r="DB75" i="3"/>
  <c r="CZ75" i="3"/>
  <c r="DC74" i="3"/>
  <c r="DB74" i="3"/>
  <c r="CZ74" i="3"/>
  <c r="DC73" i="3"/>
  <c r="DB73" i="3"/>
  <c r="CZ73" i="3"/>
  <c r="DC71" i="3"/>
  <c r="DB71" i="3"/>
  <c r="CZ71" i="3"/>
  <c r="DC70" i="3"/>
  <c r="DB70" i="3"/>
  <c r="DA70" i="3" s="1"/>
  <c r="CZ70" i="3"/>
  <c r="DC69" i="3"/>
  <c r="DB69" i="3"/>
  <c r="CZ69" i="3"/>
  <c r="DA69" i="3" s="1"/>
  <c r="DC68" i="3"/>
  <c r="DB68" i="3"/>
  <c r="CZ68" i="3"/>
  <c r="DC67" i="3"/>
  <c r="DB67" i="3"/>
  <c r="DA67" i="3" s="1"/>
  <c r="CZ67" i="3"/>
  <c r="DC65" i="3"/>
  <c r="DB65" i="3"/>
  <c r="CZ65" i="3"/>
  <c r="DC64" i="3"/>
  <c r="DB64" i="3"/>
  <c r="CZ64" i="3"/>
  <c r="DA64" i="3" s="1"/>
  <c r="DC63" i="3"/>
  <c r="DB63" i="3"/>
  <c r="CZ63" i="3"/>
  <c r="DC62" i="3"/>
  <c r="DB62" i="3"/>
  <c r="DA62" i="3" s="1"/>
  <c r="CZ62" i="3"/>
  <c r="DC59" i="3"/>
  <c r="DB59" i="3"/>
  <c r="DA59" i="3" s="1"/>
  <c r="CZ59" i="3"/>
  <c r="DC58" i="3"/>
  <c r="DB58" i="3"/>
  <c r="CZ58" i="3"/>
  <c r="DA58" i="3" s="1"/>
  <c r="DC57" i="3"/>
  <c r="DB57" i="3"/>
  <c r="CZ57" i="3"/>
  <c r="DC56" i="3"/>
  <c r="DB56" i="3"/>
  <c r="CZ56" i="3"/>
  <c r="DA56" i="3" s="1"/>
  <c r="DC54" i="3"/>
  <c r="DB54" i="3"/>
  <c r="CZ54" i="3"/>
  <c r="DA54" i="3" s="1"/>
  <c r="DC53" i="3"/>
  <c r="DB53" i="3"/>
  <c r="DA53" i="3" s="1"/>
  <c r="CZ53" i="3"/>
  <c r="DC52" i="3"/>
  <c r="DB52" i="3"/>
  <c r="DA52" i="3" s="1"/>
  <c r="CZ52" i="3"/>
  <c r="DC51" i="3"/>
  <c r="DB51" i="3"/>
  <c r="CZ51" i="3"/>
  <c r="DC50" i="3"/>
  <c r="DB50" i="3"/>
  <c r="CZ50" i="3"/>
  <c r="DA50" i="3" s="1"/>
  <c r="DC48" i="3"/>
  <c r="DB48" i="3"/>
  <c r="CZ48" i="3"/>
  <c r="DC47" i="3"/>
  <c r="DB47" i="3"/>
  <c r="CZ47" i="3"/>
  <c r="CJ47" i="3"/>
  <c r="CI47" i="3"/>
  <c r="CB47" i="3"/>
  <c r="CA47" i="3"/>
  <c r="BT47" i="3"/>
  <c r="BL47" i="3"/>
  <c r="AM47" i="3"/>
  <c r="DC46" i="3"/>
  <c r="DB46" i="3"/>
  <c r="CZ46" i="3"/>
  <c r="DA46" i="3" s="1"/>
  <c r="CI46" i="3"/>
  <c r="CD46" i="3"/>
  <c r="CA46" i="3"/>
  <c r="BV46" i="3"/>
  <c r="BN46" i="3"/>
  <c r="BF46" i="3"/>
  <c r="AM46" i="3"/>
  <c r="AH46" i="3"/>
  <c r="DC45" i="3"/>
  <c r="DB45" i="3"/>
  <c r="CZ45" i="3"/>
  <c r="CC45" i="3"/>
  <c r="Q45" i="3"/>
  <c r="DC42" i="3"/>
  <c r="DB42" i="3"/>
  <c r="CZ42" i="3"/>
  <c r="DA42" i="3" s="1"/>
  <c r="CA42" i="3"/>
  <c r="AU42" i="3"/>
  <c r="DC41" i="3"/>
  <c r="DB41" i="3"/>
  <c r="DA41" i="3" s="1"/>
  <c r="CZ41" i="3"/>
  <c r="BU41" i="3"/>
  <c r="AO41" i="3"/>
  <c r="I41" i="3"/>
  <c r="DC40" i="3"/>
  <c r="DB40" i="3"/>
  <c r="CZ40" i="3"/>
  <c r="CW40" i="3"/>
  <c r="BP40" i="3"/>
  <c r="AJ40" i="3"/>
  <c r="DC39" i="3"/>
  <c r="DB39" i="3"/>
  <c r="CZ39" i="3"/>
  <c r="DC37" i="3"/>
  <c r="DB37" i="3"/>
  <c r="CZ37" i="3"/>
  <c r="CL37" i="3"/>
  <c r="BF37" i="3"/>
  <c r="BF38" i="3" s="1"/>
  <c r="DC36" i="3"/>
  <c r="DB36" i="3"/>
  <c r="CZ36" i="3"/>
  <c r="DA36" i="3" s="1"/>
  <c r="DC35" i="3"/>
  <c r="DB35" i="3"/>
  <c r="CZ35" i="3"/>
  <c r="DA35" i="3" s="1"/>
  <c r="BL35" i="3"/>
  <c r="DC34" i="3"/>
  <c r="DB34" i="3"/>
  <c r="CZ34" i="3"/>
  <c r="DA34" i="3" s="1"/>
  <c r="CL34" i="3"/>
  <c r="BF34" i="3"/>
  <c r="DC33" i="3"/>
  <c r="DB33" i="3"/>
  <c r="CZ33" i="3"/>
  <c r="CD33" i="3"/>
  <c r="R33" i="3"/>
  <c r="DC31" i="3"/>
  <c r="DB31" i="3"/>
  <c r="DA31" i="3" s="1"/>
  <c r="CZ31" i="3"/>
  <c r="CJ31" i="3"/>
  <c r="DC30" i="3"/>
  <c r="DB30" i="3"/>
  <c r="CZ30" i="3"/>
  <c r="CD30" i="3"/>
  <c r="R30" i="3"/>
  <c r="DC29" i="3"/>
  <c r="DB29" i="3"/>
  <c r="CZ29" i="3"/>
  <c r="BV29" i="3"/>
  <c r="AP29" i="3"/>
  <c r="J29" i="3"/>
  <c r="DC28" i="3"/>
  <c r="DB28" i="3"/>
  <c r="CZ28" i="3"/>
  <c r="DC25" i="3"/>
  <c r="DB25" i="3"/>
  <c r="CZ25" i="3"/>
  <c r="DC24" i="3"/>
  <c r="DB24" i="3"/>
  <c r="CZ24" i="3"/>
  <c r="DA24" i="3" s="1"/>
  <c r="BT24" i="3"/>
  <c r="AN24" i="3"/>
  <c r="H24" i="3"/>
  <c r="F24" i="3" s="1"/>
  <c r="DC23" i="3"/>
  <c r="DB23" i="3"/>
  <c r="CZ23" i="3"/>
  <c r="BW23" i="3"/>
  <c r="K23" i="3"/>
  <c r="DC22" i="3"/>
  <c r="DB22" i="3"/>
  <c r="CZ22" i="3"/>
  <c r="DA22" i="3" s="1"/>
  <c r="CU22" i="3"/>
  <c r="AI22" i="3"/>
  <c r="DC20" i="3"/>
  <c r="DB20" i="3"/>
  <c r="DA20" i="3"/>
  <c r="CZ20" i="3"/>
  <c r="BU20" i="3"/>
  <c r="AO20" i="3"/>
  <c r="I20" i="3"/>
  <c r="DC19" i="3"/>
  <c r="DB19" i="3"/>
  <c r="CZ19" i="3"/>
  <c r="DA19" i="3" s="1"/>
  <c r="CW19" i="3"/>
  <c r="BP19" i="3"/>
  <c r="AJ19" i="3"/>
  <c r="DC18" i="3"/>
  <c r="DB18" i="3"/>
  <c r="CZ18" i="3"/>
  <c r="DC17" i="3"/>
  <c r="DB17" i="3"/>
  <c r="CZ17" i="3"/>
  <c r="DC16" i="3"/>
  <c r="DB16" i="3"/>
  <c r="CZ16" i="3"/>
  <c r="DA16" i="3" s="1"/>
  <c r="BU16" i="3"/>
  <c r="DC14" i="3"/>
  <c r="DB14" i="3"/>
  <c r="CZ14" i="3"/>
  <c r="CC14" i="3"/>
  <c r="Q14" i="3"/>
  <c r="DC13" i="3"/>
  <c r="DB13" i="3"/>
  <c r="CZ13" i="3"/>
  <c r="DA13" i="3" s="1"/>
  <c r="CW13" i="3"/>
  <c r="BP13" i="3"/>
  <c r="AJ13" i="3"/>
  <c r="DC12" i="3"/>
  <c r="DB12" i="3"/>
  <c r="CZ12" i="3"/>
  <c r="CU12" i="3"/>
  <c r="CE12" i="3"/>
  <c r="AI12" i="3"/>
  <c r="S12" i="3"/>
  <c r="DC11" i="3"/>
  <c r="DB11" i="3"/>
  <c r="CZ11" i="3"/>
  <c r="DA11" i="3" s="1"/>
  <c r="CD11" i="3"/>
  <c r="BN11" i="3"/>
  <c r="AH11" i="3"/>
  <c r="AS11" i="3"/>
  <c r="DA12" i="3" l="1"/>
  <c r="DA23" i="3"/>
  <c r="DA57" i="3"/>
  <c r="DA68" i="3"/>
  <c r="DA85" i="3"/>
  <c r="DA91" i="3"/>
  <c r="DA17" i="3"/>
  <c r="DA74" i="3"/>
  <c r="DA93" i="3"/>
  <c r="DA25" i="3"/>
  <c r="DA33" i="3"/>
  <c r="DA40" i="3"/>
  <c r="DA45" i="3"/>
  <c r="DA47" i="3"/>
  <c r="DA48" i="3"/>
  <c r="DA63" i="3"/>
  <c r="DA73" i="3"/>
  <c r="DA81" i="3"/>
  <c r="DA89" i="3"/>
  <c r="DA102" i="3"/>
  <c r="DA14" i="3"/>
  <c r="DA28" i="3"/>
  <c r="DA37" i="3"/>
  <c r="DA18" i="3"/>
  <c r="DA29" i="3"/>
  <c r="DA30" i="3"/>
  <c r="DA39" i="3"/>
  <c r="DA51" i="3"/>
  <c r="DA65" i="3"/>
  <c r="DA87" i="3"/>
  <c r="DA100" i="3"/>
  <c r="AW46" i="3"/>
  <c r="AG29" i="3"/>
  <c r="W31" i="3"/>
  <c r="W32" i="3" s="1"/>
  <c r="W34" i="3"/>
  <c r="BH45" i="3"/>
  <c r="V46" i="3"/>
  <c r="G12" i="3"/>
  <c r="BC12" i="3"/>
  <c r="CI12" i="3"/>
  <c r="H13" i="3"/>
  <c r="F13" i="3" s="1"/>
  <c r="BT13" i="3"/>
  <c r="AI16" i="3"/>
  <c r="AT18" i="3"/>
  <c r="Q20" i="3"/>
  <c r="R29" i="3"/>
  <c r="BF30" i="3"/>
  <c r="CL30" i="3"/>
  <c r="BL31" i="3"/>
  <c r="BF33" i="3"/>
  <c r="CL33" i="3"/>
  <c r="AH34" i="3"/>
  <c r="BN34" i="3"/>
  <c r="H35" i="3"/>
  <c r="F35" i="3" s="1"/>
  <c r="AN35" i="3"/>
  <c r="BT35" i="3"/>
  <c r="AH37" i="3"/>
  <c r="BN37" i="3"/>
  <c r="G39" i="3"/>
  <c r="AM39" i="3"/>
  <c r="AR40" i="3"/>
  <c r="BX40" i="3"/>
  <c r="Q41" i="3"/>
  <c r="CC41" i="3"/>
  <c r="BC42" i="3"/>
  <c r="BC43" i="3" s="1"/>
  <c r="BC44" i="3" s="1"/>
  <c r="CI42" i="3"/>
  <c r="CK45" i="3"/>
  <c r="G11" i="3"/>
  <c r="AP11" i="3"/>
  <c r="BF11" i="3"/>
  <c r="BV11" i="3"/>
  <c r="CL11" i="3"/>
  <c r="K12" i="3"/>
  <c r="BW12" i="3"/>
  <c r="AR13" i="3"/>
  <c r="BX13" i="3"/>
  <c r="I14" i="3"/>
  <c r="AO14" i="3"/>
  <c r="BU14" i="3"/>
  <c r="CK14" i="3"/>
  <c r="G16" i="3"/>
  <c r="AM16" i="3"/>
  <c r="BF16" i="3"/>
  <c r="CK16" i="3"/>
  <c r="CH17" i="3"/>
  <c r="CH18" i="3"/>
  <c r="CK20" i="3"/>
  <c r="S22" i="3"/>
  <c r="CE22" i="3"/>
  <c r="CJ24" i="3"/>
  <c r="BF29" i="3"/>
  <c r="CL29" i="3"/>
  <c r="AH30" i="3"/>
  <c r="BN30" i="3"/>
  <c r="H31" i="3"/>
  <c r="F31" i="3" s="1"/>
  <c r="AN31" i="3"/>
  <c r="BT31" i="3"/>
  <c r="AH33" i="3"/>
  <c r="BN33" i="3"/>
  <c r="J34" i="3"/>
  <c r="AP34" i="3"/>
  <c r="BV34" i="3"/>
  <c r="CB35" i="3"/>
  <c r="AS36" i="3"/>
  <c r="J37" i="3"/>
  <c r="AP37" i="3"/>
  <c r="BV37" i="3"/>
  <c r="AU39" i="3"/>
  <c r="CA39" i="3"/>
  <c r="CK41" i="3"/>
  <c r="V16" i="3"/>
  <c r="BH14" i="3"/>
  <c r="AF20" i="3"/>
  <c r="AE24" i="3"/>
  <c r="AF41" i="3"/>
  <c r="CU80" i="3"/>
  <c r="BN74" i="3"/>
  <c r="K73" i="3"/>
  <c r="CU71" i="3"/>
  <c r="BN70" i="3"/>
  <c r="CA69" i="3"/>
  <c r="AU69" i="3"/>
  <c r="CA68" i="3"/>
  <c r="AU68" i="3"/>
  <c r="CW65" i="3"/>
  <c r="BP65" i="3"/>
  <c r="AJ65" i="3"/>
  <c r="CK62" i="3"/>
  <c r="AO62" i="3"/>
  <c r="CL59" i="3"/>
  <c r="BF59" i="3"/>
  <c r="BF60" i="3" s="1"/>
  <c r="BF61" i="3" s="1"/>
  <c r="AP59" i="3"/>
  <c r="CB58" i="3"/>
  <c r="CE57" i="3"/>
  <c r="BT57" i="3"/>
  <c r="S57" i="3"/>
  <c r="I57" i="3"/>
  <c r="CK53" i="3"/>
  <c r="AM50" i="3"/>
  <c r="CL46" i="3"/>
  <c r="AP46" i="3"/>
  <c r="AQ46" i="3" s="1"/>
  <c r="J46" i="3"/>
  <c r="CL45" i="3"/>
  <c r="CD45" i="3"/>
  <c r="BV45" i="3"/>
  <c r="BN45" i="3"/>
  <c r="BF45" i="3"/>
  <c r="AP45" i="3"/>
  <c r="AH45" i="3"/>
  <c r="R45" i="3"/>
  <c r="J45" i="3"/>
  <c r="CL42" i="3"/>
  <c r="CD42" i="3"/>
  <c r="BV42" i="3"/>
  <c r="BN42" i="3"/>
  <c r="BF42" i="3"/>
  <c r="BF43" i="3" s="1"/>
  <c r="BF44" i="3" s="1"/>
  <c r="AP42" i="3"/>
  <c r="AH42" i="3"/>
  <c r="J42" i="3"/>
  <c r="CL41" i="3"/>
  <c r="CD41" i="3"/>
  <c r="BV41" i="3"/>
  <c r="BN41" i="3"/>
  <c r="BF41" i="3"/>
  <c r="AP41" i="3"/>
  <c r="AH41" i="3"/>
  <c r="R41" i="3"/>
  <c r="J41" i="3"/>
  <c r="AS40" i="3"/>
  <c r="CJ39" i="3"/>
  <c r="CB39" i="3"/>
  <c r="BL39" i="3"/>
  <c r="AN39" i="3"/>
  <c r="AS37" i="3"/>
  <c r="CJ36" i="3"/>
  <c r="CB36" i="3"/>
  <c r="BT36" i="3"/>
  <c r="BL36" i="3"/>
  <c r="AN36" i="3"/>
  <c r="H36" i="3"/>
  <c r="F36" i="3" s="1"/>
  <c r="CU35" i="3"/>
  <c r="CE35" i="3"/>
  <c r="BW35" i="3"/>
  <c r="AI35" i="3"/>
  <c r="S35" i="3"/>
  <c r="K35" i="3"/>
  <c r="CU34" i="3"/>
  <c r="CE34" i="3"/>
  <c r="BW34" i="3"/>
  <c r="AI34" i="3"/>
  <c r="S34" i="3"/>
  <c r="K34" i="3"/>
  <c r="BW31" i="3"/>
  <c r="K31" i="3"/>
  <c r="CU30" i="3"/>
  <c r="CE30" i="3"/>
  <c r="BW30" i="3"/>
  <c r="AI30" i="3"/>
  <c r="S30" i="3"/>
  <c r="K30" i="3"/>
  <c r="CH25" i="3"/>
  <c r="AT25" i="3"/>
  <c r="CC24" i="3"/>
  <c r="I24" i="3"/>
  <c r="BX23" i="3"/>
  <c r="BP23" i="3"/>
  <c r="AJ23" i="3"/>
  <c r="AT22" i="3"/>
  <c r="CA18" i="3"/>
  <c r="AU18" i="3"/>
  <c r="CC17" i="3"/>
  <c r="AO17" i="3"/>
  <c r="Q17" i="3"/>
  <c r="CL14" i="3"/>
  <c r="CH14" i="3"/>
  <c r="CD14" i="3"/>
  <c r="BV14" i="3"/>
  <c r="BN14" i="3"/>
  <c r="BF14" i="3"/>
  <c r="BF15" i="3" s="1"/>
  <c r="AT14" i="3"/>
  <c r="AP14" i="3"/>
  <c r="AH14" i="3"/>
  <c r="R14" i="3"/>
  <c r="J14" i="3"/>
  <c r="CJ12" i="3"/>
  <c r="CB12" i="3"/>
  <c r="BX12" i="3"/>
  <c r="CO12" i="3" s="1"/>
  <c r="BP12" i="3"/>
  <c r="AN12" i="3"/>
  <c r="CU11" i="3"/>
  <c r="BW11" i="3"/>
  <c r="AU11" i="3"/>
  <c r="H11" i="3"/>
  <c r="F11" i="3" s="1"/>
  <c r="CB89" i="3"/>
  <c r="BX76" i="3"/>
  <c r="CU75" i="3"/>
  <c r="CK73" i="3"/>
  <c r="BP73" i="3"/>
  <c r="AU73" i="3"/>
  <c r="CL71" i="3"/>
  <c r="AU71" i="3"/>
  <c r="BX69" i="3"/>
  <c r="AT68" i="3"/>
  <c r="AT67" i="3"/>
  <c r="CA65" i="3"/>
  <c r="AU65" i="3"/>
  <c r="CA64" i="3"/>
  <c r="AU64" i="3"/>
  <c r="CW62" i="3"/>
  <c r="BU59" i="3"/>
  <c r="AO59" i="3"/>
  <c r="BX58" i="3"/>
  <c r="BC58" i="3"/>
  <c r="CA57" i="3"/>
  <c r="BF57" i="3"/>
  <c r="AJ57" i="3"/>
  <c r="CK56" i="3"/>
  <c r="BU56" i="3"/>
  <c r="AO56" i="3"/>
  <c r="I56" i="3"/>
  <c r="CH53" i="3"/>
  <c r="AT53" i="3"/>
  <c r="CK52" i="3"/>
  <c r="CW51" i="3"/>
  <c r="BX51" i="3"/>
  <c r="BP51" i="3"/>
  <c r="AT50" i="3"/>
  <c r="CW48" i="3"/>
  <c r="BX48" i="3"/>
  <c r="BP48" i="3"/>
  <c r="AR48" i="3"/>
  <c r="AJ48" i="3"/>
  <c r="BC47" i="3"/>
  <c r="AU47" i="3"/>
  <c r="G47" i="3"/>
  <c r="BC46" i="3"/>
  <c r="G46" i="3"/>
  <c r="CU102" i="3"/>
  <c r="CK100" i="3"/>
  <c r="CI92" i="3"/>
  <c r="AU91" i="3"/>
  <c r="BC89" i="3"/>
  <c r="BC90" i="3" s="1"/>
  <c r="BP88" i="3"/>
  <c r="I86" i="3"/>
  <c r="BC85" i="3"/>
  <c r="I82" i="3"/>
  <c r="CU76" i="3"/>
  <c r="AP75" i="3"/>
  <c r="BW73" i="3"/>
  <c r="CH64" i="3"/>
  <c r="CH63" i="3"/>
  <c r="BU62" i="3"/>
  <c r="I62" i="3"/>
  <c r="BX56" i="3"/>
  <c r="BP56" i="3"/>
  <c r="AJ56" i="3"/>
  <c r="CI54" i="3"/>
  <c r="CA54" i="3"/>
  <c r="BC54" i="3"/>
  <c r="BC55" i="3" s="1"/>
  <c r="AU54" i="3"/>
  <c r="G54" i="3"/>
  <c r="BU53" i="3"/>
  <c r="AO53" i="3"/>
  <c r="I53" i="3"/>
  <c r="CW52" i="3"/>
  <c r="BX52" i="3"/>
  <c r="BP52" i="3"/>
  <c r="AJ52" i="3"/>
  <c r="CI51" i="3"/>
  <c r="CA51" i="3"/>
  <c r="BC51" i="3"/>
  <c r="AU51" i="3"/>
  <c r="AM51" i="3"/>
  <c r="G51" i="3"/>
  <c r="CI50" i="3"/>
  <c r="CA50" i="3"/>
  <c r="BC50" i="3"/>
  <c r="AU50" i="3"/>
  <c r="G50" i="3"/>
  <c r="H47" i="3"/>
  <c r="F47" i="3" s="1"/>
  <c r="BT39" i="3"/>
  <c r="H39" i="3"/>
  <c r="F39" i="3" s="1"/>
  <c r="AS33" i="3"/>
  <c r="CU31" i="3"/>
  <c r="CE31" i="3"/>
  <c r="AI31" i="3"/>
  <c r="S31" i="3"/>
  <c r="AS29" i="3"/>
  <c r="CJ28" i="3"/>
  <c r="CB28" i="3"/>
  <c r="BT28" i="3"/>
  <c r="BL28" i="3"/>
  <c r="AN28" i="3"/>
  <c r="H28" i="3"/>
  <c r="F28" i="3" s="1"/>
  <c r="CK24" i="3"/>
  <c r="BU24" i="3"/>
  <c r="AO24" i="3"/>
  <c r="Q24" i="3"/>
  <c r="CW23" i="3"/>
  <c r="AR23" i="3"/>
  <c r="CH22" i="3"/>
  <c r="CW20" i="3"/>
  <c r="BX20" i="3"/>
  <c r="BP20" i="3"/>
  <c r="AR20" i="3"/>
  <c r="AJ20" i="3"/>
  <c r="AY20" i="3" s="1"/>
  <c r="CI19" i="3"/>
  <c r="CA19" i="3"/>
  <c r="BC19" i="3"/>
  <c r="AU19" i="3"/>
  <c r="AM19" i="3"/>
  <c r="G19" i="3"/>
  <c r="CI18" i="3"/>
  <c r="BC18" i="3"/>
  <c r="AM18" i="3"/>
  <c r="G18" i="3"/>
  <c r="CK17" i="3"/>
  <c r="BU17" i="3"/>
  <c r="I17" i="3"/>
  <c r="CW16" i="3"/>
  <c r="BX16" i="3"/>
  <c r="BP16" i="3"/>
  <c r="AR16" i="3"/>
  <c r="AN16" i="3"/>
  <c r="AJ16" i="3"/>
  <c r="H16" i="3"/>
  <c r="F16" i="3" s="1"/>
  <c r="CK13" i="3"/>
  <c r="CC13" i="3"/>
  <c r="BU13" i="3"/>
  <c r="AS13" i="3"/>
  <c r="AO13" i="3"/>
  <c r="Q13" i="3"/>
  <c r="I13" i="3"/>
  <c r="CW12" i="3"/>
  <c r="BT12" i="3"/>
  <c r="BL12" i="3"/>
  <c r="AR12" i="3"/>
  <c r="AJ12" i="3"/>
  <c r="H12" i="3"/>
  <c r="F12" i="3" s="1"/>
  <c r="CI11" i="3"/>
  <c r="CE11" i="3"/>
  <c r="CA11" i="3"/>
  <c r="BC11" i="3"/>
  <c r="AM11" i="3"/>
  <c r="AI11" i="3"/>
  <c r="AT99" i="3"/>
  <c r="AS97" i="3"/>
  <c r="AU92" i="3"/>
  <c r="H88" i="3"/>
  <c r="F88" i="3" s="1"/>
  <c r="CU84" i="3"/>
  <c r="CD82" i="3"/>
  <c r="J80" i="3"/>
  <c r="BC76" i="3"/>
  <c r="BC77" i="3" s="1"/>
  <c r="BC78" i="3" s="1"/>
  <c r="BC79" i="3" s="1"/>
  <c r="CH74" i="3"/>
  <c r="BP62" i="3"/>
  <c r="AJ62" i="3"/>
  <c r="CK59" i="3"/>
  <c r="CI58" i="3"/>
  <c r="CL57" i="3"/>
  <c r="BP57" i="3"/>
  <c r="AU57" i="3"/>
  <c r="CH54" i="3"/>
  <c r="AT54" i="3"/>
  <c r="BU52" i="3"/>
  <c r="AO52" i="3"/>
  <c r="I52" i="3"/>
  <c r="AJ51" i="3"/>
  <c r="CH50" i="3"/>
  <c r="AU46" i="3"/>
  <c r="S11" i="3"/>
  <c r="CH11" i="3"/>
  <c r="AM12" i="3"/>
  <c r="AN13" i="3"/>
  <c r="CJ13" i="3"/>
  <c r="S16" i="3"/>
  <c r="CC16" i="3"/>
  <c r="AT17" i="3"/>
  <c r="AR19" i="3"/>
  <c r="BX19" i="3"/>
  <c r="CC20" i="3"/>
  <c r="K22" i="3"/>
  <c r="BW22" i="3"/>
  <c r="S23" i="3"/>
  <c r="CE23" i="3"/>
  <c r="CB24" i="3"/>
  <c r="AS25" i="3"/>
  <c r="AS28" i="3"/>
  <c r="CD29" i="3"/>
  <c r="K11" i="3"/>
  <c r="AT11" i="3"/>
  <c r="AU12" i="3"/>
  <c r="CA12" i="3"/>
  <c r="BL13" i="3"/>
  <c r="CB13" i="3"/>
  <c r="AS14" i="3"/>
  <c r="K16" i="3"/>
  <c r="AI23" i="3"/>
  <c r="CU23" i="3"/>
  <c r="BL24" i="3"/>
  <c r="AH29" i="3"/>
  <c r="BN29" i="3"/>
  <c r="J30" i="3"/>
  <c r="AP30" i="3"/>
  <c r="BV30" i="3"/>
  <c r="CB31" i="3"/>
  <c r="J33" i="3"/>
  <c r="AP33" i="3"/>
  <c r="BV33" i="3"/>
  <c r="R34" i="3"/>
  <c r="CD34" i="3"/>
  <c r="CJ35" i="3"/>
  <c r="R37" i="3"/>
  <c r="CD37" i="3"/>
  <c r="BC39" i="3"/>
  <c r="CI39" i="3"/>
  <c r="G42" i="3"/>
  <c r="AM42" i="3"/>
  <c r="I45" i="3"/>
  <c r="AO45" i="3"/>
  <c r="BU45" i="3"/>
  <c r="CU112" i="3"/>
  <c r="K112" i="3"/>
  <c r="CU113" i="3"/>
  <c r="CL108" i="3"/>
  <c r="CH108" i="3"/>
  <c r="CJ108" i="3" s="1"/>
  <c r="CD108" i="3"/>
  <c r="BN108" i="3"/>
  <c r="BF108" i="3"/>
  <c r="AT108" i="3"/>
  <c r="AP108" i="3"/>
  <c r="R108" i="3"/>
  <c r="J108" i="3"/>
  <c r="CK108" i="3"/>
  <c r="BU108" i="3"/>
  <c r="AS108" i="3"/>
  <c r="AO108" i="3"/>
  <c r="I108" i="3"/>
  <c r="CB109" i="3"/>
  <c r="CB108" i="3"/>
  <c r="BT108" i="3"/>
  <c r="BL108" i="3"/>
  <c r="AN108" i="3"/>
  <c r="H108" i="3"/>
  <c r="F108" i="3" s="1"/>
  <c r="CU107" i="3"/>
  <c r="CL102" i="3"/>
  <c r="CH102" i="3"/>
  <c r="CD102" i="3"/>
  <c r="BN102" i="3"/>
  <c r="BF102" i="3"/>
  <c r="AT102" i="3"/>
  <c r="AP102" i="3"/>
  <c r="R102" i="3"/>
  <c r="J102" i="3"/>
  <c r="CW100" i="3"/>
  <c r="CI108" i="3"/>
  <c r="CA108" i="3"/>
  <c r="CC108" i="3" s="1"/>
  <c r="BC108" i="3"/>
  <c r="AU108" i="3"/>
  <c r="G108" i="3"/>
  <c r="CK102" i="3"/>
  <c r="BU102" i="3"/>
  <c r="AS102" i="3"/>
  <c r="AO102" i="3"/>
  <c r="I102" i="3"/>
  <c r="CU100" i="3"/>
  <c r="BP108" i="3"/>
  <c r="AJ108" i="3"/>
  <c r="CB102" i="3"/>
  <c r="BT102" i="3"/>
  <c r="BL102" i="3"/>
  <c r="AN102" i="3"/>
  <c r="H102" i="3"/>
  <c r="F102" i="3" s="1"/>
  <c r="CU101" i="3"/>
  <c r="CI100" i="3"/>
  <c r="CD100" i="3"/>
  <c r="BN100" i="3"/>
  <c r="BF100" i="3"/>
  <c r="BF101" i="3" s="1"/>
  <c r="AT100" i="3"/>
  <c r="AP100" i="3"/>
  <c r="R100" i="3"/>
  <c r="J100" i="3"/>
  <c r="CK99" i="3"/>
  <c r="BU99" i="3"/>
  <c r="AS99" i="3"/>
  <c r="AO99" i="3"/>
  <c r="I99" i="3"/>
  <c r="CW98" i="3"/>
  <c r="CB98" i="3"/>
  <c r="BX98" i="3"/>
  <c r="BT98" i="3"/>
  <c r="BP98" i="3"/>
  <c r="BL98" i="3"/>
  <c r="AN98" i="3"/>
  <c r="AJ98" i="3"/>
  <c r="H98" i="3"/>
  <c r="F98" i="3" s="1"/>
  <c r="CU97" i="3"/>
  <c r="CI97" i="3"/>
  <c r="CE97" i="3"/>
  <c r="CA97" i="3"/>
  <c r="BW97" i="3"/>
  <c r="BC97" i="3"/>
  <c r="AU97" i="3"/>
  <c r="AI97" i="3"/>
  <c r="S97" i="3"/>
  <c r="K97" i="3"/>
  <c r="G97" i="3"/>
  <c r="CB94" i="3"/>
  <c r="BX94" i="3"/>
  <c r="BT94" i="3"/>
  <c r="BP94" i="3"/>
  <c r="BL94" i="3"/>
  <c r="AJ94" i="3"/>
  <c r="H94" i="3"/>
  <c r="F94" i="3" s="1"/>
  <c r="CU93" i="3"/>
  <c r="CI93" i="3"/>
  <c r="CE93" i="3"/>
  <c r="CA93" i="3"/>
  <c r="BW93" i="3"/>
  <c r="BC93" i="3"/>
  <c r="AU93" i="3"/>
  <c r="S93" i="3"/>
  <c r="K93" i="3"/>
  <c r="G93" i="3"/>
  <c r="CL92" i="3"/>
  <c r="CH92" i="3"/>
  <c r="CD92" i="3"/>
  <c r="BN92" i="3"/>
  <c r="BF92" i="3"/>
  <c r="AT92" i="3"/>
  <c r="AP92" i="3"/>
  <c r="R92" i="3"/>
  <c r="J92" i="3"/>
  <c r="CK91" i="3"/>
  <c r="BU91" i="3"/>
  <c r="AO91" i="3"/>
  <c r="I91" i="3"/>
  <c r="CH109" i="3"/>
  <c r="BL109" i="3"/>
  <c r="H109" i="3"/>
  <c r="F109" i="3" s="1"/>
  <c r="CU108" i="3"/>
  <c r="CE108" i="3"/>
  <c r="AI108" i="3"/>
  <c r="S108" i="3"/>
  <c r="CI102" i="3"/>
  <c r="CA102" i="3"/>
  <c r="BC102" i="3"/>
  <c r="AU102" i="3"/>
  <c r="G102" i="3"/>
  <c r="CH100" i="3"/>
  <c r="BU100" i="3"/>
  <c r="AS100" i="3"/>
  <c r="AO100" i="3"/>
  <c r="I100" i="3"/>
  <c r="CW99" i="3"/>
  <c r="CB99" i="3"/>
  <c r="BX99" i="3"/>
  <c r="BT99" i="3"/>
  <c r="BP99" i="3"/>
  <c r="BL99" i="3"/>
  <c r="AN99" i="3"/>
  <c r="AJ99" i="3"/>
  <c r="H99" i="3"/>
  <c r="F99" i="3" s="1"/>
  <c r="CU98" i="3"/>
  <c r="CI98" i="3"/>
  <c r="CE98" i="3"/>
  <c r="CO98" i="3" s="1"/>
  <c r="CA98" i="3"/>
  <c r="BW98" i="3"/>
  <c r="BC98" i="3"/>
  <c r="AU98" i="3"/>
  <c r="AI98" i="3"/>
  <c r="S98" i="3"/>
  <c r="K98" i="3"/>
  <c r="G98" i="3"/>
  <c r="CL97" i="3"/>
  <c r="CH97" i="3"/>
  <c r="CD97" i="3"/>
  <c r="BN97" i="3"/>
  <c r="BF97" i="3"/>
  <c r="AT97" i="3"/>
  <c r="AP97" i="3"/>
  <c r="R97" i="3"/>
  <c r="J97" i="3"/>
  <c r="CU94" i="3"/>
  <c r="CI94" i="3"/>
  <c r="CE94" i="3"/>
  <c r="CO94" i="3" s="1"/>
  <c r="CA94" i="3"/>
  <c r="BW94" i="3"/>
  <c r="BC94" i="3"/>
  <c r="BC95" i="3" s="1"/>
  <c r="BC96" i="3" s="1"/>
  <c r="AU94" i="3"/>
  <c r="S94" i="3"/>
  <c r="K94" i="3"/>
  <c r="G94" i="3"/>
  <c r="CL93" i="3"/>
  <c r="CH93" i="3"/>
  <c r="CD93" i="3"/>
  <c r="BN93" i="3"/>
  <c r="BF93" i="3"/>
  <c r="AT93" i="3"/>
  <c r="AP93" i="3"/>
  <c r="R93" i="3"/>
  <c r="J93" i="3"/>
  <c r="CK92" i="3"/>
  <c r="BU92" i="3"/>
  <c r="AO92" i="3"/>
  <c r="CI103" i="3"/>
  <c r="BC103" i="3"/>
  <c r="G103" i="3"/>
  <c r="BW102" i="3"/>
  <c r="K102" i="3"/>
  <c r="CE100" i="3"/>
  <c r="BW100" i="3"/>
  <c r="AI100" i="3"/>
  <c r="S100" i="3"/>
  <c r="K100" i="3"/>
  <c r="CU99" i="3"/>
  <c r="CE99" i="3"/>
  <c r="CO99" i="3" s="1"/>
  <c r="BW99" i="3"/>
  <c r="AI99" i="3"/>
  <c r="S99" i="3"/>
  <c r="K99" i="3"/>
  <c r="AS98" i="3"/>
  <c r="CB97" i="3"/>
  <c r="BT97" i="3"/>
  <c r="BL97" i="3"/>
  <c r="AN97" i="3"/>
  <c r="H97" i="3"/>
  <c r="F97" i="3" s="1"/>
  <c r="CU96" i="3"/>
  <c r="CH94" i="3"/>
  <c r="AT94" i="3"/>
  <c r="CK93" i="3"/>
  <c r="BU93" i="3"/>
  <c r="AO93" i="3"/>
  <c r="I93" i="3"/>
  <c r="BX92" i="3"/>
  <c r="BP92" i="3"/>
  <c r="AJ92" i="3"/>
  <c r="H92" i="3"/>
  <c r="F92" i="3" s="1"/>
  <c r="CH91" i="3"/>
  <c r="CB91" i="3"/>
  <c r="BW91" i="3"/>
  <c r="BL91" i="3"/>
  <c r="K91" i="3"/>
  <c r="CU90" i="3"/>
  <c r="CL89" i="3"/>
  <c r="CH89" i="3"/>
  <c r="CD89" i="3"/>
  <c r="BN89" i="3"/>
  <c r="BF89" i="3"/>
  <c r="BF90" i="3" s="1"/>
  <c r="AT89" i="3"/>
  <c r="AP89" i="3"/>
  <c r="R89" i="3"/>
  <c r="J89" i="3"/>
  <c r="CK88" i="3"/>
  <c r="BU88" i="3"/>
  <c r="AO88" i="3"/>
  <c r="I88" i="3"/>
  <c r="CW87" i="3"/>
  <c r="CB87" i="3"/>
  <c r="BX87" i="3"/>
  <c r="BT87" i="3"/>
  <c r="BP87" i="3"/>
  <c r="BL87" i="3"/>
  <c r="AJ87" i="3"/>
  <c r="H87" i="3"/>
  <c r="F87" i="3" s="1"/>
  <c r="CU86" i="3"/>
  <c r="CI86" i="3"/>
  <c r="CE86" i="3"/>
  <c r="CA86" i="3"/>
  <c r="BW86" i="3"/>
  <c r="BC86" i="3"/>
  <c r="AU86" i="3"/>
  <c r="S86" i="3"/>
  <c r="K86" i="3"/>
  <c r="G86" i="3"/>
  <c r="CL85" i="3"/>
  <c r="CH85" i="3"/>
  <c r="CD85" i="3"/>
  <c r="BN85" i="3"/>
  <c r="BF85" i="3"/>
  <c r="AT85" i="3"/>
  <c r="AP85" i="3"/>
  <c r="R85" i="3"/>
  <c r="J85" i="3"/>
  <c r="CW83" i="3"/>
  <c r="CB83" i="3"/>
  <c r="BX83" i="3"/>
  <c r="BT83" i="3"/>
  <c r="BP83" i="3"/>
  <c r="BL83" i="3"/>
  <c r="AJ83" i="3"/>
  <c r="H83" i="3"/>
  <c r="F83" i="3" s="1"/>
  <c r="CU82" i="3"/>
  <c r="CI82" i="3"/>
  <c r="CE82" i="3"/>
  <c r="CA82" i="3"/>
  <c r="BW82" i="3"/>
  <c r="BC82" i="3"/>
  <c r="AU82" i="3"/>
  <c r="S82" i="3"/>
  <c r="K82" i="3"/>
  <c r="G82" i="3"/>
  <c r="CL81" i="3"/>
  <c r="CH81" i="3"/>
  <c r="CD81" i="3"/>
  <c r="BN81" i="3"/>
  <c r="BF81" i="3"/>
  <c r="AT81" i="3"/>
  <c r="AP81" i="3"/>
  <c r="R81" i="3"/>
  <c r="J81" i="3"/>
  <c r="CK80" i="3"/>
  <c r="BU80" i="3"/>
  <c r="AO80" i="3"/>
  <c r="I80" i="3"/>
  <c r="CU78" i="3"/>
  <c r="CK76" i="3"/>
  <c r="BU76" i="3"/>
  <c r="AO76" i="3"/>
  <c r="I76" i="3"/>
  <c r="CB75" i="3"/>
  <c r="BX75" i="3"/>
  <c r="BT75" i="3"/>
  <c r="BP75" i="3"/>
  <c r="BL75" i="3"/>
  <c r="AJ75" i="3"/>
  <c r="H75" i="3"/>
  <c r="F75" i="3" s="1"/>
  <c r="CU74" i="3"/>
  <c r="CI74" i="3"/>
  <c r="CE74" i="3"/>
  <c r="CA74" i="3"/>
  <c r="BW74" i="3"/>
  <c r="BC74" i="3"/>
  <c r="AU74" i="3"/>
  <c r="S74" i="3"/>
  <c r="K74" i="3"/>
  <c r="G74" i="3"/>
  <c r="CL73" i="3"/>
  <c r="CH73" i="3"/>
  <c r="CD73" i="3"/>
  <c r="BN73" i="3"/>
  <c r="BF73" i="3"/>
  <c r="AT73" i="3"/>
  <c r="AP73" i="3"/>
  <c r="R73" i="3"/>
  <c r="J73" i="3"/>
  <c r="CW71" i="3"/>
  <c r="CB71" i="3"/>
  <c r="BX71" i="3"/>
  <c r="BT71" i="3"/>
  <c r="BP71" i="3"/>
  <c r="BL71" i="3"/>
  <c r="AJ71" i="3"/>
  <c r="H71" i="3"/>
  <c r="F71" i="3" s="1"/>
  <c r="CU70" i="3"/>
  <c r="CI70" i="3"/>
  <c r="CE70" i="3"/>
  <c r="CO70" i="3" s="1"/>
  <c r="CA70" i="3"/>
  <c r="BW70" i="3"/>
  <c r="G109" i="3"/>
  <c r="D109" i="3" s="1"/>
  <c r="E109" i="3" s="1"/>
  <c r="BW108" i="3"/>
  <c r="AJ104" i="3"/>
  <c r="CA103" i="3"/>
  <c r="BP102" i="3"/>
  <c r="CB100" i="3"/>
  <c r="G100" i="3"/>
  <c r="CD99" i="3"/>
  <c r="R99" i="3"/>
  <c r="G99" i="3"/>
  <c r="D99" i="3" s="1"/>
  <c r="E99" i="3" s="1"/>
  <c r="CD98" i="3"/>
  <c r="BU98" i="3"/>
  <c r="AO98" i="3"/>
  <c r="R98" i="3"/>
  <c r="I98" i="3"/>
  <c r="BX97" i="3"/>
  <c r="CL94" i="3"/>
  <c r="BF94" i="3"/>
  <c r="BF95" i="3" s="1"/>
  <c r="BF96" i="3" s="1"/>
  <c r="CB93" i="3"/>
  <c r="CE92" i="3"/>
  <c r="CO92" i="3" s="1"/>
  <c r="BT92" i="3"/>
  <c r="S92" i="3"/>
  <c r="K92" i="3"/>
  <c r="CD91" i="3"/>
  <c r="AT91" i="3"/>
  <c r="R91" i="3"/>
  <c r="J91" i="3"/>
  <c r="CW89" i="3"/>
  <c r="CK89" i="3"/>
  <c r="CA89" i="3"/>
  <c r="BU89" i="3"/>
  <c r="BP89" i="3"/>
  <c r="AU89" i="3"/>
  <c r="AO89" i="3"/>
  <c r="AJ89" i="3"/>
  <c r="I89" i="3"/>
  <c r="CI88" i="3"/>
  <c r="CD88" i="3"/>
  <c r="BX88" i="3"/>
  <c r="BN88" i="3"/>
  <c r="BC88" i="3"/>
  <c r="R88" i="3"/>
  <c r="G88" i="3"/>
  <c r="CU87" i="3"/>
  <c r="CK87" i="3"/>
  <c r="CE87" i="3"/>
  <c r="BU87" i="3"/>
  <c r="AT87" i="3"/>
  <c r="AO87" i="3"/>
  <c r="S87" i="3"/>
  <c r="N87" i="3" s="1"/>
  <c r="I87" i="3"/>
  <c r="CH86" i="3"/>
  <c r="BX86" i="3"/>
  <c r="CW85" i="3"/>
  <c r="CK85" i="3"/>
  <c r="CA85" i="3"/>
  <c r="BU85" i="3"/>
  <c r="BP85" i="3"/>
  <c r="AU85" i="3"/>
  <c r="AO85" i="3"/>
  <c r="AJ85" i="3"/>
  <c r="I85" i="3"/>
  <c r="CU83" i="3"/>
  <c r="CK83" i="3"/>
  <c r="CE83" i="3"/>
  <c r="CO83" i="3" s="1"/>
  <c r="BU83" i="3"/>
  <c r="AT83" i="3"/>
  <c r="AO83" i="3"/>
  <c r="S83" i="3"/>
  <c r="I83" i="3"/>
  <c r="CH82" i="3"/>
  <c r="BX82" i="3"/>
  <c r="CW81" i="3"/>
  <c r="CK81" i="3"/>
  <c r="CA81" i="3"/>
  <c r="BU81" i="3"/>
  <c r="BP81" i="3"/>
  <c r="AU81" i="3"/>
  <c r="AO81" i="3"/>
  <c r="AJ81" i="3"/>
  <c r="I81" i="3"/>
  <c r="CI80" i="3"/>
  <c r="CD80" i="3"/>
  <c r="CD84" i="3" s="1"/>
  <c r="BX80" i="3"/>
  <c r="BN80" i="3"/>
  <c r="BC80" i="3"/>
  <c r="R80" i="3"/>
  <c r="G80" i="3"/>
  <c r="AP109" i="3"/>
  <c r="K104" i="3"/>
  <c r="BT103" i="3"/>
  <c r="H103" i="3"/>
  <c r="F103" i="3" s="1"/>
  <c r="CL100" i="3"/>
  <c r="CA100" i="3"/>
  <c r="BP100" i="3"/>
  <c r="AU100" i="3"/>
  <c r="AJ100" i="3"/>
  <c r="CL99" i="3"/>
  <c r="CA99" i="3"/>
  <c r="CC99" i="3" s="1"/>
  <c r="BF99" i="3"/>
  <c r="AU99" i="3"/>
  <c r="CL98" i="3"/>
  <c r="BF98" i="3"/>
  <c r="BU97" i="3"/>
  <c r="AO97" i="3"/>
  <c r="I97" i="3"/>
  <c r="CU95" i="3"/>
  <c r="CK94" i="3"/>
  <c r="BN94" i="3"/>
  <c r="BR94" i="3" s="1"/>
  <c r="BP93" i="3"/>
  <c r="AJ93" i="3"/>
  <c r="CB92" i="3"/>
  <c r="I92" i="3"/>
  <c r="CI91" i="3"/>
  <c r="CA91" i="3"/>
  <c r="CC91" i="3" s="1"/>
  <c r="BT91" i="3"/>
  <c r="BN91" i="3"/>
  <c r="BF91" i="3"/>
  <c r="AJ91" i="3"/>
  <c r="H91" i="3"/>
  <c r="F91" i="3" s="1"/>
  <c r="CU89" i="3"/>
  <c r="CE89" i="3"/>
  <c r="BT89" i="3"/>
  <c r="BV89" i="3" s="1"/>
  <c r="S89" i="3"/>
  <c r="H89" i="3"/>
  <c r="F89" i="3" s="1"/>
  <c r="CH88" i="3"/>
  <c r="CJ88" i="3" s="1"/>
  <c r="CB88" i="3"/>
  <c r="BW88" i="3"/>
  <c r="BL88" i="3"/>
  <c r="K88" i="3"/>
  <c r="CI87" i="3"/>
  <c r="CD87" i="3"/>
  <c r="BN87" i="3"/>
  <c r="BC87" i="3"/>
  <c r="R87" i="3"/>
  <c r="G87" i="3"/>
  <c r="CL86" i="3"/>
  <c r="CB86" i="3"/>
  <c r="BL86" i="3"/>
  <c r="BF86" i="3"/>
  <c r="AP86" i="3"/>
  <c r="J86" i="3"/>
  <c r="CU85" i="3"/>
  <c r="CE85" i="3"/>
  <c r="BT85" i="3"/>
  <c r="S85" i="3"/>
  <c r="H85" i="3"/>
  <c r="F85" i="3" s="1"/>
  <c r="CI83" i="3"/>
  <c r="CD83" i="3"/>
  <c r="BN83" i="3"/>
  <c r="BC83" i="3"/>
  <c r="BC84" i="3" s="1"/>
  <c r="R83" i="3"/>
  <c r="G83" i="3"/>
  <c r="D83" i="3" s="1"/>
  <c r="E83" i="3" s="1"/>
  <c r="CL82" i="3"/>
  <c r="CB82" i="3"/>
  <c r="BL82" i="3"/>
  <c r="BF82" i="3"/>
  <c r="AP82" i="3"/>
  <c r="J82" i="3"/>
  <c r="CU81" i="3"/>
  <c r="CE81" i="3"/>
  <c r="BT81" i="3"/>
  <c r="S81" i="3"/>
  <c r="N81" i="3" s="1"/>
  <c r="H81" i="3"/>
  <c r="F81" i="3" s="1"/>
  <c r="CH80" i="3"/>
  <c r="CB80" i="3"/>
  <c r="BW80" i="3"/>
  <c r="BL80" i="3"/>
  <c r="K80" i="3"/>
  <c r="CU79" i="3"/>
  <c r="BL103" i="3"/>
  <c r="CE102" i="3"/>
  <c r="AJ102" i="3"/>
  <c r="BX100" i="3"/>
  <c r="BC100" i="3"/>
  <c r="BC101" i="3" s="1"/>
  <c r="CH99" i="3"/>
  <c r="AP99" i="3"/>
  <c r="CK98" i="3"/>
  <c r="BN98" i="3"/>
  <c r="BR98" i="3" s="1"/>
  <c r="AT98" i="3"/>
  <c r="CW97" i="3"/>
  <c r="AJ97" i="3"/>
  <c r="AP94" i="3"/>
  <c r="BT93" i="3"/>
  <c r="BV93" i="3" s="1"/>
  <c r="H93" i="3"/>
  <c r="F93" i="3" s="1"/>
  <c r="CU92" i="3"/>
  <c r="CA92" i="3"/>
  <c r="CU91" i="3"/>
  <c r="AP91" i="3"/>
  <c r="BW89" i="3"/>
  <c r="BL89" i="3"/>
  <c r="K89" i="3"/>
  <c r="CU88" i="3"/>
  <c r="AT88" i="3"/>
  <c r="CL87" i="3"/>
  <c r="CA87" i="3"/>
  <c r="BF87" i="3"/>
  <c r="AU87" i="3"/>
  <c r="CD86" i="3"/>
  <c r="BT86" i="3"/>
  <c r="R86" i="3"/>
  <c r="H86" i="3"/>
  <c r="F86" i="3" s="1"/>
  <c r="G85" i="3"/>
  <c r="CH83" i="3"/>
  <c r="CJ83" i="3" s="1"/>
  <c r="BW83" i="3"/>
  <c r="K83" i="3"/>
  <c r="CW82" i="3"/>
  <c r="CK82" i="3"/>
  <c r="BP82" i="3"/>
  <c r="AT82" i="3"/>
  <c r="AJ82" i="3"/>
  <c r="CB81" i="3"/>
  <c r="CE80" i="3"/>
  <c r="BT80" i="3"/>
  <c r="S80" i="3"/>
  <c r="H80" i="3"/>
  <c r="F80" i="3" s="1"/>
  <c r="CU77" i="3"/>
  <c r="CH76" i="3"/>
  <c r="CB76" i="3"/>
  <c r="BW76" i="3"/>
  <c r="BL76" i="3"/>
  <c r="K76" i="3"/>
  <c r="CI75" i="3"/>
  <c r="CD75" i="3"/>
  <c r="BN75" i="3"/>
  <c r="BC75" i="3"/>
  <c r="R75" i="3"/>
  <c r="G75" i="3"/>
  <c r="D75" i="3" s="1"/>
  <c r="E75" i="3" s="1"/>
  <c r="CL74" i="3"/>
  <c r="CB74" i="3"/>
  <c r="BL74" i="3"/>
  <c r="BF74" i="3"/>
  <c r="AP74" i="3"/>
  <c r="J74" i="3"/>
  <c r="CU73" i="3"/>
  <c r="CE73" i="3"/>
  <c r="BT73" i="3"/>
  <c r="S73" i="3"/>
  <c r="H73" i="3"/>
  <c r="F73" i="3" s="1"/>
  <c r="CI71" i="3"/>
  <c r="CD71" i="3"/>
  <c r="BN71" i="3"/>
  <c r="BC71" i="3"/>
  <c r="BC72" i="3" s="1"/>
  <c r="R71" i="3"/>
  <c r="G71" i="3"/>
  <c r="CL70" i="3"/>
  <c r="CB70" i="3"/>
  <c r="BL70" i="3"/>
  <c r="BC70" i="3"/>
  <c r="AU70" i="3"/>
  <c r="S70" i="3"/>
  <c r="K70" i="3"/>
  <c r="G70" i="3"/>
  <c r="CL69" i="3"/>
  <c r="CH69" i="3"/>
  <c r="CD69" i="3"/>
  <c r="BN69" i="3"/>
  <c r="BF69" i="3"/>
  <c r="AT69" i="3"/>
  <c r="AP69" i="3"/>
  <c r="R69" i="3"/>
  <c r="J69" i="3"/>
  <c r="CK68" i="3"/>
  <c r="BU68" i="3"/>
  <c r="AO68" i="3"/>
  <c r="I68" i="3"/>
  <c r="CW67" i="3"/>
  <c r="CB67" i="3"/>
  <c r="BX67" i="3"/>
  <c r="BT67" i="3"/>
  <c r="BP67" i="3"/>
  <c r="BL67" i="3"/>
  <c r="AJ67" i="3"/>
  <c r="H67" i="3"/>
  <c r="F67" i="3" s="1"/>
  <c r="CU66" i="3"/>
  <c r="CL65" i="3"/>
  <c r="CH65" i="3"/>
  <c r="CD65" i="3"/>
  <c r="BN65" i="3"/>
  <c r="BF65" i="3"/>
  <c r="BF66" i="3" s="1"/>
  <c r="AT65" i="3"/>
  <c r="AP65" i="3"/>
  <c r="R65" i="3"/>
  <c r="J65" i="3"/>
  <c r="CK64" i="3"/>
  <c r="BU64" i="3"/>
  <c r="AO64" i="3"/>
  <c r="I64" i="3"/>
  <c r="CW63" i="3"/>
  <c r="CB63" i="3"/>
  <c r="BX63" i="3"/>
  <c r="BT63" i="3"/>
  <c r="BP63" i="3"/>
  <c r="BL63" i="3"/>
  <c r="AJ63" i="3"/>
  <c r="H63" i="3"/>
  <c r="F63" i="3" s="1"/>
  <c r="CU62" i="3"/>
  <c r="CI62" i="3"/>
  <c r="CE62" i="3"/>
  <c r="CA62" i="3"/>
  <c r="BW62" i="3"/>
  <c r="BC62" i="3"/>
  <c r="AU62" i="3"/>
  <c r="S62" i="3"/>
  <c r="K62" i="3"/>
  <c r="G62" i="3"/>
  <c r="CB59" i="3"/>
  <c r="BX59" i="3"/>
  <c r="BT59" i="3"/>
  <c r="BV59" i="3" s="1"/>
  <c r="BP59" i="3"/>
  <c r="BL59" i="3"/>
  <c r="AJ59" i="3"/>
  <c r="BW109" i="3"/>
  <c r="K108" i="3"/>
  <c r="BX102" i="3"/>
  <c r="AI102" i="3"/>
  <c r="BT100" i="3"/>
  <c r="BV100" i="3" s="1"/>
  <c r="H100" i="3"/>
  <c r="F100" i="3" s="1"/>
  <c r="BC99" i="3"/>
  <c r="CH98" i="3"/>
  <c r="CJ98" i="3" s="1"/>
  <c r="AP98" i="3"/>
  <c r="K95" i="3"/>
  <c r="CD94" i="3"/>
  <c r="AO94" i="3"/>
  <c r="R94" i="3"/>
  <c r="BL93" i="3"/>
  <c r="BW92" i="3"/>
  <c r="BC92" i="3"/>
  <c r="CE91" i="3"/>
  <c r="BP91" i="3"/>
  <c r="BC91" i="3"/>
  <c r="G89" i="3"/>
  <c r="AP88" i="3"/>
  <c r="J88" i="3"/>
  <c r="CH87" i="3"/>
  <c r="BW87" i="3"/>
  <c r="K87" i="3"/>
  <c r="CW86" i="3"/>
  <c r="CK86" i="3"/>
  <c r="BP86" i="3"/>
  <c r="AT86" i="3"/>
  <c r="AJ86" i="3"/>
  <c r="CB85" i="3"/>
  <c r="AP83" i="3"/>
  <c r="J83" i="3"/>
  <c r="BN82" i="3"/>
  <c r="CI81" i="3"/>
  <c r="BX81" i="3"/>
  <c r="BC81" i="3"/>
  <c r="CW80" i="3"/>
  <c r="CL80" i="3"/>
  <c r="CA80" i="3"/>
  <c r="BP80" i="3"/>
  <c r="BF80" i="3"/>
  <c r="AU80" i="3"/>
  <c r="AJ80" i="3"/>
  <c r="CL76" i="3"/>
  <c r="CA76" i="3"/>
  <c r="BP76" i="3"/>
  <c r="BF76" i="3"/>
  <c r="BF77" i="3" s="1"/>
  <c r="BF78" i="3" s="1"/>
  <c r="BF79" i="3" s="1"/>
  <c r="AU76" i="3"/>
  <c r="AP76" i="3"/>
  <c r="AJ76" i="3"/>
  <c r="J76" i="3"/>
  <c r="CH75" i="3"/>
  <c r="BW75" i="3"/>
  <c r="K75" i="3"/>
  <c r="CK74" i="3"/>
  <c r="BU74" i="3"/>
  <c r="BP74" i="3"/>
  <c r="AT74" i="3"/>
  <c r="AO74" i="3"/>
  <c r="AJ74" i="3"/>
  <c r="I74" i="3"/>
  <c r="CI73" i="3"/>
  <c r="BX73" i="3"/>
  <c r="BC73" i="3"/>
  <c r="G73" i="3"/>
  <c r="CH71" i="3"/>
  <c r="BW71" i="3"/>
  <c r="K71" i="3"/>
  <c r="CW70" i="3"/>
  <c r="CK70" i="3"/>
  <c r="BU70" i="3"/>
  <c r="BP70" i="3"/>
  <c r="BF70" i="3"/>
  <c r="AT70" i="3"/>
  <c r="AP70" i="3"/>
  <c r="R70" i="3"/>
  <c r="J70" i="3"/>
  <c r="CK69" i="3"/>
  <c r="BU69" i="3"/>
  <c r="AO69" i="3"/>
  <c r="I69" i="3"/>
  <c r="CW68" i="3"/>
  <c r="CB68" i="3"/>
  <c r="BX68" i="3"/>
  <c r="BT68" i="3"/>
  <c r="BP68" i="3"/>
  <c r="BL68" i="3"/>
  <c r="AJ68" i="3"/>
  <c r="H68" i="3"/>
  <c r="F68" i="3" s="1"/>
  <c r="CU67" i="3"/>
  <c r="CI67" i="3"/>
  <c r="CE67" i="3"/>
  <c r="CA67" i="3"/>
  <c r="BW67" i="3"/>
  <c r="BC67" i="3"/>
  <c r="AU67" i="3"/>
  <c r="S67" i="3"/>
  <c r="K67" i="3"/>
  <c r="G67" i="3"/>
  <c r="CK65" i="3"/>
  <c r="BU65" i="3"/>
  <c r="AO65" i="3"/>
  <c r="I65" i="3"/>
  <c r="CW64" i="3"/>
  <c r="CB64" i="3"/>
  <c r="BX64" i="3"/>
  <c r="BT64" i="3"/>
  <c r="BP64" i="3"/>
  <c r="BL64" i="3"/>
  <c r="AJ64" i="3"/>
  <c r="H64" i="3"/>
  <c r="F64" i="3" s="1"/>
  <c r="CU63" i="3"/>
  <c r="CI63" i="3"/>
  <c r="CE63" i="3"/>
  <c r="CA63" i="3"/>
  <c r="BW63" i="3"/>
  <c r="BC63" i="3"/>
  <c r="AU63" i="3"/>
  <c r="S63" i="3"/>
  <c r="K63" i="3"/>
  <c r="G63" i="3"/>
  <c r="CL62" i="3"/>
  <c r="CH62" i="3"/>
  <c r="CD62" i="3"/>
  <c r="BN62" i="3"/>
  <c r="BF62" i="3"/>
  <c r="AT62" i="3"/>
  <c r="AP62" i="3"/>
  <c r="R62" i="3"/>
  <c r="J62" i="3"/>
  <c r="CU59" i="3"/>
  <c r="CI59" i="3"/>
  <c r="CE59" i="3"/>
  <c r="CA59" i="3"/>
  <c r="CC59" i="3" s="1"/>
  <c r="BW59" i="3"/>
  <c r="BC59" i="3"/>
  <c r="BC60" i="3" s="1"/>
  <c r="BC61" i="3" s="1"/>
  <c r="AU59" i="3"/>
  <c r="S59" i="3"/>
  <c r="K59" i="3"/>
  <c r="G59" i="3"/>
  <c r="CL58" i="3"/>
  <c r="CH58" i="3"/>
  <c r="CD58" i="3"/>
  <c r="BN58" i="3"/>
  <c r="BF58" i="3"/>
  <c r="AT58" i="3"/>
  <c r="AP58" i="3"/>
  <c r="R58" i="3"/>
  <c r="J58" i="3"/>
  <c r="CK57" i="3"/>
  <c r="BU57" i="3"/>
  <c r="AO57" i="3"/>
  <c r="AN103" i="3"/>
  <c r="BL100" i="3"/>
  <c r="BN99" i="3"/>
  <c r="BR99" i="3" s="1"/>
  <c r="BU94" i="3"/>
  <c r="BX93" i="3"/>
  <c r="G91" i="3"/>
  <c r="CE88" i="3"/>
  <c r="S88" i="3"/>
  <c r="J87" i="3"/>
  <c r="BN86" i="3"/>
  <c r="BW85" i="3"/>
  <c r="K85" i="3"/>
  <c r="CA83" i="3"/>
  <c r="CC83" i="3" s="1"/>
  <c r="BF83" i="3"/>
  <c r="BF84" i="3" s="1"/>
  <c r="BT82" i="3"/>
  <c r="H82" i="3"/>
  <c r="F82" i="3" s="1"/>
  <c r="BW81" i="3"/>
  <c r="K81" i="3"/>
  <c r="AT80" i="3"/>
  <c r="CE76" i="3"/>
  <c r="BT76" i="3"/>
  <c r="BV76" i="3" s="1"/>
  <c r="S76" i="3"/>
  <c r="N76" i="3" s="1"/>
  <c r="H76" i="3"/>
  <c r="F76" i="3" s="1"/>
  <c r="CE75" i="3"/>
  <c r="BU75" i="3"/>
  <c r="AO75" i="3"/>
  <c r="S75" i="3"/>
  <c r="I75" i="3"/>
  <c r="CD74" i="3"/>
  <c r="BT74" i="3"/>
  <c r="R74" i="3"/>
  <c r="H74" i="3"/>
  <c r="F74" i="3" s="1"/>
  <c r="BU73" i="3"/>
  <c r="AO73" i="3"/>
  <c r="I73" i="3"/>
  <c r="AP71" i="3"/>
  <c r="J71" i="3"/>
  <c r="CH70" i="3"/>
  <c r="BX70" i="3"/>
  <c r="H70" i="3"/>
  <c r="F70" i="3" s="1"/>
  <c r="CU69" i="3"/>
  <c r="CE69" i="3"/>
  <c r="BW69" i="3"/>
  <c r="S69" i="3"/>
  <c r="K69" i="3"/>
  <c r="CU68" i="3"/>
  <c r="CE68" i="3"/>
  <c r="BW68" i="3"/>
  <c r="S68" i="3"/>
  <c r="N68" i="3" s="1"/>
  <c r="K68" i="3"/>
  <c r="CU65" i="3"/>
  <c r="CE65" i="3"/>
  <c r="BW65" i="3"/>
  <c r="S65" i="3"/>
  <c r="K65" i="3"/>
  <c r="CU64" i="3"/>
  <c r="CE64" i="3"/>
  <c r="BW64" i="3"/>
  <c r="S64" i="3"/>
  <c r="K64" i="3"/>
  <c r="CB62" i="3"/>
  <c r="BT62" i="3"/>
  <c r="BL62" i="3"/>
  <c r="H62" i="3"/>
  <c r="F62" i="3" s="1"/>
  <c r="CU61" i="3"/>
  <c r="CH59" i="3"/>
  <c r="CJ59" i="3" s="1"/>
  <c r="AT59" i="3"/>
  <c r="CK58" i="3"/>
  <c r="CA58" i="3"/>
  <c r="BU58" i="3"/>
  <c r="BP58" i="3"/>
  <c r="AU58" i="3"/>
  <c r="AO58" i="3"/>
  <c r="AJ58" i="3"/>
  <c r="I58" i="3"/>
  <c r="CI57" i="3"/>
  <c r="CD57" i="3"/>
  <c r="BX57" i="3"/>
  <c r="BN57" i="3"/>
  <c r="BC57" i="3"/>
  <c r="R57" i="3"/>
  <c r="H57" i="3"/>
  <c r="F57" i="3" s="1"/>
  <c r="CU56" i="3"/>
  <c r="CI56" i="3"/>
  <c r="CE56" i="3"/>
  <c r="CA56" i="3"/>
  <c r="BW56" i="3"/>
  <c r="BC56" i="3"/>
  <c r="AU56" i="3"/>
  <c r="S56" i="3"/>
  <c r="K56" i="3"/>
  <c r="G56" i="3"/>
  <c r="CK54" i="3"/>
  <c r="BU54" i="3"/>
  <c r="AO54" i="3"/>
  <c r="I54" i="3"/>
  <c r="CW53" i="3"/>
  <c r="CB53" i="3"/>
  <c r="BX53" i="3"/>
  <c r="BT53" i="3"/>
  <c r="BV53" i="3" s="1"/>
  <c r="BP53" i="3"/>
  <c r="BL53" i="3"/>
  <c r="AJ53" i="3"/>
  <c r="H53" i="3"/>
  <c r="F53" i="3" s="1"/>
  <c r="CU52" i="3"/>
  <c r="CI52" i="3"/>
  <c r="CE52" i="3"/>
  <c r="CO52" i="3" s="1"/>
  <c r="CA52" i="3"/>
  <c r="BW52" i="3"/>
  <c r="BC52" i="3"/>
  <c r="AU52" i="3"/>
  <c r="AM52" i="3"/>
  <c r="AM53" i="3" s="1"/>
  <c r="AM54" i="3" s="1"/>
  <c r="S52" i="3"/>
  <c r="K52" i="3"/>
  <c r="G52" i="3"/>
  <c r="CL51" i="3"/>
  <c r="CH51" i="3"/>
  <c r="CJ51" i="3" s="1"/>
  <c r="CD51" i="3"/>
  <c r="BN51" i="3"/>
  <c r="BF51" i="3"/>
  <c r="AT51" i="3"/>
  <c r="AP51" i="3"/>
  <c r="R51" i="3"/>
  <c r="J51" i="3"/>
  <c r="CK50" i="3"/>
  <c r="CC50" i="3"/>
  <c r="BU50" i="3"/>
  <c r="AO50" i="3"/>
  <c r="Q50" i="3"/>
  <c r="I50" i="3"/>
  <c r="CU48" i="3"/>
  <c r="CI48" i="3"/>
  <c r="CE48" i="3"/>
  <c r="CA48" i="3"/>
  <c r="BW48" i="3"/>
  <c r="BC48" i="3"/>
  <c r="BC49" i="3" s="1"/>
  <c r="AU48" i="3"/>
  <c r="AM48" i="3"/>
  <c r="S48" i="3"/>
  <c r="K48" i="3"/>
  <c r="G48" i="3"/>
  <c r="CL47" i="3"/>
  <c r="CH47" i="3"/>
  <c r="CD47" i="3"/>
  <c r="BV47" i="3"/>
  <c r="BN47" i="3"/>
  <c r="BF47" i="3"/>
  <c r="AT47" i="3"/>
  <c r="AP47" i="3"/>
  <c r="AH47" i="3"/>
  <c r="AW47" i="3" s="1"/>
  <c r="J47" i="3"/>
  <c r="CK46" i="3"/>
  <c r="CC46" i="3"/>
  <c r="BU46" i="3"/>
  <c r="AO46" i="3"/>
  <c r="Q46" i="3"/>
  <c r="R46" i="3" s="1"/>
  <c r="I46" i="3"/>
  <c r="CW45" i="3"/>
  <c r="CJ45" i="3"/>
  <c r="CB45" i="3"/>
  <c r="BX45" i="3"/>
  <c r="BT45" i="3"/>
  <c r="BP45" i="3"/>
  <c r="BL45" i="3"/>
  <c r="AR45" i="3"/>
  <c r="AN45" i="3"/>
  <c r="AJ45" i="3"/>
  <c r="H45" i="3"/>
  <c r="F45" i="3" s="1"/>
  <c r="CK42" i="3"/>
  <c r="CC42" i="3"/>
  <c r="BU42" i="3"/>
  <c r="AS42" i="3"/>
  <c r="AO42" i="3"/>
  <c r="Q42" i="3"/>
  <c r="R42" i="3" s="1"/>
  <c r="I42" i="3"/>
  <c r="CW41" i="3"/>
  <c r="CJ41" i="3"/>
  <c r="CB41" i="3"/>
  <c r="BX41" i="3"/>
  <c r="BT41" i="3"/>
  <c r="BP41" i="3"/>
  <c r="BL41" i="3"/>
  <c r="AR41" i="3"/>
  <c r="AN41" i="3"/>
  <c r="AJ41" i="3"/>
  <c r="AY41" i="3" s="1"/>
  <c r="H41" i="3"/>
  <c r="F41" i="3" s="1"/>
  <c r="CU40" i="3"/>
  <c r="CI40" i="3"/>
  <c r="CE40" i="3"/>
  <c r="CO40" i="3" s="1"/>
  <c r="CA40" i="3"/>
  <c r="BW40" i="3"/>
  <c r="BC40" i="3"/>
  <c r="AU40" i="3"/>
  <c r="AM40" i="3"/>
  <c r="AI40" i="3"/>
  <c r="S40" i="3"/>
  <c r="K40" i="3"/>
  <c r="G40" i="3"/>
  <c r="CL39" i="3"/>
  <c r="CH39" i="3"/>
  <c r="CD39" i="3"/>
  <c r="BV39" i="3"/>
  <c r="BN39" i="3"/>
  <c r="BF39" i="3"/>
  <c r="AT39" i="3"/>
  <c r="AP39" i="3"/>
  <c r="AH39" i="3"/>
  <c r="J39" i="3"/>
  <c r="CW37" i="3"/>
  <c r="CJ37" i="3"/>
  <c r="CB37" i="3"/>
  <c r="BX37" i="3"/>
  <c r="CR37" i="3" s="1"/>
  <c r="BT37" i="3"/>
  <c r="BP37" i="3"/>
  <c r="BL37" i="3"/>
  <c r="AR37" i="3"/>
  <c r="AN37" i="3"/>
  <c r="AJ37" i="3"/>
  <c r="H37" i="3"/>
  <c r="F37" i="3" s="1"/>
  <c r="CU36" i="3"/>
  <c r="CI36" i="3"/>
  <c r="CE36" i="3"/>
  <c r="CA36" i="3"/>
  <c r="BW36" i="3"/>
  <c r="BC36" i="3"/>
  <c r="AU36" i="3"/>
  <c r="AM36" i="3"/>
  <c r="AI36" i="3"/>
  <c r="S36" i="3"/>
  <c r="K36" i="3"/>
  <c r="G36" i="3"/>
  <c r="CL35" i="3"/>
  <c r="CH35" i="3"/>
  <c r="CD35" i="3"/>
  <c r="BV35" i="3"/>
  <c r="BN35" i="3"/>
  <c r="BF35" i="3"/>
  <c r="AT35" i="3"/>
  <c r="AP35" i="3"/>
  <c r="AH35" i="3"/>
  <c r="R35" i="3"/>
  <c r="J35" i="3"/>
  <c r="CK34" i="3"/>
  <c r="CC34" i="3"/>
  <c r="BU34" i="3"/>
  <c r="AS34" i="3"/>
  <c r="AO34" i="3"/>
  <c r="Q34" i="3"/>
  <c r="I34" i="3"/>
  <c r="CW33" i="3"/>
  <c r="CJ33" i="3"/>
  <c r="CB33" i="3"/>
  <c r="BX33" i="3"/>
  <c r="BT33" i="3"/>
  <c r="BP33" i="3"/>
  <c r="BL33" i="3"/>
  <c r="AR33" i="3"/>
  <c r="AN33" i="3"/>
  <c r="AJ33" i="3"/>
  <c r="H33" i="3"/>
  <c r="F33" i="3" s="1"/>
  <c r="CL31" i="3"/>
  <c r="CH31" i="3"/>
  <c r="CD31" i="3"/>
  <c r="BV31" i="3"/>
  <c r="BN31" i="3"/>
  <c r="BF31" i="3"/>
  <c r="BF32" i="3" s="1"/>
  <c r="AT31" i="3"/>
  <c r="AP31" i="3"/>
  <c r="AH31" i="3"/>
  <c r="R31" i="3"/>
  <c r="J31" i="3"/>
  <c r="CK30" i="3"/>
  <c r="CC30" i="3"/>
  <c r="BU30" i="3"/>
  <c r="AS30" i="3"/>
  <c r="AO30" i="3"/>
  <c r="Q30" i="3"/>
  <c r="I30" i="3"/>
  <c r="CW29" i="3"/>
  <c r="CJ29" i="3"/>
  <c r="CB29" i="3"/>
  <c r="BX29" i="3"/>
  <c r="BT29" i="3"/>
  <c r="BP29" i="3"/>
  <c r="BL29" i="3"/>
  <c r="AR29" i="3"/>
  <c r="AN29" i="3"/>
  <c r="AJ29" i="3"/>
  <c r="H29" i="3"/>
  <c r="F29" i="3" s="1"/>
  <c r="CU28" i="3"/>
  <c r="CI28" i="3"/>
  <c r="CE28" i="3"/>
  <c r="CA28" i="3"/>
  <c r="BW28" i="3"/>
  <c r="BC28" i="3"/>
  <c r="AU28" i="3"/>
  <c r="AM28" i="3"/>
  <c r="AI28" i="3"/>
  <c r="S28" i="3"/>
  <c r="K28" i="3"/>
  <c r="K32" i="3" s="1"/>
  <c r="G28" i="3"/>
  <c r="CW25" i="3"/>
  <c r="CJ25" i="3"/>
  <c r="CB25" i="3"/>
  <c r="BX25" i="3"/>
  <c r="BT25" i="3"/>
  <c r="BP25" i="3"/>
  <c r="BL25" i="3"/>
  <c r="AR25" i="3"/>
  <c r="AN25" i="3"/>
  <c r="AJ25" i="3"/>
  <c r="H25" i="3"/>
  <c r="F25" i="3" s="1"/>
  <c r="CU24" i="3"/>
  <c r="CI24" i="3"/>
  <c r="CE24" i="3"/>
  <c r="CA24" i="3"/>
  <c r="BW24" i="3"/>
  <c r="BC24" i="3"/>
  <c r="AU24" i="3"/>
  <c r="AM24" i="3"/>
  <c r="AI24" i="3"/>
  <c r="AX24" i="3" s="1"/>
  <c r="S24" i="3"/>
  <c r="K24" i="3"/>
  <c r="G24" i="3"/>
  <c r="D24" i="3" s="1"/>
  <c r="E24" i="3" s="1"/>
  <c r="CL23" i="3"/>
  <c r="CH23" i="3"/>
  <c r="CD23" i="3"/>
  <c r="BV23" i="3"/>
  <c r="BN23" i="3"/>
  <c r="BF23" i="3"/>
  <c r="AT23" i="3"/>
  <c r="AP23" i="3"/>
  <c r="AH23" i="3"/>
  <c r="R23" i="3"/>
  <c r="J23" i="3"/>
  <c r="CK22" i="3"/>
  <c r="CC22" i="3"/>
  <c r="BU22" i="3"/>
  <c r="AS22" i="3"/>
  <c r="AO22" i="3"/>
  <c r="Q22" i="3"/>
  <c r="I22" i="3"/>
  <c r="CU20" i="3"/>
  <c r="CI20" i="3"/>
  <c r="CE20" i="3"/>
  <c r="CO20" i="3" s="1"/>
  <c r="CA20" i="3"/>
  <c r="BW20" i="3"/>
  <c r="BC20" i="3"/>
  <c r="BC21" i="3" s="1"/>
  <c r="AU20" i="3"/>
  <c r="AM20" i="3"/>
  <c r="AI20" i="3"/>
  <c r="S20" i="3"/>
  <c r="N20" i="3" s="1"/>
  <c r="K20" i="3"/>
  <c r="G20" i="3"/>
  <c r="CL19" i="3"/>
  <c r="CH19" i="3"/>
  <c r="CD19" i="3"/>
  <c r="BV19" i="3"/>
  <c r="BN19" i="3"/>
  <c r="BR19" i="3" s="1"/>
  <c r="BF19" i="3"/>
  <c r="BA19" i="3" s="1"/>
  <c r="AT19" i="3"/>
  <c r="AP19" i="3"/>
  <c r="AH19" i="3"/>
  <c r="R19" i="3"/>
  <c r="J19" i="3"/>
  <c r="CK18" i="3"/>
  <c r="CC18" i="3"/>
  <c r="BU18" i="3"/>
  <c r="AS18" i="3"/>
  <c r="AO18" i="3"/>
  <c r="Q18" i="3"/>
  <c r="I18" i="3"/>
  <c r="CW17" i="3"/>
  <c r="CJ17" i="3"/>
  <c r="CB17" i="3"/>
  <c r="BX17" i="3"/>
  <c r="BT17" i="3"/>
  <c r="BP17" i="3"/>
  <c r="BL17" i="3"/>
  <c r="AR17" i="3"/>
  <c r="AN17" i="3"/>
  <c r="AJ17" i="3"/>
  <c r="H17" i="3"/>
  <c r="F17" i="3" s="1"/>
  <c r="CU16" i="3"/>
  <c r="CI16" i="3"/>
  <c r="CE16" i="3"/>
  <c r="CA16" i="3"/>
  <c r="BW16" i="3"/>
  <c r="BC16" i="3"/>
  <c r="AU16" i="3"/>
  <c r="BX108" i="3"/>
  <c r="CW102" i="3"/>
  <c r="S102" i="3"/>
  <c r="J99" i="3"/>
  <c r="BP97" i="3"/>
  <c r="J94" i="3"/>
  <c r="BL92" i="3"/>
  <c r="CL91" i="3"/>
  <c r="CI89" i="3"/>
  <c r="CW88" i="3"/>
  <c r="CA88" i="3"/>
  <c r="BF88" i="3"/>
  <c r="AJ88" i="3"/>
  <c r="AO86" i="3"/>
  <c r="CI85" i="3"/>
  <c r="AO82" i="3"/>
  <c r="G81" i="3"/>
  <c r="D81" i="3" s="1"/>
  <c r="E81" i="3" s="1"/>
  <c r="AP80" i="3"/>
  <c r="CD76" i="3"/>
  <c r="R76" i="3"/>
  <c r="G76" i="3"/>
  <c r="CL75" i="3"/>
  <c r="CA75" i="3"/>
  <c r="BF75" i="3"/>
  <c r="AU75" i="3"/>
  <c r="CB73" i="3"/>
  <c r="CE71" i="3"/>
  <c r="BU71" i="3"/>
  <c r="AO71" i="3"/>
  <c r="S71" i="3"/>
  <c r="I71" i="3"/>
  <c r="CD70" i="3"/>
  <c r="BT70" i="3"/>
  <c r="CB69" i="3"/>
  <c r="BT69" i="3"/>
  <c r="BL69" i="3"/>
  <c r="H69" i="3"/>
  <c r="F69" i="3" s="1"/>
  <c r="CL68" i="3"/>
  <c r="CD68" i="3"/>
  <c r="BN68" i="3"/>
  <c r="BR68" i="3" s="1"/>
  <c r="BF68" i="3"/>
  <c r="AP68" i="3"/>
  <c r="R68" i="3"/>
  <c r="J68" i="3"/>
  <c r="CL67" i="3"/>
  <c r="CD67" i="3"/>
  <c r="BN67" i="3"/>
  <c r="BF67" i="3"/>
  <c r="AP67" i="3"/>
  <c r="R67" i="3"/>
  <c r="J67" i="3"/>
  <c r="CB65" i="3"/>
  <c r="BT65" i="3"/>
  <c r="BL65" i="3"/>
  <c r="H65" i="3"/>
  <c r="F65" i="3" s="1"/>
  <c r="CL64" i="3"/>
  <c r="CD64" i="3"/>
  <c r="BN64" i="3"/>
  <c r="BR64" i="3" s="1"/>
  <c r="BF64" i="3"/>
  <c r="AP64" i="3"/>
  <c r="R64" i="3"/>
  <c r="J64" i="3"/>
  <c r="CL63" i="3"/>
  <c r="CD63" i="3"/>
  <c r="BN63" i="3"/>
  <c r="BR63" i="3" s="1"/>
  <c r="BF63" i="3"/>
  <c r="AP63" i="3"/>
  <c r="R63" i="3"/>
  <c r="J63" i="3"/>
  <c r="CU60" i="3"/>
  <c r="J59" i="3"/>
  <c r="CU58" i="3"/>
  <c r="CE58" i="3"/>
  <c r="CO58" i="3" s="1"/>
  <c r="BT58" i="3"/>
  <c r="S58" i="3"/>
  <c r="H58" i="3"/>
  <c r="F58" i="3" s="1"/>
  <c r="CH57" i="3"/>
  <c r="CJ57" i="3" s="1"/>
  <c r="CB57" i="3"/>
  <c r="BW57" i="3"/>
  <c r="BL57" i="3"/>
  <c r="K57" i="3"/>
  <c r="G57" i="3"/>
  <c r="CL56" i="3"/>
  <c r="CH56" i="3"/>
  <c r="CD56" i="3"/>
  <c r="BN56" i="3"/>
  <c r="BF56" i="3"/>
  <c r="AT56" i="3"/>
  <c r="AP56" i="3"/>
  <c r="R56" i="3"/>
  <c r="J56" i="3"/>
  <c r="CW54" i="3"/>
  <c r="CB54" i="3"/>
  <c r="BX54" i="3"/>
  <c r="BT54" i="3"/>
  <c r="BV54" i="3" s="1"/>
  <c r="BP54" i="3"/>
  <c r="BL54" i="3"/>
  <c r="AJ54" i="3"/>
  <c r="H54" i="3"/>
  <c r="F54" i="3" s="1"/>
  <c r="CU53" i="3"/>
  <c r="CI53" i="3"/>
  <c r="CE53" i="3"/>
  <c r="CO53" i="3" s="1"/>
  <c r="CA53" i="3"/>
  <c r="BW53" i="3"/>
  <c r="BC53" i="3"/>
  <c r="AU53" i="3"/>
  <c r="S53" i="3"/>
  <c r="K53" i="3"/>
  <c r="G53" i="3"/>
  <c r="CL52" i="3"/>
  <c r="CH52" i="3"/>
  <c r="CJ52" i="3" s="1"/>
  <c r="CD52" i="3"/>
  <c r="BN52" i="3"/>
  <c r="BF52" i="3"/>
  <c r="AT52" i="3"/>
  <c r="AP52" i="3"/>
  <c r="R52" i="3"/>
  <c r="J52" i="3"/>
  <c r="CK51" i="3"/>
  <c r="BU51" i="3"/>
  <c r="AO51" i="3"/>
  <c r="I51" i="3"/>
  <c r="CW50" i="3"/>
  <c r="CJ50" i="3"/>
  <c r="CB50" i="3"/>
  <c r="BX50" i="3"/>
  <c r="BX55" i="3" s="1"/>
  <c r="BT50" i="3"/>
  <c r="BP50" i="3"/>
  <c r="BL50" i="3"/>
  <c r="AR50" i="3"/>
  <c r="AR51" i="3" s="1"/>
  <c r="AR52" i="3" s="1"/>
  <c r="AR53" i="3" s="1"/>
  <c r="AR54" i="3" s="1"/>
  <c r="AJ50" i="3"/>
  <c r="H50" i="3"/>
  <c r="F50" i="3" s="1"/>
  <c r="CL48" i="3"/>
  <c r="CH48" i="3"/>
  <c r="CD48" i="3"/>
  <c r="BV48" i="3"/>
  <c r="BN48" i="3"/>
  <c r="BF48" i="3"/>
  <c r="BF49" i="3" s="1"/>
  <c r="AT48" i="3"/>
  <c r="AP48" i="3"/>
  <c r="AH48" i="3"/>
  <c r="J48" i="3"/>
  <c r="CK47" i="3"/>
  <c r="CC47" i="3"/>
  <c r="BU47" i="3"/>
  <c r="AO47" i="3"/>
  <c r="Q47" i="3"/>
  <c r="R47" i="3" s="1"/>
  <c r="I47" i="3"/>
  <c r="CW46" i="3"/>
  <c r="CJ46" i="3"/>
  <c r="CB46" i="3"/>
  <c r="BX46" i="3"/>
  <c r="BT46" i="3"/>
  <c r="BP46" i="3"/>
  <c r="BR46" i="3" s="1"/>
  <c r="BL46" i="3"/>
  <c r="AR46" i="3"/>
  <c r="AJ46" i="3"/>
  <c r="H46" i="3"/>
  <c r="F46" i="3" s="1"/>
  <c r="CU45" i="3"/>
  <c r="CI45" i="3"/>
  <c r="CE45" i="3"/>
  <c r="CA45" i="3"/>
  <c r="CA49" i="3" s="1"/>
  <c r="BW45" i="3"/>
  <c r="BC45" i="3"/>
  <c r="AU45" i="3"/>
  <c r="AM45" i="3"/>
  <c r="L45" i="3" s="1"/>
  <c r="AI45" i="3"/>
  <c r="S45" i="3"/>
  <c r="K45" i="3"/>
  <c r="G45" i="3"/>
  <c r="CW42" i="3"/>
  <c r="CJ42" i="3"/>
  <c r="CB42" i="3"/>
  <c r="BX42" i="3"/>
  <c r="BT42" i="3"/>
  <c r="BP42" i="3"/>
  <c r="BL42" i="3"/>
  <c r="AR42" i="3"/>
  <c r="AV42" i="3" s="1"/>
  <c r="AN42" i="3"/>
  <c r="AJ42" i="3"/>
  <c r="H42" i="3"/>
  <c r="F42" i="3" s="1"/>
  <c r="CU41" i="3"/>
  <c r="CI41" i="3"/>
  <c r="CE41" i="3"/>
  <c r="CO41" i="3" s="1"/>
  <c r="CA41" i="3"/>
  <c r="BW41" i="3"/>
  <c r="BC41" i="3"/>
  <c r="AU41" i="3"/>
  <c r="AM41" i="3"/>
  <c r="AI41" i="3"/>
  <c r="S41" i="3"/>
  <c r="N41" i="3" s="1"/>
  <c r="K41" i="3"/>
  <c r="G41" i="3"/>
  <c r="CL40" i="3"/>
  <c r="CH40" i="3"/>
  <c r="CD40" i="3"/>
  <c r="BV40" i="3"/>
  <c r="BN40" i="3"/>
  <c r="BR40" i="3" s="1"/>
  <c r="BF40" i="3"/>
  <c r="BA40" i="3" s="1"/>
  <c r="AT40" i="3"/>
  <c r="AP40" i="3"/>
  <c r="AH40" i="3"/>
  <c r="J40" i="3"/>
  <c r="CK39" i="3"/>
  <c r="CC39" i="3"/>
  <c r="BU39" i="3"/>
  <c r="AS39" i="3"/>
  <c r="AO39" i="3"/>
  <c r="Q39" i="3"/>
  <c r="I39" i="3"/>
  <c r="CU37" i="3"/>
  <c r="CI37" i="3"/>
  <c r="CE37" i="3"/>
  <c r="CA37" i="3"/>
  <c r="BW37" i="3"/>
  <c r="BC37" i="3"/>
  <c r="BC38" i="3" s="1"/>
  <c r="AU37" i="3"/>
  <c r="AM37" i="3"/>
  <c r="AI37" i="3"/>
  <c r="S37" i="3"/>
  <c r="K37" i="3"/>
  <c r="G37" i="3"/>
  <c r="CL36" i="3"/>
  <c r="CH36" i="3"/>
  <c r="CD36" i="3"/>
  <c r="BV36" i="3"/>
  <c r="BN36" i="3"/>
  <c r="BF36" i="3"/>
  <c r="AT36" i="3"/>
  <c r="AP36" i="3"/>
  <c r="AH36" i="3"/>
  <c r="R36" i="3"/>
  <c r="J36" i="3"/>
  <c r="CK35" i="3"/>
  <c r="CC35" i="3"/>
  <c r="BU35" i="3"/>
  <c r="AS35" i="3"/>
  <c r="AO35" i="3"/>
  <c r="Q35" i="3"/>
  <c r="I35" i="3"/>
  <c r="CW34" i="3"/>
  <c r="CJ34" i="3"/>
  <c r="CB34" i="3"/>
  <c r="BX34" i="3"/>
  <c r="CR34" i="3" s="1"/>
  <c r="BT34" i="3"/>
  <c r="BP34" i="3"/>
  <c r="BL34" i="3"/>
  <c r="AR34" i="3"/>
  <c r="AN34" i="3"/>
  <c r="AJ34" i="3"/>
  <c r="H34" i="3"/>
  <c r="F34" i="3" s="1"/>
  <c r="CU33" i="3"/>
  <c r="CI33" i="3"/>
  <c r="CE33" i="3"/>
  <c r="CA33" i="3"/>
  <c r="BW33" i="3"/>
  <c r="BC33" i="3"/>
  <c r="AU33" i="3"/>
  <c r="AM33" i="3"/>
  <c r="AI33" i="3"/>
  <c r="S33" i="3"/>
  <c r="K33" i="3"/>
  <c r="G33" i="3"/>
  <c r="CK31" i="3"/>
  <c r="CC31" i="3"/>
  <c r="BU31" i="3"/>
  <c r="AS31" i="3"/>
  <c r="AO31" i="3"/>
  <c r="Q31" i="3"/>
  <c r="I31" i="3"/>
  <c r="CW30" i="3"/>
  <c r="CJ30" i="3"/>
  <c r="CB30" i="3"/>
  <c r="BX30" i="3"/>
  <c r="BT30" i="3"/>
  <c r="BP30" i="3"/>
  <c r="BL30" i="3"/>
  <c r="AR30" i="3"/>
  <c r="AN30" i="3"/>
  <c r="M30" i="3" s="1"/>
  <c r="AJ30" i="3"/>
  <c r="H30" i="3"/>
  <c r="F30" i="3" s="1"/>
  <c r="CU29" i="3"/>
  <c r="CI29" i="3"/>
  <c r="CE29" i="3"/>
  <c r="CO29" i="3" s="1"/>
  <c r="CA29" i="3"/>
  <c r="BW29" i="3"/>
  <c r="BC29" i="3"/>
  <c r="AU29" i="3"/>
  <c r="AM29" i="3"/>
  <c r="AI29" i="3"/>
  <c r="S29" i="3"/>
  <c r="K29" i="3"/>
  <c r="G29" i="3"/>
  <c r="CL28" i="3"/>
  <c r="CH28" i="3"/>
  <c r="CD28" i="3"/>
  <c r="BV28" i="3"/>
  <c r="BN28" i="3"/>
  <c r="BF28" i="3"/>
  <c r="AT28" i="3"/>
  <c r="AP28" i="3"/>
  <c r="AH28" i="3"/>
  <c r="R28" i="3"/>
  <c r="J28" i="3"/>
  <c r="CU25" i="3"/>
  <c r="CI25" i="3"/>
  <c r="CE25" i="3"/>
  <c r="CA25" i="3"/>
  <c r="BW25" i="3"/>
  <c r="BC25" i="3"/>
  <c r="BC26" i="3" s="1"/>
  <c r="BC27" i="3" s="1"/>
  <c r="AU25" i="3"/>
  <c r="AM25" i="3"/>
  <c r="AI25" i="3"/>
  <c r="S25" i="3"/>
  <c r="K25" i="3"/>
  <c r="G25" i="3"/>
  <c r="CL24" i="3"/>
  <c r="CH24" i="3"/>
  <c r="CD24" i="3"/>
  <c r="BV24" i="3"/>
  <c r="BN24" i="3"/>
  <c r="BF24" i="3"/>
  <c r="AT24" i="3"/>
  <c r="AP24" i="3"/>
  <c r="AH24" i="3"/>
  <c r="R24" i="3"/>
  <c r="J24" i="3"/>
  <c r="CK23" i="3"/>
  <c r="CC23" i="3"/>
  <c r="BU23" i="3"/>
  <c r="AS23" i="3"/>
  <c r="AO23" i="3"/>
  <c r="Q23" i="3"/>
  <c r="I23" i="3"/>
  <c r="CW22" i="3"/>
  <c r="CJ22" i="3"/>
  <c r="CB22" i="3"/>
  <c r="BX22" i="3"/>
  <c r="BT22" i="3"/>
  <c r="BP22" i="3"/>
  <c r="BL22" i="3"/>
  <c r="AR22" i="3"/>
  <c r="AN22" i="3"/>
  <c r="AJ22" i="3"/>
  <c r="H22" i="3"/>
  <c r="F22" i="3" s="1"/>
  <c r="CL20" i="3"/>
  <c r="CH20" i="3"/>
  <c r="CD20" i="3"/>
  <c r="BV20" i="3"/>
  <c r="BN20" i="3"/>
  <c r="BR20" i="3" s="1"/>
  <c r="BF20" i="3"/>
  <c r="BF21" i="3" s="1"/>
  <c r="AT20" i="3"/>
  <c r="AP20" i="3"/>
  <c r="AH20" i="3"/>
  <c r="R20" i="3"/>
  <c r="J20" i="3"/>
  <c r="CK19" i="3"/>
  <c r="CC19" i="3"/>
  <c r="BU19" i="3"/>
  <c r="AS19" i="3"/>
  <c r="AO19" i="3"/>
  <c r="Q19" i="3"/>
  <c r="I19" i="3"/>
  <c r="CW18" i="3"/>
  <c r="CJ18" i="3"/>
  <c r="CB18" i="3"/>
  <c r="BX18" i="3"/>
  <c r="BT18" i="3"/>
  <c r="BP18" i="3"/>
  <c r="BL18" i="3"/>
  <c r="AR18" i="3"/>
  <c r="AN18" i="3"/>
  <c r="AJ18" i="3"/>
  <c r="H18" i="3"/>
  <c r="F18" i="3" s="1"/>
  <c r="CU17" i="3"/>
  <c r="CI17" i="3"/>
  <c r="CE17" i="3"/>
  <c r="CA17" i="3"/>
  <c r="BW17" i="3"/>
  <c r="BC17" i="3"/>
  <c r="AU17" i="3"/>
  <c r="AM17" i="3"/>
  <c r="AI17" i="3"/>
  <c r="S17" i="3"/>
  <c r="K17" i="3"/>
  <c r="G17" i="3"/>
  <c r="CL16" i="3"/>
  <c r="CH16" i="3"/>
  <c r="CD16" i="3"/>
  <c r="BV16" i="3"/>
  <c r="BN16" i="3"/>
  <c r="I11" i="3"/>
  <c r="Q11" i="3"/>
  <c r="AJ11" i="3"/>
  <c r="AN11" i="3"/>
  <c r="AR11" i="3"/>
  <c r="BL11" i="3"/>
  <c r="BP11" i="3"/>
  <c r="BR11" i="3" s="1"/>
  <c r="BT11" i="3"/>
  <c r="BX11" i="3"/>
  <c r="CB11" i="3"/>
  <c r="CJ11" i="3"/>
  <c r="CW11" i="3"/>
  <c r="I12" i="3"/>
  <c r="Q12" i="3"/>
  <c r="AO12" i="3"/>
  <c r="AS12" i="3"/>
  <c r="BU12" i="3"/>
  <c r="CC12" i="3"/>
  <c r="CK12" i="3"/>
  <c r="J13" i="3"/>
  <c r="R13" i="3"/>
  <c r="AH13" i="3"/>
  <c r="AP13" i="3"/>
  <c r="AT13" i="3"/>
  <c r="BF13" i="3"/>
  <c r="BA13" i="3" s="1"/>
  <c r="BB13" i="3" s="1"/>
  <c r="BN13" i="3"/>
  <c r="BR13" i="3" s="1"/>
  <c r="BV13" i="3"/>
  <c r="CD13" i="3"/>
  <c r="CH13" i="3"/>
  <c r="CL13" i="3"/>
  <c r="G14" i="3"/>
  <c r="K14" i="3"/>
  <c r="S14" i="3"/>
  <c r="AI14" i="3"/>
  <c r="AM14" i="3"/>
  <c r="AU14" i="3"/>
  <c r="BC14" i="3"/>
  <c r="BC15" i="3" s="1"/>
  <c r="BW14" i="3"/>
  <c r="CA14" i="3"/>
  <c r="CE14" i="3"/>
  <c r="CI14" i="3"/>
  <c r="CU14" i="3"/>
  <c r="I16" i="3"/>
  <c r="Q16" i="3"/>
  <c r="AO16" i="3"/>
  <c r="AS16" i="3"/>
  <c r="J17" i="3"/>
  <c r="R17" i="3"/>
  <c r="AH17" i="3"/>
  <c r="AP17" i="3"/>
  <c r="BF17" i="3"/>
  <c r="BN17" i="3"/>
  <c r="BV17" i="3"/>
  <c r="CD17" i="3"/>
  <c r="CL17" i="3"/>
  <c r="J18" i="3"/>
  <c r="R18" i="3"/>
  <c r="AH18" i="3"/>
  <c r="AP18" i="3"/>
  <c r="BF18" i="3"/>
  <c r="BN18" i="3"/>
  <c r="BV18" i="3"/>
  <c r="CD18" i="3"/>
  <c r="CL18" i="3"/>
  <c r="H19" i="3"/>
  <c r="F19" i="3" s="1"/>
  <c r="AN19" i="3"/>
  <c r="BL19" i="3"/>
  <c r="BT19" i="3"/>
  <c r="CB19" i="3"/>
  <c r="CJ19" i="3"/>
  <c r="AS20" i="3"/>
  <c r="G22" i="3"/>
  <c r="AM22" i="3"/>
  <c r="AU22" i="3"/>
  <c r="BC22" i="3"/>
  <c r="CA22" i="3"/>
  <c r="CI22" i="3"/>
  <c r="G23" i="3"/>
  <c r="AM23" i="3"/>
  <c r="AU23" i="3"/>
  <c r="BC23" i="3"/>
  <c r="CA23" i="3"/>
  <c r="CI23" i="3"/>
  <c r="AJ24" i="3"/>
  <c r="AR24" i="3"/>
  <c r="BP24" i="3"/>
  <c r="BX24" i="3"/>
  <c r="CW24" i="3"/>
  <c r="I25" i="3"/>
  <c r="Q25" i="3"/>
  <c r="AO25" i="3"/>
  <c r="BU25" i="3"/>
  <c r="CC25" i="3"/>
  <c r="CK25" i="3"/>
  <c r="I28" i="3"/>
  <c r="Q28" i="3"/>
  <c r="AO28" i="3"/>
  <c r="BU28" i="3"/>
  <c r="CC28" i="3"/>
  <c r="CK28" i="3"/>
  <c r="AT29" i="3"/>
  <c r="CH29" i="3"/>
  <c r="AT30" i="3"/>
  <c r="CH30" i="3"/>
  <c r="AJ31" i="3"/>
  <c r="AR31" i="3"/>
  <c r="BP31" i="3"/>
  <c r="BX31" i="3"/>
  <c r="CW31" i="3"/>
  <c r="AT33" i="3"/>
  <c r="CH33" i="3"/>
  <c r="AT34" i="3"/>
  <c r="CH34" i="3"/>
  <c r="AJ35" i="3"/>
  <c r="AR35" i="3"/>
  <c r="BP35" i="3"/>
  <c r="BX35" i="3"/>
  <c r="CW35" i="3"/>
  <c r="I36" i="3"/>
  <c r="Q36" i="3"/>
  <c r="AO36" i="3"/>
  <c r="BU36" i="3"/>
  <c r="CC36" i="3"/>
  <c r="CK36" i="3"/>
  <c r="AT37" i="3"/>
  <c r="CH37" i="3"/>
  <c r="K39" i="3"/>
  <c r="S39" i="3"/>
  <c r="AI39" i="3"/>
  <c r="BW39" i="3"/>
  <c r="CE39" i="3"/>
  <c r="CU39" i="3"/>
  <c r="H40" i="3"/>
  <c r="F40" i="3" s="1"/>
  <c r="AN40" i="3"/>
  <c r="BL40" i="3"/>
  <c r="BT40" i="3"/>
  <c r="CB40" i="3"/>
  <c r="CJ40" i="3"/>
  <c r="AS41" i="3"/>
  <c r="K42" i="3"/>
  <c r="S42" i="3"/>
  <c r="AI42" i="3"/>
  <c r="BW42" i="3"/>
  <c r="CE42" i="3"/>
  <c r="CU42" i="3"/>
  <c r="AS45" i="3"/>
  <c r="K46" i="3"/>
  <c r="S46" i="3"/>
  <c r="BW46" i="3"/>
  <c r="CE46" i="3"/>
  <c r="CU46" i="3"/>
  <c r="K47" i="3"/>
  <c r="S47" i="3"/>
  <c r="N47" i="3" s="1"/>
  <c r="BW47" i="3"/>
  <c r="CE47" i="3"/>
  <c r="CU47" i="3"/>
  <c r="H48" i="3"/>
  <c r="F48" i="3" s="1"/>
  <c r="BL48" i="3"/>
  <c r="BT48" i="3"/>
  <c r="CB48" i="3"/>
  <c r="CJ48" i="3"/>
  <c r="J50" i="3"/>
  <c r="R50" i="3"/>
  <c r="AH50" i="3"/>
  <c r="AH51" i="3" s="1"/>
  <c r="AH52" i="3" s="1"/>
  <c r="AH53" i="3" s="1"/>
  <c r="AH54" i="3" s="1"/>
  <c r="AP50" i="3"/>
  <c r="BF50" i="3"/>
  <c r="BN50" i="3"/>
  <c r="BV50" i="3"/>
  <c r="CD50" i="3"/>
  <c r="CL50" i="3"/>
  <c r="H51" i="3"/>
  <c r="F51" i="3" s="1"/>
  <c r="BL51" i="3"/>
  <c r="BT51" i="3"/>
  <c r="BV51" i="3" s="1"/>
  <c r="CB51" i="3"/>
  <c r="J53" i="3"/>
  <c r="R53" i="3"/>
  <c r="AP53" i="3"/>
  <c r="BF53" i="3"/>
  <c r="BN53" i="3"/>
  <c r="CD53" i="3"/>
  <c r="CL53" i="3"/>
  <c r="J54" i="3"/>
  <c r="R54" i="3"/>
  <c r="AP54" i="3"/>
  <c r="BF54" i="3"/>
  <c r="BF55" i="3" s="1"/>
  <c r="BN54" i="3"/>
  <c r="BR54" i="3" s="1"/>
  <c r="CD54" i="3"/>
  <c r="CL54" i="3"/>
  <c r="J57" i="3"/>
  <c r="AP57" i="3"/>
  <c r="G58" i="3"/>
  <c r="H59" i="3"/>
  <c r="F59" i="3" s="1"/>
  <c r="R59" i="3"/>
  <c r="BX62" i="3"/>
  <c r="I63" i="3"/>
  <c r="AO63" i="3"/>
  <c r="BU63" i="3"/>
  <c r="CK63" i="3"/>
  <c r="G64" i="3"/>
  <c r="BC64" i="3"/>
  <c r="CI64" i="3"/>
  <c r="G65" i="3"/>
  <c r="BC65" i="3"/>
  <c r="BC66" i="3" s="1"/>
  <c r="CI65" i="3"/>
  <c r="CH67" i="3"/>
  <c r="CH68" i="3"/>
  <c r="AJ69" i="3"/>
  <c r="BP69" i="3"/>
  <c r="CW69" i="3"/>
  <c r="AJ70" i="3"/>
  <c r="BF71" i="3"/>
  <c r="BF72" i="3" s="1"/>
  <c r="CA71" i="3"/>
  <c r="CC71" i="3" s="1"/>
  <c r="AJ73" i="3"/>
  <c r="CA73" i="3"/>
  <c r="BX74" i="3"/>
  <c r="AT75" i="3"/>
  <c r="CK75" i="3"/>
  <c r="BN76" i="3"/>
  <c r="CI76" i="3"/>
  <c r="R82" i="3"/>
  <c r="AU83" i="3"/>
  <c r="CL83" i="3"/>
  <c r="BL85" i="3"/>
  <c r="AP87" i="3"/>
  <c r="BT88" i="3"/>
  <c r="G92" i="3"/>
  <c r="D92" i="3" s="1"/>
  <c r="E92" i="3" s="1"/>
  <c r="I94" i="3"/>
  <c r="CK97" i="3"/>
  <c r="CI99" i="3"/>
  <c r="AN100" i="3"/>
  <c r="AU103" i="3"/>
  <c r="J11" i="3"/>
  <c r="R11" i="3"/>
  <c r="AO11" i="3"/>
  <c r="BU11" i="3"/>
  <c r="BU15" i="3" s="1"/>
  <c r="CC11" i="3"/>
  <c r="CK11" i="3"/>
  <c r="J12" i="3"/>
  <c r="R12" i="3"/>
  <c r="AH12" i="3"/>
  <c r="AP12" i="3"/>
  <c r="AT12" i="3"/>
  <c r="BF12" i="3"/>
  <c r="BN12" i="3"/>
  <c r="BV12" i="3"/>
  <c r="CD12" i="3"/>
  <c r="CH12" i="3"/>
  <c r="CL12" i="3"/>
  <c r="G13" i="3"/>
  <c r="K13" i="3"/>
  <c r="S13" i="3"/>
  <c r="AI13" i="3"/>
  <c r="AM13" i="3"/>
  <c r="AU13" i="3"/>
  <c r="BC13" i="3"/>
  <c r="BW13" i="3"/>
  <c r="CA13" i="3"/>
  <c r="CE13" i="3"/>
  <c r="CO13" i="3" s="1"/>
  <c r="CI13" i="3"/>
  <c r="CU13" i="3"/>
  <c r="H14" i="3"/>
  <c r="F14" i="3" s="1"/>
  <c r="AJ14" i="3"/>
  <c r="AN14" i="3"/>
  <c r="AR14" i="3"/>
  <c r="BL14" i="3"/>
  <c r="BP14" i="3"/>
  <c r="BT14" i="3"/>
  <c r="BX14" i="3"/>
  <c r="CB14" i="3"/>
  <c r="CJ14" i="3"/>
  <c r="CW14" i="3"/>
  <c r="J16" i="3"/>
  <c r="R16" i="3"/>
  <c r="AH16" i="3"/>
  <c r="AP16" i="3"/>
  <c r="AT16" i="3"/>
  <c r="BL16" i="3"/>
  <c r="BT16" i="3"/>
  <c r="CB16" i="3"/>
  <c r="CJ16" i="3"/>
  <c r="AS17" i="3"/>
  <c r="K18" i="3"/>
  <c r="S18" i="3"/>
  <c r="AI18" i="3"/>
  <c r="BW18" i="3"/>
  <c r="CE18" i="3"/>
  <c r="CO18" i="3" s="1"/>
  <c r="CU18" i="3"/>
  <c r="K19" i="3"/>
  <c r="S19" i="3"/>
  <c r="AI19" i="3"/>
  <c r="BW19" i="3"/>
  <c r="CE19" i="3"/>
  <c r="CO19" i="3" s="1"/>
  <c r="CU19" i="3"/>
  <c r="H20" i="3"/>
  <c r="F20" i="3" s="1"/>
  <c r="AN20" i="3"/>
  <c r="BL20" i="3"/>
  <c r="BT20" i="3"/>
  <c r="CB20" i="3"/>
  <c r="CJ20" i="3"/>
  <c r="J22" i="3"/>
  <c r="R22" i="3"/>
  <c r="AH22" i="3"/>
  <c r="AP22" i="3"/>
  <c r="BF22" i="3"/>
  <c r="BN22" i="3"/>
  <c r="BV22" i="3"/>
  <c r="CD22" i="3"/>
  <c r="CL22" i="3"/>
  <c r="H23" i="3"/>
  <c r="F23" i="3" s="1"/>
  <c r="AN23" i="3"/>
  <c r="BL23" i="3"/>
  <c r="BT23" i="3"/>
  <c r="CB23" i="3"/>
  <c r="CJ23" i="3"/>
  <c r="AS24" i="3"/>
  <c r="J25" i="3"/>
  <c r="R25" i="3"/>
  <c r="AH25" i="3"/>
  <c r="AP25" i="3"/>
  <c r="BF25" i="3"/>
  <c r="BF26" i="3" s="1"/>
  <c r="BF27" i="3" s="1"/>
  <c r="BN25" i="3"/>
  <c r="BV25" i="3"/>
  <c r="CD25" i="3"/>
  <c r="CL25" i="3"/>
  <c r="AJ28" i="3"/>
  <c r="AR28" i="3"/>
  <c r="BP28" i="3"/>
  <c r="BX28" i="3"/>
  <c r="CW28" i="3"/>
  <c r="I29" i="3"/>
  <c r="Q29" i="3"/>
  <c r="AO29" i="3"/>
  <c r="BU29" i="3"/>
  <c r="CC29" i="3"/>
  <c r="CK29" i="3"/>
  <c r="G30" i="3"/>
  <c r="AM30" i="3"/>
  <c r="AU30" i="3"/>
  <c r="BC30" i="3"/>
  <c r="CA30" i="3"/>
  <c r="CI30" i="3"/>
  <c r="G31" i="3"/>
  <c r="D31" i="3" s="1"/>
  <c r="E31" i="3" s="1"/>
  <c r="AM31" i="3"/>
  <c r="AU31" i="3"/>
  <c r="BC31" i="3"/>
  <c r="BC32" i="3" s="1"/>
  <c r="CA31" i="3"/>
  <c r="CI31" i="3"/>
  <c r="I33" i="3"/>
  <c r="Q33" i="3"/>
  <c r="AO33" i="3"/>
  <c r="BU33" i="3"/>
  <c r="CC33" i="3"/>
  <c r="CK33" i="3"/>
  <c r="G34" i="3"/>
  <c r="AM34" i="3"/>
  <c r="AU34" i="3"/>
  <c r="BC34" i="3"/>
  <c r="CA34" i="3"/>
  <c r="CI34" i="3"/>
  <c r="G35" i="3"/>
  <c r="AM35" i="3"/>
  <c r="AU35" i="3"/>
  <c r="BC35" i="3"/>
  <c r="CA35" i="3"/>
  <c r="CI35" i="3"/>
  <c r="AJ36" i="3"/>
  <c r="AR36" i="3"/>
  <c r="BP36" i="3"/>
  <c r="BX36" i="3"/>
  <c r="CW36" i="3"/>
  <c r="I37" i="3"/>
  <c r="Q37" i="3"/>
  <c r="AO37" i="3"/>
  <c r="BU37" i="3"/>
  <c r="CC37" i="3"/>
  <c r="CK37" i="3"/>
  <c r="AJ39" i="3"/>
  <c r="AR39" i="3"/>
  <c r="BP39" i="3"/>
  <c r="BX39" i="3"/>
  <c r="CW39" i="3"/>
  <c r="I40" i="3"/>
  <c r="Q40" i="3"/>
  <c r="AO40" i="3"/>
  <c r="BU40" i="3"/>
  <c r="CC40" i="3"/>
  <c r="CK40" i="3"/>
  <c r="AT41" i="3"/>
  <c r="CH41" i="3"/>
  <c r="AT42" i="3"/>
  <c r="CH42" i="3"/>
  <c r="AT45" i="3"/>
  <c r="CH45" i="3"/>
  <c r="AT46" i="3"/>
  <c r="CH46" i="3"/>
  <c r="AJ47" i="3"/>
  <c r="AR47" i="3"/>
  <c r="BP47" i="3"/>
  <c r="BX47" i="3"/>
  <c r="CW47" i="3"/>
  <c r="I48" i="3"/>
  <c r="Q48" i="3"/>
  <c r="R48" i="3" s="1"/>
  <c r="AO48" i="3"/>
  <c r="BU48" i="3"/>
  <c r="CC48" i="3"/>
  <c r="CK48" i="3"/>
  <c r="K50" i="3"/>
  <c r="S50" i="3"/>
  <c r="BW50" i="3"/>
  <c r="CE50" i="3"/>
  <c r="CU50" i="3"/>
  <c r="K51" i="3"/>
  <c r="S51" i="3"/>
  <c r="BW51" i="3"/>
  <c r="CE51" i="3"/>
  <c r="CO51" i="3" s="1"/>
  <c r="CU51" i="3"/>
  <c r="H52" i="3"/>
  <c r="F52" i="3" s="1"/>
  <c r="BL52" i="3"/>
  <c r="BT52" i="3"/>
  <c r="BV52" i="3" s="1"/>
  <c r="CB52" i="3"/>
  <c r="K54" i="3"/>
  <c r="S54" i="3"/>
  <c r="BW54" i="3"/>
  <c r="CE54" i="3"/>
  <c r="CU54" i="3"/>
  <c r="CU55" i="3"/>
  <c r="H56" i="3"/>
  <c r="F56" i="3" s="1"/>
  <c r="BL56" i="3"/>
  <c r="BT56" i="3"/>
  <c r="CB56" i="3"/>
  <c r="AT57" i="3"/>
  <c r="CU57" i="3"/>
  <c r="K58" i="3"/>
  <c r="BL58" i="3"/>
  <c r="BW58" i="3"/>
  <c r="I59" i="3"/>
  <c r="BN59" i="3"/>
  <c r="CD59" i="3"/>
  <c r="AT63" i="3"/>
  <c r="AT64" i="3"/>
  <c r="BX65" i="3"/>
  <c r="I67" i="3"/>
  <c r="AO67" i="3"/>
  <c r="BU67" i="3"/>
  <c r="CK67" i="3"/>
  <c r="G68" i="3"/>
  <c r="BC68" i="3"/>
  <c r="CI68" i="3"/>
  <c r="G69" i="3"/>
  <c r="D69" i="3" s="1"/>
  <c r="E69" i="3" s="1"/>
  <c r="BC69" i="3"/>
  <c r="CI69" i="3"/>
  <c r="I70" i="3"/>
  <c r="AO70" i="3"/>
  <c r="AT71" i="3"/>
  <c r="CK71" i="3"/>
  <c r="CU72" i="3"/>
  <c r="BL73" i="3"/>
  <c r="J75" i="3"/>
  <c r="AT76" i="3"/>
  <c r="BL81" i="3"/>
  <c r="BU82" i="3"/>
  <c r="BX85" i="3"/>
  <c r="BU86" i="3"/>
  <c r="AU88" i="3"/>
  <c r="CL88" i="3"/>
  <c r="BX89" i="3"/>
  <c r="S91" i="3"/>
  <c r="BX91" i="3"/>
  <c r="J98" i="3"/>
  <c r="CB103" i="3"/>
  <c r="DA94" i="3"/>
  <c r="DA71" i="3"/>
  <c r="DA75" i="3"/>
  <c r="DA83" i="3"/>
  <c r="DA98" i="3"/>
  <c r="CW104" i="3"/>
  <c r="CB104" i="3"/>
  <c r="BX104" i="3"/>
  <c r="BT104" i="3"/>
  <c r="BP104" i="3"/>
  <c r="BL104" i="3"/>
  <c r="C105" i="3"/>
  <c r="CZ104" i="3"/>
  <c r="DA104" i="3" s="1"/>
  <c r="CU104" i="3"/>
  <c r="CI104" i="3"/>
  <c r="CE104" i="3"/>
  <c r="CA104" i="3"/>
  <c r="BW104" i="3"/>
  <c r="CL104" i="3"/>
  <c r="CD104" i="3"/>
  <c r="BN104" i="3"/>
  <c r="BF104" i="3"/>
  <c r="AT104" i="3"/>
  <c r="AP104" i="3"/>
  <c r="R104" i="3"/>
  <c r="J104" i="3"/>
  <c r="CK104" i="3"/>
  <c r="BU104" i="3"/>
  <c r="AS104" i="3"/>
  <c r="AO104" i="3"/>
  <c r="I104" i="3"/>
  <c r="CH104" i="3"/>
  <c r="CJ104" i="3" s="1"/>
  <c r="AN104" i="3"/>
  <c r="H104" i="3"/>
  <c r="F104" i="3" s="1"/>
  <c r="BC104" i="3"/>
  <c r="AU104" i="3"/>
  <c r="G104" i="3"/>
  <c r="D104" i="3" s="1"/>
  <c r="E104" i="3" s="1"/>
  <c r="S104" i="3"/>
  <c r="AI104" i="3"/>
  <c r="CL103" i="3"/>
  <c r="CH103" i="3"/>
  <c r="CJ103" i="3" s="1"/>
  <c r="CD103" i="3"/>
  <c r="BN103" i="3"/>
  <c r="BF103" i="3"/>
  <c r="AT103" i="3"/>
  <c r="AP103" i="3"/>
  <c r="R103" i="3"/>
  <c r="J103" i="3"/>
  <c r="CK103" i="3"/>
  <c r="BU103" i="3"/>
  <c r="AS103" i="3"/>
  <c r="AO103" i="3"/>
  <c r="I103" i="3"/>
  <c r="K103" i="3"/>
  <c r="S103" i="3"/>
  <c r="AI103" i="3"/>
  <c r="BW103" i="3"/>
  <c r="CE103" i="3"/>
  <c r="CU103" i="3"/>
  <c r="AJ103" i="3"/>
  <c r="BP103" i="3"/>
  <c r="BX103" i="3"/>
  <c r="CW103" i="3"/>
  <c r="CK109" i="3"/>
  <c r="BU109" i="3"/>
  <c r="AS109" i="3"/>
  <c r="AO109" i="3"/>
  <c r="CU109" i="3"/>
  <c r="CE109" i="3"/>
  <c r="BT109" i="3"/>
  <c r="AT109" i="3"/>
  <c r="AN109" i="3"/>
  <c r="AI109" i="3"/>
  <c r="R109" i="3"/>
  <c r="J109" i="3"/>
  <c r="C110" i="3"/>
  <c r="CZ109" i="3"/>
  <c r="DA109" i="3" s="1"/>
  <c r="CI109" i="3"/>
  <c r="CD109" i="3"/>
  <c r="BX109" i="3"/>
  <c r="BN109" i="3"/>
  <c r="BC109" i="3"/>
  <c r="I109" i="3"/>
  <c r="K109" i="3"/>
  <c r="S109" i="3"/>
  <c r="AJ109" i="3"/>
  <c r="AU109" i="3"/>
  <c r="BF109" i="3"/>
  <c r="BP109" i="3"/>
  <c r="CA109" i="3"/>
  <c r="CL109" i="3"/>
  <c r="AV39" i="3" l="1"/>
  <c r="AV18" i="3"/>
  <c r="D23" i="3"/>
  <c r="E23" i="3" s="1"/>
  <c r="BX77" i="3"/>
  <c r="D35" i="3"/>
  <c r="E35" i="3" s="1"/>
  <c r="J21" i="3"/>
  <c r="BN15" i="3"/>
  <c r="CO75" i="3"/>
  <c r="BR65" i="3"/>
  <c r="CB32" i="3"/>
  <c r="BP43" i="3"/>
  <c r="N13" i="3"/>
  <c r="D65" i="3"/>
  <c r="E65" i="3" s="1"/>
  <c r="AV11" i="3"/>
  <c r="N17" i="3"/>
  <c r="D25" i="3"/>
  <c r="E25" i="3" s="1"/>
  <c r="CO48" i="3"/>
  <c r="CO88" i="3"/>
  <c r="CO59" i="3"/>
  <c r="BR87" i="3"/>
  <c r="CO86" i="3"/>
  <c r="CJ63" i="3"/>
  <c r="CC52" i="3"/>
  <c r="BR53" i="3"/>
  <c r="D29" i="3"/>
  <c r="E29" i="3" s="1"/>
  <c r="CJ87" i="3"/>
  <c r="BX95" i="3"/>
  <c r="N51" i="3"/>
  <c r="AV35" i="3"/>
  <c r="CO25" i="3"/>
  <c r="BV69" i="3"/>
  <c r="CC75" i="3"/>
  <c r="BW32" i="3"/>
  <c r="N52" i="3"/>
  <c r="BR86" i="3"/>
  <c r="CO63" i="3"/>
  <c r="CJ71" i="3"/>
  <c r="BP84" i="3"/>
  <c r="BR71" i="3"/>
  <c r="N109" i="3"/>
  <c r="D64" i="3"/>
  <c r="E64" i="3" s="1"/>
  <c r="BX15" i="3"/>
  <c r="BX27" i="3" s="1"/>
  <c r="N37" i="3"/>
  <c r="CU32" i="3"/>
  <c r="N103" i="3"/>
  <c r="D53" i="3"/>
  <c r="E53" i="3" s="1"/>
  <c r="D48" i="3"/>
  <c r="E48" i="3" s="1"/>
  <c r="CO65" i="3"/>
  <c r="CJ68" i="3"/>
  <c r="D14" i="3"/>
  <c r="E14" i="3" s="1"/>
  <c r="CB15" i="3"/>
  <c r="BL15" i="3"/>
  <c r="BU43" i="3"/>
  <c r="CH43" i="3"/>
  <c r="BV68" i="3"/>
  <c r="D89" i="3"/>
  <c r="E89" i="3" s="1"/>
  <c r="N30" i="3"/>
  <c r="N34" i="3"/>
  <c r="D34" i="3"/>
  <c r="E34" i="3" s="1"/>
  <c r="J55" i="3"/>
  <c r="BW43" i="3"/>
  <c r="BR17" i="3"/>
  <c r="N25" i="3"/>
  <c r="CA21" i="3"/>
  <c r="D20" i="3"/>
  <c r="E20" i="3" s="1"/>
  <c r="N36" i="3"/>
  <c r="BV103" i="3"/>
  <c r="CD95" i="3"/>
  <c r="N104" i="3"/>
  <c r="BX90" i="3"/>
  <c r="BR59" i="3"/>
  <c r="N54" i="3"/>
  <c r="K55" i="3"/>
  <c r="CK38" i="3"/>
  <c r="BX32" i="3"/>
  <c r="BR25" i="3"/>
  <c r="J26" i="3"/>
  <c r="CD15" i="3"/>
  <c r="D41" i="3"/>
  <c r="E41" i="3" s="1"/>
  <c r="CI49" i="3"/>
  <c r="CC53" i="3"/>
  <c r="CD60" i="3"/>
  <c r="N58" i="3"/>
  <c r="J72" i="3"/>
  <c r="BP101" i="3"/>
  <c r="CO36" i="3"/>
  <c r="Q49" i="3"/>
  <c r="V50" i="3" s="1"/>
  <c r="BR47" i="3"/>
  <c r="BU77" i="3"/>
  <c r="CH15" i="3"/>
  <c r="CO34" i="3"/>
  <c r="CI72" i="3"/>
  <c r="BR75" i="3"/>
  <c r="CB95" i="3"/>
  <c r="CC100" i="3"/>
  <c r="J77" i="3"/>
  <c r="CJ73" i="3"/>
  <c r="N74" i="3"/>
  <c r="BV75" i="3"/>
  <c r="N98" i="3"/>
  <c r="CD38" i="3"/>
  <c r="J38" i="3"/>
  <c r="CO35" i="3"/>
  <c r="BR42" i="3"/>
  <c r="CK66" i="3"/>
  <c r="CO64" i="3"/>
  <c r="N65" i="3"/>
  <c r="N75" i="3"/>
  <c r="CO76" i="3"/>
  <c r="N59" i="3"/>
  <c r="CJ75" i="3"/>
  <c r="BR69" i="3"/>
  <c r="D70" i="3"/>
  <c r="E70" i="3" s="1"/>
  <c r="BR88" i="3"/>
  <c r="BL95" i="3"/>
  <c r="CB101" i="3"/>
  <c r="CI15" i="3"/>
  <c r="D18" i="3"/>
  <c r="E18" i="3" s="1"/>
  <c r="N35" i="3"/>
  <c r="CB43" i="3"/>
  <c r="CC82" i="3"/>
  <c r="BR89" i="3"/>
  <c r="N99" i="3"/>
  <c r="BV99" i="3"/>
  <c r="CJ100" i="3"/>
  <c r="BV108" i="3"/>
  <c r="CJ54" i="3"/>
  <c r="CU15" i="3"/>
  <c r="CC69" i="3"/>
  <c r="N89" i="3"/>
  <c r="BU101" i="3"/>
  <c r="CJ82" i="3"/>
  <c r="D100" i="3"/>
  <c r="E100" i="3" s="1"/>
  <c r="N82" i="3"/>
  <c r="D86" i="3"/>
  <c r="E86" i="3" s="1"/>
  <c r="N100" i="3"/>
  <c r="D94" i="3"/>
  <c r="E94" i="3" s="1"/>
  <c r="CC98" i="3"/>
  <c r="BR92" i="3"/>
  <c r="D93" i="3"/>
  <c r="E93" i="3" s="1"/>
  <c r="BV98" i="3"/>
  <c r="AV36" i="3"/>
  <c r="AV54" i="3"/>
  <c r="AV53" i="3"/>
  <c r="AV19" i="3"/>
  <c r="AV20" i="3"/>
  <c r="AV48" i="3"/>
  <c r="AV40" i="3"/>
  <c r="AV50" i="3"/>
  <c r="AV41" i="3"/>
  <c r="AV45" i="3"/>
  <c r="AV23" i="3"/>
  <c r="M103" i="3"/>
  <c r="AY40" i="3"/>
  <c r="AF40" i="3"/>
  <c r="W17" i="3"/>
  <c r="R21" i="3"/>
  <c r="AN21" i="3" s="1"/>
  <c r="M16" i="3"/>
  <c r="BP38" i="3"/>
  <c r="AX104" i="3"/>
  <c r="AE104" i="3"/>
  <c r="AX100" i="3"/>
  <c r="AE100" i="3"/>
  <c r="AG87" i="3"/>
  <c r="CC32" i="3"/>
  <c r="BH28" i="3"/>
  <c r="L28" i="3"/>
  <c r="Q32" i="3"/>
  <c r="V29" i="3"/>
  <c r="AD23" i="3"/>
  <c r="AW23" i="3"/>
  <c r="AQ23" i="3"/>
  <c r="AX19" i="3"/>
  <c r="AE19" i="3"/>
  <c r="AG17" i="3"/>
  <c r="AY16" i="3"/>
  <c r="AF16" i="3"/>
  <c r="W14" i="3"/>
  <c r="W15" i="3" s="1"/>
  <c r="M13" i="3"/>
  <c r="Q15" i="3"/>
  <c r="V12" i="3"/>
  <c r="L11" i="3"/>
  <c r="BH11" i="3"/>
  <c r="CD21" i="3"/>
  <c r="V20" i="3"/>
  <c r="V21" i="3" s="1"/>
  <c r="BH19" i="3"/>
  <c r="L19" i="3"/>
  <c r="AG40" i="3"/>
  <c r="N102" i="3"/>
  <c r="CU21" i="3"/>
  <c r="AE17" i="3"/>
  <c r="AX17" i="3"/>
  <c r="AF18" i="3"/>
  <c r="AY18" i="3"/>
  <c r="AG19" i="3"/>
  <c r="CL66" i="3"/>
  <c r="CR62" i="3"/>
  <c r="CO67" i="3"/>
  <c r="CE72" i="3"/>
  <c r="AG70" i="3"/>
  <c r="BT72" i="3"/>
  <c r="BV67" i="3"/>
  <c r="CR87" i="3"/>
  <c r="CB84" i="3"/>
  <c r="CR88" i="3"/>
  <c r="AY70" i="3"/>
  <c r="AF70" i="3"/>
  <c r="AF67" i="3"/>
  <c r="AY67" i="3"/>
  <c r="BT60" i="3"/>
  <c r="BV56" i="3"/>
  <c r="BA47" i="3"/>
  <c r="BB47" i="3" s="1"/>
  <c r="AV47" i="3"/>
  <c r="AD47" i="3"/>
  <c r="BN32" i="3"/>
  <c r="BR28" i="3"/>
  <c r="CL32" i="3"/>
  <c r="CR28" i="3"/>
  <c r="AV30" i="3"/>
  <c r="BA30" i="3"/>
  <c r="D33" i="3"/>
  <c r="G38" i="3"/>
  <c r="I38" i="3" s="1"/>
  <c r="AQ33" i="3"/>
  <c r="AW33" i="3"/>
  <c r="AD33" i="3"/>
  <c r="CI38" i="3"/>
  <c r="W37" i="3"/>
  <c r="W38" i="3" s="1"/>
  <c r="M36" i="3"/>
  <c r="AY39" i="3"/>
  <c r="AF39" i="3"/>
  <c r="CR52" i="3"/>
  <c r="J60" i="3"/>
  <c r="CR91" i="3"/>
  <c r="CL95" i="3"/>
  <c r="AE37" i="3"/>
  <c r="AX37" i="3"/>
  <c r="CR76" i="3"/>
  <c r="CE66" i="3"/>
  <c r="CO62" i="3"/>
  <c r="AG65" i="3"/>
  <c r="AD35" i="3"/>
  <c r="AW35" i="3"/>
  <c r="AQ35" i="3"/>
  <c r="AF33" i="3"/>
  <c r="AY33" i="3"/>
  <c r="BH29" i="3"/>
  <c r="L29" i="3"/>
  <c r="V30" i="3"/>
  <c r="W28" i="3"/>
  <c r="M25" i="3"/>
  <c r="CR22" i="3"/>
  <c r="CL26" i="3"/>
  <c r="BL21" i="3"/>
  <c r="W13" i="3"/>
  <c r="M12" i="3"/>
  <c r="CC15" i="3"/>
  <c r="AG28" i="3"/>
  <c r="BA50" i="3"/>
  <c r="BJ19" i="3"/>
  <c r="BB19" i="3"/>
  <c r="V35" i="3"/>
  <c r="BH34" i="3"/>
  <c r="L34" i="3"/>
  <c r="BV62" i="3"/>
  <c r="BT66" i="3"/>
  <c r="AG71" i="3"/>
  <c r="G95" i="3"/>
  <c r="D91" i="3"/>
  <c r="AF57" i="3"/>
  <c r="AY57" i="3"/>
  <c r="G77" i="3"/>
  <c r="D73" i="3"/>
  <c r="BT84" i="3"/>
  <c r="BT96" i="3" s="1"/>
  <c r="BV80" i="3"/>
  <c r="CU26" i="3"/>
  <c r="CB110" i="3"/>
  <c r="BX110" i="3"/>
  <c r="BT110" i="3"/>
  <c r="C111" i="3"/>
  <c r="CH110" i="3"/>
  <c r="BW110" i="3"/>
  <c r="BN110" i="3"/>
  <c r="BR110" i="3" s="1"/>
  <c r="BF110" i="3"/>
  <c r="AT110" i="3"/>
  <c r="AP110" i="3"/>
  <c r="R110" i="3"/>
  <c r="J110" i="3"/>
  <c r="CL110" i="3"/>
  <c r="CA110" i="3"/>
  <c r="AS110" i="3"/>
  <c r="AO110" i="3"/>
  <c r="I110" i="3"/>
  <c r="CU110" i="3"/>
  <c r="CK110" i="3"/>
  <c r="BP110" i="3"/>
  <c r="AJ110" i="3"/>
  <c r="CI110" i="3"/>
  <c r="AI110" i="3"/>
  <c r="S110" i="3"/>
  <c r="N110" i="3" s="1"/>
  <c r="K110" i="3"/>
  <c r="BU110" i="3"/>
  <c r="AN110" i="3"/>
  <c r="H110" i="3"/>
  <c r="F110" i="3" s="1"/>
  <c r="BC110" i="3"/>
  <c r="G110" i="3"/>
  <c r="CD110" i="3"/>
  <c r="AU110" i="3"/>
  <c r="BL110" i="3"/>
  <c r="CZ110" i="3"/>
  <c r="DA110" i="3" s="1"/>
  <c r="CE110" i="3"/>
  <c r="AX109" i="3"/>
  <c r="AE109" i="3"/>
  <c r="CO109" i="3"/>
  <c r="CR54" i="3"/>
  <c r="AG54" i="3"/>
  <c r="CR53" i="3"/>
  <c r="AG53" i="3"/>
  <c r="BN55" i="3"/>
  <c r="BR50" i="3"/>
  <c r="R55" i="3"/>
  <c r="AN55" i="3" s="1"/>
  <c r="AE40" i="3"/>
  <c r="AX40" i="3"/>
  <c r="CO39" i="3"/>
  <c r="CE43" i="3"/>
  <c r="BP26" i="3"/>
  <c r="V24" i="3"/>
  <c r="BH23" i="3"/>
  <c r="L23" i="3"/>
  <c r="CR40" i="3"/>
  <c r="BA42" i="3"/>
  <c r="CW43" i="3"/>
  <c r="CE49" i="3"/>
  <c r="CO45" i="3"/>
  <c r="AV46" i="3"/>
  <c r="AD46" i="3"/>
  <c r="BA46" i="3"/>
  <c r="BB46" i="3" s="1"/>
  <c r="AG67" i="3"/>
  <c r="CR67" i="3"/>
  <c r="CL72" i="3"/>
  <c r="AG68" i="3"/>
  <c r="CR68" i="3"/>
  <c r="CR19" i="3"/>
  <c r="CC26" i="3"/>
  <c r="W24" i="3"/>
  <c r="M23" i="3"/>
  <c r="V31" i="3"/>
  <c r="V32" i="3" s="1"/>
  <c r="BH30" i="3"/>
  <c r="L30" i="3"/>
  <c r="N40" i="3"/>
  <c r="AE41" i="3"/>
  <c r="AX41" i="3"/>
  <c r="AF42" i="3"/>
  <c r="AY42" i="3"/>
  <c r="AE45" i="3"/>
  <c r="AX45" i="3"/>
  <c r="BT49" i="3"/>
  <c r="CJ49" i="3"/>
  <c r="AF46" i="3"/>
  <c r="AY46" i="3"/>
  <c r="AG47" i="3"/>
  <c r="AQ47" i="3"/>
  <c r="CR47" i="3"/>
  <c r="S60" i="3"/>
  <c r="AO60" i="3" s="1"/>
  <c r="N56" i="3"/>
  <c r="CA60" i="3"/>
  <c r="CA61" i="3" s="1"/>
  <c r="CC56" i="3"/>
  <c r="AG88" i="3"/>
  <c r="CR69" i="3"/>
  <c r="CR70" i="3"/>
  <c r="CE77" i="3"/>
  <c r="CO77" i="3" s="1"/>
  <c r="CO73" i="3"/>
  <c r="CR74" i="3"/>
  <c r="S90" i="3"/>
  <c r="AO90" i="3" s="1"/>
  <c r="N85" i="3"/>
  <c r="BU21" i="3"/>
  <c r="G84" i="3"/>
  <c r="D80" i="3"/>
  <c r="I90" i="3"/>
  <c r="R95" i="3"/>
  <c r="AN95" i="3" s="1"/>
  <c r="BV92" i="3"/>
  <c r="BT95" i="3"/>
  <c r="CD77" i="3"/>
  <c r="AF80" i="3"/>
  <c r="AY80" i="3"/>
  <c r="BU84" i="3"/>
  <c r="CR85" i="3"/>
  <c r="CL90" i="3"/>
  <c r="AG89" i="3"/>
  <c r="BT101" i="3"/>
  <c r="BV97" i="3"/>
  <c r="AG93" i="3"/>
  <c r="BR93" i="3"/>
  <c r="R101" i="3"/>
  <c r="AI101" i="3" s="1"/>
  <c r="M97" i="3"/>
  <c r="CJ97" i="3"/>
  <c r="CH101" i="3"/>
  <c r="AX99" i="3"/>
  <c r="AE99" i="3"/>
  <c r="N108" i="3"/>
  <c r="I95" i="3"/>
  <c r="AG92" i="3"/>
  <c r="S101" i="3"/>
  <c r="AJ101" i="3" s="1"/>
  <c r="N97" i="3"/>
  <c r="CA101" i="3"/>
  <c r="CC97" i="3"/>
  <c r="AE98" i="3"/>
  <c r="AX98" i="3"/>
  <c r="CW101" i="3"/>
  <c r="AG102" i="3"/>
  <c r="BR102" i="3"/>
  <c r="M108" i="3"/>
  <c r="AW42" i="3"/>
  <c r="AD42" i="3"/>
  <c r="AQ42" i="3"/>
  <c r="K21" i="3"/>
  <c r="K15" i="3"/>
  <c r="BW26" i="3"/>
  <c r="AD12" i="3"/>
  <c r="AW12" i="3"/>
  <c r="AQ12" i="3"/>
  <c r="J84" i="3"/>
  <c r="BA16" i="3"/>
  <c r="AY24" i="3"/>
  <c r="AF24" i="3"/>
  <c r="AD51" i="3"/>
  <c r="AW51" i="3"/>
  <c r="AQ51" i="3"/>
  <c r="BX60" i="3"/>
  <c r="CW49" i="3"/>
  <c r="BA48" i="3"/>
  <c r="CK77" i="3"/>
  <c r="BH17" i="3"/>
  <c r="L17" i="3"/>
  <c r="V18" i="3"/>
  <c r="M42" i="3"/>
  <c r="W45" i="3"/>
  <c r="J49" i="3"/>
  <c r="J61" i="3" s="1"/>
  <c r="CR45" i="3"/>
  <c r="CL49" i="3"/>
  <c r="AG59" i="3"/>
  <c r="K77" i="3"/>
  <c r="AX31" i="3"/>
  <c r="AE31" i="3"/>
  <c r="CR29" i="3"/>
  <c r="AD16" i="3"/>
  <c r="AW16" i="3"/>
  <c r="AQ16" i="3"/>
  <c r="AF14" i="3"/>
  <c r="AY14" i="3"/>
  <c r="CR11" i="3"/>
  <c r="CL15" i="3"/>
  <c r="D11" i="3"/>
  <c r="G15" i="3"/>
  <c r="I15" i="3" s="1"/>
  <c r="AX35" i="3"/>
  <c r="AE35" i="3"/>
  <c r="CR33" i="3"/>
  <c r="CL38" i="3"/>
  <c r="BJ13" i="3"/>
  <c r="CC104" i="3"/>
  <c r="BL60" i="3"/>
  <c r="V41" i="3"/>
  <c r="BH40" i="3"/>
  <c r="L40" i="3"/>
  <c r="BA36" i="3"/>
  <c r="Q38" i="3"/>
  <c r="BH33" i="3"/>
  <c r="L33" i="3"/>
  <c r="V34" i="3"/>
  <c r="BP32" i="3"/>
  <c r="AG22" i="3"/>
  <c r="AE20" i="3"/>
  <c r="AX20" i="3"/>
  <c r="CJ21" i="3"/>
  <c r="BX66" i="3"/>
  <c r="CL55" i="3"/>
  <c r="CR50" i="3"/>
  <c r="BU32" i="3"/>
  <c r="AV24" i="3"/>
  <c r="BR18" i="3"/>
  <c r="AD14" i="3"/>
  <c r="AQ14" i="3"/>
  <c r="AW14" i="3"/>
  <c r="BA11" i="3"/>
  <c r="CH21" i="3"/>
  <c r="AY19" i="3"/>
  <c r="AF19" i="3"/>
  <c r="AG20" i="3"/>
  <c r="CR20" i="3"/>
  <c r="BT26" i="3"/>
  <c r="AF23" i="3"/>
  <c r="AY23" i="3"/>
  <c r="AG24" i="3"/>
  <c r="CR24" i="3"/>
  <c r="AQ29" i="3"/>
  <c r="AW29" i="3"/>
  <c r="AD29" i="3"/>
  <c r="V36" i="3"/>
  <c r="BH35" i="3"/>
  <c r="L35" i="3"/>
  <c r="BL55" i="3"/>
  <c r="CB55" i="3"/>
  <c r="R60" i="3"/>
  <c r="AN60" i="3" s="1"/>
  <c r="CH60" i="3"/>
  <c r="CJ56" i="3"/>
  <c r="D76" i="3"/>
  <c r="E76" i="3" s="1"/>
  <c r="CE21" i="3"/>
  <c r="CO16" i="3"/>
  <c r="AV17" i="3"/>
  <c r="BA17" i="3"/>
  <c r="AQ20" i="3"/>
  <c r="AD20" i="3"/>
  <c r="AW20" i="3"/>
  <c r="S32" i="3"/>
  <c r="N28" i="3"/>
  <c r="CA32" i="3"/>
  <c r="AE29" i="3"/>
  <c r="AX29" i="3"/>
  <c r="BR31" i="3"/>
  <c r="AE33" i="3"/>
  <c r="AX33" i="3"/>
  <c r="CJ38" i="3"/>
  <c r="BR35" i="3"/>
  <c r="CW38" i="3"/>
  <c r="BA37" i="3"/>
  <c r="BN43" i="3"/>
  <c r="BR43" i="3" s="1"/>
  <c r="BR39" i="3"/>
  <c r="BA41" i="3"/>
  <c r="BX49" i="3"/>
  <c r="BX61" i="3" s="1"/>
  <c r="AQ48" i="3"/>
  <c r="AD48" i="3"/>
  <c r="AW48" i="3"/>
  <c r="CE60" i="3"/>
  <c r="CO60" i="3" s="1"/>
  <c r="CO56" i="3"/>
  <c r="CB66" i="3"/>
  <c r="I77" i="3"/>
  <c r="BT77" i="3"/>
  <c r="BV74" i="3"/>
  <c r="AF75" i="3"/>
  <c r="AA75" i="3" s="1"/>
  <c r="AY75" i="3"/>
  <c r="CJ58" i="3"/>
  <c r="AG62" i="3"/>
  <c r="BN66" i="3"/>
  <c r="BR62" i="3"/>
  <c r="D63" i="3"/>
  <c r="E63" i="3" s="1"/>
  <c r="AY65" i="3"/>
  <c r="AF65" i="3"/>
  <c r="AA65" i="3" s="1"/>
  <c r="D67" i="3"/>
  <c r="G72" i="3"/>
  <c r="I72" i="3" s="1"/>
  <c r="AY69" i="3"/>
  <c r="AF69" i="3"/>
  <c r="CC80" i="3"/>
  <c r="CA84" i="3"/>
  <c r="CB90" i="3"/>
  <c r="AF94" i="3"/>
  <c r="AY94" i="3"/>
  <c r="AG98" i="3"/>
  <c r="G66" i="3"/>
  <c r="G78" i="3" s="1"/>
  <c r="D62" i="3"/>
  <c r="CI66" i="3"/>
  <c r="AF64" i="3"/>
  <c r="AY64" i="3"/>
  <c r="BX72" i="3"/>
  <c r="AG69" i="3"/>
  <c r="N73" i="3"/>
  <c r="S77" i="3"/>
  <c r="AO77" i="3" s="1"/>
  <c r="CO80" i="3"/>
  <c r="CE84" i="3"/>
  <c r="G90" i="3"/>
  <c r="D85" i="3"/>
  <c r="AG91" i="3"/>
  <c r="CC92" i="3"/>
  <c r="CA95" i="3"/>
  <c r="AG94" i="3"/>
  <c r="AG99" i="3"/>
  <c r="CH84" i="3"/>
  <c r="CJ80" i="3"/>
  <c r="BV81" i="3"/>
  <c r="BV85" i="3"/>
  <c r="BT90" i="3"/>
  <c r="D87" i="3"/>
  <c r="E87" i="3" s="1"/>
  <c r="BR91" i="3"/>
  <c r="BN95" i="3"/>
  <c r="R84" i="3"/>
  <c r="CI84" i="3"/>
  <c r="AY81" i="3"/>
  <c r="AF81" i="3"/>
  <c r="AA81" i="3" s="1"/>
  <c r="CC81" i="3"/>
  <c r="AF83" i="3"/>
  <c r="AY83" i="3"/>
  <c r="BP90" i="3"/>
  <c r="CK90" i="3"/>
  <c r="M98" i="3"/>
  <c r="CC103" i="3"/>
  <c r="R77" i="3"/>
  <c r="AN77" i="3" s="1"/>
  <c r="CA77" i="3"/>
  <c r="CC74" i="3"/>
  <c r="CJ81" i="3"/>
  <c r="BV83" i="3"/>
  <c r="CW84" i="3"/>
  <c r="AG85" i="3"/>
  <c r="BR85" i="3"/>
  <c r="BN90" i="3"/>
  <c r="AF88" i="3"/>
  <c r="AY88" i="3"/>
  <c r="BW95" i="3"/>
  <c r="AY93" i="3"/>
  <c r="AF93" i="3"/>
  <c r="CO100" i="3"/>
  <c r="AY92" i="3"/>
  <c r="AF92" i="3"/>
  <c r="BU95" i="3"/>
  <c r="CL101" i="3"/>
  <c r="CR97" i="3"/>
  <c r="AF91" i="3"/>
  <c r="AY91" i="3"/>
  <c r="CE101" i="3"/>
  <c r="CO97" i="3"/>
  <c r="AG100" i="3"/>
  <c r="BR100" i="3"/>
  <c r="BV102" i="3"/>
  <c r="AF102" i="3"/>
  <c r="AY102" i="3"/>
  <c r="D108" i="3"/>
  <c r="CR108" i="3"/>
  <c r="BU49" i="3"/>
  <c r="D42" i="3"/>
  <c r="E42" i="3" s="1"/>
  <c r="M34" i="3"/>
  <c r="W35" i="3"/>
  <c r="BR29" i="3"/>
  <c r="K26" i="3"/>
  <c r="CH55" i="3"/>
  <c r="AY52" i="3"/>
  <c r="AF52" i="3"/>
  <c r="AA52" i="3" s="1"/>
  <c r="CR57" i="3"/>
  <c r="V14" i="3"/>
  <c r="V15" i="3" s="1"/>
  <c r="BH13" i="3"/>
  <c r="L13" i="3"/>
  <c r="BP21" i="3"/>
  <c r="D19" i="3"/>
  <c r="E19" i="3" s="1"/>
  <c r="CW21" i="3"/>
  <c r="BA20" i="3"/>
  <c r="AE28" i="3"/>
  <c r="AX28" i="3"/>
  <c r="CJ32" i="3"/>
  <c r="CO31" i="3"/>
  <c r="CA55" i="3"/>
  <c r="AF53" i="3"/>
  <c r="AY53" i="3"/>
  <c r="AJ60" i="3"/>
  <c r="CJ64" i="3"/>
  <c r="D46" i="3"/>
  <c r="E46" i="3" s="1"/>
  <c r="AY56" i="3"/>
  <c r="AF56" i="3"/>
  <c r="AF59" i="3"/>
  <c r="AY59" i="3"/>
  <c r="CC65" i="3"/>
  <c r="CR71" i="3"/>
  <c r="M14" i="3"/>
  <c r="W16" i="3"/>
  <c r="AF17" i="3"/>
  <c r="AA17" i="3" s="1"/>
  <c r="AY17" i="3"/>
  <c r="CO30" i="3"/>
  <c r="AE36" i="3"/>
  <c r="AX36" i="3"/>
  <c r="CJ43" i="3"/>
  <c r="AG41" i="3"/>
  <c r="R49" i="3"/>
  <c r="W46" i="3"/>
  <c r="M45" i="3"/>
  <c r="BR45" i="3"/>
  <c r="BN49" i="3"/>
  <c r="AW54" i="3"/>
  <c r="AQ54" i="3"/>
  <c r="AD54" i="3"/>
  <c r="BV57" i="3"/>
  <c r="BR70" i="3"/>
  <c r="BJ40" i="3"/>
  <c r="CA43" i="3"/>
  <c r="AG37" i="3"/>
  <c r="BR33" i="3"/>
  <c r="BN38" i="3"/>
  <c r="CO22" i="3"/>
  <c r="CE26" i="3"/>
  <c r="G21" i="3"/>
  <c r="I21" i="3" s="1"/>
  <c r="D16" i="3"/>
  <c r="BV15" i="3"/>
  <c r="AD39" i="3"/>
  <c r="AW39" i="3"/>
  <c r="AQ39" i="3"/>
  <c r="W30" i="3"/>
  <c r="M29" i="3"/>
  <c r="Z29" i="3" s="1"/>
  <c r="AI21" i="3"/>
  <c r="M33" i="3"/>
  <c r="CR109" i="3"/>
  <c r="M109" i="3"/>
  <c r="AY109" i="3"/>
  <c r="AF109" i="3"/>
  <c r="AA109" i="3" s="1"/>
  <c r="AG103" i="3"/>
  <c r="BR103" i="3"/>
  <c r="CO104" i="3"/>
  <c r="BV104" i="3"/>
  <c r="S95" i="3"/>
  <c r="AO95" i="3" s="1"/>
  <c r="N91" i="3"/>
  <c r="BL77" i="3"/>
  <c r="CK72" i="3"/>
  <c r="CO50" i="3"/>
  <c r="CE55" i="3"/>
  <c r="CO55" i="3" s="1"/>
  <c r="BH48" i="3"/>
  <c r="L48" i="3"/>
  <c r="AF37" i="3"/>
  <c r="AY37" i="3"/>
  <c r="AW34" i="3"/>
  <c r="AQ34" i="3"/>
  <c r="AD34" i="3"/>
  <c r="BU38" i="3"/>
  <c r="D30" i="3"/>
  <c r="E30" i="3" s="1"/>
  <c r="BA28" i="3"/>
  <c r="AV28" i="3"/>
  <c r="AG25" i="3"/>
  <c r="AX23" i="3"/>
  <c r="AE23" i="3"/>
  <c r="BV26" i="3"/>
  <c r="N19" i="3"/>
  <c r="AA19" i="3" s="1"/>
  <c r="CB21" i="3"/>
  <c r="AG16" i="3"/>
  <c r="CW15" i="3"/>
  <c r="BA14" i="3"/>
  <c r="AV14" i="3"/>
  <c r="CR12" i="3"/>
  <c r="BR12" i="3"/>
  <c r="AG12" i="3"/>
  <c r="M11" i="3"/>
  <c r="R15" i="3"/>
  <c r="AI15" i="3" s="1"/>
  <c r="W12" i="3"/>
  <c r="CK101" i="3"/>
  <c r="CR83" i="3"/>
  <c r="BR76" i="3"/>
  <c r="AJ77" i="3"/>
  <c r="CD55" i="3"/>
  <c r="AG50" i="3"/>
  <c r="CO47" i="3"/>
  <c r="N42" i="3"/>
  <c r="CU43" i="3"/>
  <c r="CU44" i="3" s="1"/>
  <c r="K43" i="3"/>
  <c r="AY36" i="3"/>
  <c r="AF36" i="3"/>
  <c r="BA31" i="3"/>
  <c r="CW32" i="3"/>
  <c r="AV31" i="3"/>
  <c r="AF25" i="3"/>
  <c r="AY25" i="3"/>
  <c r="CI26" i="3"/>
  <c r="AW22" i="3"/>
  <c r="AD22" i="3"/>
  <c r="AQ22" i="3"/>
  <c r="CR18" i="3"/>
  <c r="M17" i="3"/>
  <c r="W18" i="3"/>
  <c r="CO14" i="3"/>
  <c r="CR13" i="3"/>
  <c r="AG13" i="3"/>
  <c r="AF12" i="3"/>
  <c r="AY12" i="3"/>
  <c r="CJ15" i="3"/>
  <c r="BT15" i="3"/>
  <c r="AE11" i="3"/>
  <c r="AX11" i="3"/>
  <c r="BR16" i="3"/>
  <c r="BN21" i="3"/>
  <c r="CR16" i="3"/>
  <c r="CL21" i="3"/>
  <c r="CO17" i="3"/>
  <c r="BA18" i="3"/>
  <c r="AV22" i="3"/>
  <c r="BX26" i="3"/>
  <c r="BA22" i="3"/>
  <c r="AQ25" i="3"/>
  <c r="AW25" i="3"/>
  <c r="AD25" i="3"/>
  <c r="R32" i="3"/>
  <c r="W29" i="3"/>
  <c r="M28" i="3"/>
  <c r="CD32" i="3"/>
  <c r="V33" i="3"/>
  <c r="BH31" i="3"/>
  <c r="L31" i="3"/>
  <c r="N33" i="3"/>
  <c r="S38" i="3"/>
  <c r="AO38" i="3" s="1"/>
  <c r="CA38" i="3"/>
  <c r="CU38" i="3"/>
  <c r="AE34" i="3"/>
  <c r="AX34" i="3"/>
  <c r="AY35" i="3"/>
  <c r="AF35" i="3"/>
  <c r="AA35" i="3" s="1"/>
  <c r="AG36" i="3"/>
  <c r="BR36" i="3"/>
  <c r="CR36" i="3"/>
  <c r="CO37" i="3"/>
  <c r="CC43" i="3"/>
  <c r="R40" i="3"/>
  <c r="BB40" i="3"/>
  <c r="K49" i="3"/>
  <c r="BW49" i="3"/>
  <c r="V48" i="3"/>
  <c r="V49" i="3" s="1"/>
  <c r="L47" i="3"/>
  <c r="BP55" i="3"/>
  <c r="AY51" i="3"/>
  <c r="AF51" i="3"/>
  <c r="AA51" i="3" s="1"/>
  <c r="CR56" i="3"/>
  <c r="CL60" i="3"/>
  <c r="BV58" i="3"/>
  <c r="R72" i="3"/>
  <c r="AN72" i="3" s="1"/>
  <c r="BN72" i="3"/>
  <c r="BR67" i="3"/>
  <c r="N71" i="3"/>
  <c r="AG80" i="3"/>
  <c r="AY82" i="3"/>
  <c r="AF82" i="3"/>
  <c r="CC88" i="3"/>
  <c r="CI21" i="3"/>
  <c r="W20" i="3"/>
  <c r="W21" i="3" s="1"/>
  <c r="M19" i="3"/>
  <c r="AF22" i="3"/>
  <c r="AY22" i="3"/>
  <c r="BU26" i="3"/>
  <c r="BU27" i="3" s="1"/>
  <c r="AG23" i="3"/>
  <c r="BR23" i="3"/>
  <c r="CR23" i="3"/>
  <c r="CO24" i="3"/>
  <c r="AV25" i="3"/>
  <c r="CW26" i="3"/>
  <c r="BA25" i="3"/>
  <c r="CE32" i="3"/>
  <c r="CO28" i="3"/>
  <c r="AV29" i="3"/>
  <c r="BA29" i="3"/>
  <c r="AV33" i="3"/>
  <c r="BX38" i="3"/>
  <c r="BX44" i="3" s="1"/>
  <c r="BA33" i="3"/>
  <c r="D36" i="3"/>
  <c r="E36" i="3" s="1"/>
  <c r="AQ36" i="3"/>
  <c r="AD36" i="3"/>
  <c r="AW36" i="3"/>
  <c r="J43" i="3"/>
  <c r="BV43" i="3"/>
  <c r="D40" i="3"/>
  <c r="E40" i="3" s="1"/>
  <c r="AQ40" i="3"/>
  <c r="AD40" i="3"/>
  <c r="AW40" i="3"/>
  <c r="BL49" i="3"/>
  <c r="BL61" i="3" s="1"/>
  <c r="CB49" i="3"/>
  <c r="W48" i="3"/>
  <c r="W49" i="3" s="1"/>
  <c r="W47" i="3"/>
  <c r="AF50" i="3"/>
  <c r="AY50" i="3"/>
  <c r="BU55" i="3"/>
  <c r="AG51" i="3"/>
  <c r="BR51" i="3"/>
  <c r="D52" i="3"/>
  <c r="E52" i="3" s="1"/>
  <c r="AQ52" i="3"/>
  <c r="AD52" i="3"/>
  <c r="AW52" i="3"/>
  <c r="AF54" i="3"/>
  <c r="AA54" i="3" s="1"/>
  <c r="AY54" i="3"/>
  <c r="G60" i="3"/>
  <c r="I60" i="3" s="1"/>
  <c r="D56" i="3"/>
  <c r="CI60" i="3"/>
  <c r="AY58" i="3"/>
  <c r="AF58" i="3"/>
  <c r="CC58" i="3"/>
  <c r="CO68" i="3"/>
  <c r="N69" i="3"/>
  <c r="CJ70" i="3"/>
  <c r="BV82" i="3"/>
  <c r="K90" i="3"/>
  <c r="CR58" i="3"/>
  <c r="J66" i="3"/>
  <c r="J78" i="3" s="1"/>
  <c r="CD66" i="3"/>
  <c r="K72" i="3"/>
  <c r="BW72" i="3"/>
  <c r="AY74" i="3"/>
  <c r="AF74" i="3"/>
  <c r="AG76" i="3"/>
  <c r="CC76" i="3"/>
  <c r="CR80" i="3"/>
  <c r="CL84" i="3"/>
  <c r="AG83" i="3"/>
  <c r="BP95" i="3"/>
  <c r="K66" i="3"/>
  <c r="BW66" i="3"/>
  <c r="CJ65" i="3"/>
  <c r="BL72" i="3"/>
  <c r="CB72" i="3"/>
  <c r="AF68" i="3"/>
  <c r="AA68" i="3" s="1"/>
  <c r="AY68" i="3"/>
  <c r="D71" i="3"/>
  <c r="E71" i="3" s="1"/>
  <c r="BV73" i="3"/>
  <c r="CJ76" i="3"/>
  <c r="S84" i="3"/>
  <c r="N80" i="3"/>
  <c r="BV86" i="3"/>
  <c r="CJ99" i="3"/>
  <c r="CO102" i="3"/>
  <c r="BL84" i="3"/>
  <c r="AG82" i="3"/>
  <c r="AG86" i="3"/>
  <c r="AJ95" i="3"/>
  <c r="BV91" i="3"/>
  <c r="AY97" i="3"/>
  <c r="AF97" i="3"/>
  <c r="CR98" i="3"/>
  <c r="CR99" i="3"/>
  <c r="BN84" i="3"/>
  <c r="BR80" i="3"/>
  <c r="AJ90" i="3"/>
  <c r="BU90" i="3"/>
  <c r="D88" i="3"/>
  <c r="E88" i="3" s="1"/>
  <c r="CW90" i="3"/>
  <c r="N92" i="3"/>
  <c r="AF98" i="3"/>
  <c r="AA98" i="3" s="1"/>
  <c r="AY98" i="3"/>
  <c r="M99" i="3"/>
  <c r="CL77" i="3"/>
  <c r="CR73" i="3"/>
  <c r="CO74" i="3"/>
  <c r="AF76" i="3"/>
  <c r="AA76" i="3" s="1"/>
  <c r="AY76" i="3"/>
  <c r="CK84" i="3"/>
  <c r="CR81" i="3"/>
  <c r="CO82" i="3"/>
  <c r="J90" i="3"/>
  <c r="CD90" i="3"/>
  <c r="CD96" i="3" s="1"/>
  <c r="CJ89" i="3"/>
  <c r="AE97" i="3"/>
  <c r="AX97" i="3"/>
  <c r="D103" i="3"/>
  <c r="E103" i="3" s="1"/>
  <c r="CJ93" i="3"/>
  <c r="N94" i="3"/>
  <c r="AA94" i="3" s="1"/>
  <c r="CC94" i="3"/>
  <c r="AG97" i="3"/>
  <c r="BN101" i="3"/>
  <c r="BR97" i="3"/>
  <c r="D98" i="3"/>
  <c r="E98" i="3" s="1"/>
  <c r="AY100" i="3"/>
  <c r="AF100" i="3"/>
  <c r="D102" i="3"/>
  <c r="CC102" i="3"/>
  <c r="CH95" i="3"/>
  <c r="CJ92" i="3"/>
  <c r="N93" i="3"/>
  <c r="AA93" i="3" s="1"/>
  <c r="CC93" i="3"/>
  <c r="BV94" i="3"/>
  <c r="G101" i="3"/>
  <c r="D97" i="3"/>
  <c r="CI101" i="3"/>
  <c r="AF99" i="3"/>
  <c r="AY99" i="3"/>
  <c r="M102" i="3"/>
  <c r="CJ102" i="3"/>
  <c r="AX108" i="3"/>
  <c r="AE108" i="3"/>
  <c r="AG108" i="3"/>
  <c r="BR108" i="3"/>
  <c r="AF45" i="3"/>
  <c r="AY45" i="3"/>
  <c r="M37" i="3"/>
  <c r="Z37" i="3" s="1"/>
  <c r="BV38" i="3"/>
  <c r="CO23" i="3"/>
  <c r="CC21" i="3"/>
  <c r="N11" i="3"/>
  <c r="S15" i="3"/>
  <c r="CH77" i="3"/>
  <c r="CJ74" i="3"/>
  <c r="CA15" i="3"/>
  <c r="AY13" i="3"/>
  <c r="AF13" i="3"/>
  <c r="AA13" i="3" s="1"/>
  <c r="AX16" i="3"/>
  <c r="AE16" i="3"/>
  <c r="BX21" i="3"/>
  <c r="AW18" i="3"/>
  <c r="AQ18" i="3"/>
  <c r="AD18" i="3"/>
  <c r="AD19" i="3"/>
  <c r="AW19" i="3"/>
  <c r="AQ19" i="3"/>
  <c r="BA23" i="3"/>
  <c r="BL32" i="3"/>
  <c r="N31" i="3"/>
  <c r="BT43" i="3"/>
  <c r="D50" i="3"/>
  <c r="G55" i="3"/>
  <c r="I55" i="3" s="1"/>
  <c r="CI55" i="3"/>
  <c r="CI61" i="3" s="1"/>
  <c r="CC54" i="3"/>
  <c r="BW77" i="3"/>
  <c r="CJ53" i="3"/>
  <c r="BU60" i="3"/>
  <c r="CC57" i="3"/>
  <c r="AX39" i="3"/>
  <c r="AE39" i="3"/>
  <c r="CR41" i="3"/>
  <c r="AG42" i="3"/>
  <c r="AH49" i="3"/>
  <c r="BV49" i="3"/>
  <c r="AG46" i="3"/>
  <c r="AW50" i="3"/>
  <c r="AQ50" i="3"/>
  <c r="AD50" i="3"/>
  <c r="CO57" i="3"/>
  <c r="CR59" i="3"/>
  <c r="CC68" i="3"/>
  <c r="BR74" i="3"/>
  <c r="CC49" i="3"/>
  <c r="L14" i="3"/>
  <c r="AH38" i="3"/>
  <c r="BR30" i="3"/>
  <c r="N22" i="3"/>
  <c r="S26" i="3"/>
  <c r="AO26" i="3" s="1"/>
  <c r="CK21" i="3"/>
  <c r="CK49" i="3"/>
  <c r="BH41" i="3"/>
  <c r="L41" i="3"/>
  <c r="V42" i="3"/>
  <c r="V43" i="3" s="1"/>
  <c r="V44" i="3" s="1"/>
  <c r="D39" i="3"/>
  <c r="G43" i="3"/>
  <c r="I43" i="3" s="1"/>
  <c r="BR34" i="3"/>
  <c r="CR103" i="3"/>
  <c r="M104" i="3"/>
  <c r="CR104" i="3"/>
  <c r="D68" i="3"/>
  <c r="E68" i="3" s="1"/>
  <c r="AY48" i="3"/>
  <c r="AF48" i="3"/>
  <c r="BX43" i="3"/>
  <c r="CC38" i="3"/>
  <c r="AW30" i="3"/>
  <c r="AQ30" i="3"/>
  <c r="AD30" i="3"/>
  <c r="CR25" i="3"/>
  <c r="CD26" i="3"/>
  <c r="AQ13" i="3"/>
  <c r="AD13" i="3"/>
  <c r="AW13" i="3"/>
  <c r="D13" i="3"/>
  <c r="E13" i="3" s="1"/>
  <c r="AY11" i="3"/>
  <c r="AF11" i="3"/>
  <c r="BL90" i="3"/>
  <c r="CC73" i="3"/>
  <c r="AG57" i="3"/>
  <c r="N46" i="3"/>
  <c r="CO42" i="3"/>
  <c r="N39" i="3"/>
  <c r="S43" i="3"/>
  <c r="BA35" i="3"/>
  <c r="BA24" i="3"/>
  <c r="M18" i="3"/>
  <c r="W19" i="3"/>
  <c r="Q21" i="3"/>
  <c r="AH21" i="3" s="1"/>
  <c r="BH16" i="3"/>
  <c r="L16" i="3"/>
  <c r="V17" i="3"/>
  <c r="AX18" i="3"/>
  <c r="AE18" i="3"/>
  <c r="AX22" i="3"/>
  <c r="AE22" i="3"/>
  <c r="CJ26" i="3"/>
  <c r="BR24" i="3"/>
  <c r="J32" i="3"/>
  <c r="BV32" i="3"/>
  <c r="K38" i="3"/>
  <c r="K44" i="3" s="1"/>
  <c r="BW38" i="3"/>
  <c r="AQ41" i="3"/>
  <c r="AD41" i="3"/>
  <c r="AW41" i="3"/>
  <c r="D45" i="3"/>
  <c r="G49" i="3"/>
  <c r="AQ45" i="3"/>
  <c r="AD45" i="3"/>
  <c r="Y45" i="3" s="1"/>
  <c r="AW45" i="3"/>
  <c r="AG52" i="3"/>
  <c r="BR52" i="3"/>
  <c r="AQ53" i="3"/>
  <c r="AD53" i="3"/>
  <c r="AW53" i="3"/>
  <c r="CO71" i="3"/>
  <c r="AY86" i="3"/>
  <c r="AF86" i="3"/>
  <c r="Q26" i="3"/>
  <c r="V23" i="3"/>
  <c r="BH22" i="3"/>
  <c r="L22" i="3"/>
  <c r="CK26" i="3"/>
  <c r="N24" i="3"/>
  <c r="AA24" i="3" s="1"/>
  <c r="AE25" i="3"/>
  <c r="AX25" i="3"/>
  <c r="AF30" i="3"/>
  <c r="AA30" i="3" s="1"/>
  <c r="AY30" i="3"/>
  <c r="AG31" i="3"/>
  <c r="CR31" i="3"/>
  <c r="BT38" i="3"/>
  <c r="AF34" i="3"/>
  <c r="AA34" i="3" s="1"/>
  <c r="AY34" i="3"/>
  <c r="AG35" i="3"/>
  <c r="CR35" i="3"/>
  <c r="AV37" i="3"/>
  <c r="AG39" i="3"/>
  <c r="CL43" i="3"/>
  <c r="CR39" i="3"/>
  <c r="BA45" i="3"/>
  <c r="V51" i="3"/>
  <c r="BH50" i="3"/>
  <c r="L50" i="3"/>
  <c r="CK55" i="3"/>
  <c r="CR51" i="3"/>
  <c r="CC109" i="3"/>
  <c r="BR109" i="3"/>
  <c r="BV109" i="3"/>
  <c r="CO103" i="3"/>
  <c r="AY103" i="3"/>
  <c r="AF103" i="3"/>
  <c r="AA103" i="3" s="1"/>
  <c r="AF104" i="3"/>
  <c r="AA104" i="3" s="1"/>
  <c r="AY104" i="3"/>
  <c r="AG104" i="3"/>
  <c r="BR104" i="3"/>
  <c r="CW105" i="3"/>
  <c r="CB105" i="3"/>
  <c r="BX105" i="3"/>
  <c r="BT105" i="3"/>
  <c r="BP105" i="3"/>
  <c r="BL105" i="3"/>
  <c r="AN105" i="3"/>
  <c r="AJ105" i="3"/>
  <c r="H105" i="3"/>
  <c r="F105" i="3" s="1"/>
  <c r="C106" i="3"/>
  <c r="CZ105" i="3"/>
  <c r="DA105" i="3" s="1"/>
  <c r="CU105" i="3"/>
  <c r="CI105" i="3"/>
  <c r="CE105" i="3"/>
  <c r="CO105" i="3" s="1"/>
  <c r="CA105" i="3"/>
  <c r="BW105" i="3"/>
  <c r="BC105" i="3"/>
  <c r="AU105" i="3"/>
  <c r="AI105" i="3"/>
  <c r="S105" i="3"/>
  <c r="K105" i="3"/>
  <c r="G105" i="3"/>
  <c r="CL105" i="3"/>
  <c r="CD105" i="3"/>
  <c r="BN105" i="3"/>
  <c r="BF105" i="3"/>
  <c r="AP105" i="3"/>
  <c r="R105" i="3"/>
  <c r="J105" i="3"/>
  <c r="CK105" i="3"/>
  <c r="BU105" i="3"/>
  <c r="AO105" i="3"/>
  <c r="I105" i="3"/>
  <c r="CH105" i="3"/>
  <c r="AT105" i="3"/>
  <c r="AS105" i="3"/>
  <c r="BU72" i="3"/>
  <c r="CB60" i="3"/>
  <c r="CO54" i="3"/>
  <c r="BW55" i="3"/>
  <c r="S55" i="3"/>
  <c r="N50" i="3"/>
  <c r="CH49" i="3"/>
  <c r="BA39" i="3"/>
  <c r="BH37" i="3"/>
  <c r="L37" i="3"/>
  <c r="AD31" i="3"/>
  <c r="AW31" i="3"/>
  <c r="AQ31" i="3"/>
  <c r="AF29" i="3"/>
  <c r="AY29" i="3"/>
  <c r="AJ32" i="3"/>
  <c r="BN26" i="3"/>
  <c r="BR22" i="3"/>
  <c r="M22" i="3"/>
  <c r="R26" i="3"/>
  <c r="AN26" i="3" s="1"/>
  <c r="W23" i="3"/>
  <c r="N18" i="3"/>
  <c r="BT21" i="3"/>
  <c r="AX14" i="3"/>
  <c r="AE14" i="3"/>
  <c r="CK15" i="3"/>
  <c r="J15" i="3"/>
  <c r="J27" i="3" s="1"/>
  <c r="BV88" i="3"/>
  <c r="CH72" i="3"/>
  <c r="CJ67" i="3"/>
  <c r="AF63" i="3"/>
  <c r="AY63" i="3"/>
  <c r="D58" i="3"/>
  <c r="E58" i="3" s="1"/>
  <c r="BV55" i="3"/>
  <c r="CO46" i="3"/>
  <c r="BH36" i="3"/>
  <c r="L36" i="3"/>
  <c r="V37" i="3"/>
  <c r="V38" i="3" s="1"/>
  <c r="CH38" i="3"/>
  <c r="CK32" i="3"/>
  <c r="AY28" i="3"/>
  <c r="AF28" i="3"/>
  <c r="BH25" i="3"/>
  <c r="L25" i="3"/>
  <c r="V28" i="3"/>
  <c r="BH27" i="3"/>
  <c r="CA26" i="3"/>
  <c r="D22" i="3"/>
  <c r="G26" i="3"/>
  <c r="I26" i="3" s="1"/>
  <c r="AG18" i="3"/>
  <c r="CR17" i="3"/>
  <c r="N14" i="3"/>
  <c r="BH12" i="3"/>
  <c r="V13" i="3"/>
  <c r="L12" i="3"/>
  <c r="BP15" i="3"/>
  <c r="AJ15" i="3"/>
  <c r="BV21" i="3"/>
  <c r="D17" i="3"/>
  <c r="E17" i="3" s="1"/>
  <c r="AQ17" i="3"/>
  <c r="AW17" i="3"/>
  <c r="AD17" i="3"/>
  <c r="W22" i="3"/>
  <c r="M20" i="3"/>
  <c r="Z20" i="3" s="1"/>
  <c r="BL26" i="3"/>
  <c r="CB26" i="3"/>
  <c r="CB27" i="3" s="1"/>
  <c r="W25" i="3"/>
  <c r="W26" i="3" s="1"/>
  <c r="W27" i="3" s="1"/>
  <c r="M24" i="3"/>
  <c r="Z24" i="3" s="1"/>
  <c r="AH32" i="3"/>
  <c r="CH32" i="3"/>
  <c r="N29" i="3"/>
  <c r="AA29" i="3" s="1"/>
  <c r="AE30" i="3"/>
  <c r="Z30" i="3" s="1"/>
  <c r="AX30" i="3"/>
  <c r="AY31" i="3"/>
  <c r="AF31" i="3"/>
  <c r="AI38" i="3"/>
  <c r="CE38" i="3"/>
  <c r="CO38" i="3" s="1"/>
  <c r="CO33" i="3"/>
  <c r="AV34" i="3"/>
  <c r="BA34" i="3"/>
  <c r="D37" i="3"/>
  <c r="E37" i="3" s="1"/>
  <c r="AQ37" i="3"/>
  <c r="AW37" i="3"/>
  <c r="AD37" i="3"/>
  <c r="Q43" i="3"/>
  <c r="V40" i="3"/>
  <c r="BH39" i="3"/>
  <c r="L39" i="3"/>
  <c r="CK43" i="3"/>
  <c r="AA41" i="3"/>
  <c r="AX42" i="3"/>
  <c r="AE42" i="3"/>
  <c r="S49" i="3"/>
  <c r="N45" i="3"/>
  <c r="CU49" i="3"/>
  <c r="AF47" i="3"/>
  <c r="AA47" i="3" s="1"/>
  <c r="AY47" i="3"/>
  <c r="AG48" i="3"/>
  <c r="BR48" i="3"/>
  <c r="CR48" i="3"/>
  <c r="BT55" i="3"/>
  <c r="N53" i="3"/>
  <c r="CW55" i="3"/>
  <c r="AG56" i="3"/>
  <c r="BR56" i="3"/>
  <c r="BN60" i="3"/>
  <c r="D57" i="3"/>
  <c r="E57" i="3" s="1"/>
  <c r="AG63" i="3"/>
  <c r="CR63" i="3"/>
  <c r="AG64" i="3"/>
  <c r="CR64" i="3"/>
  <c r="BV65" i="3"/>
  <c r="CD72" i="3"/>
  <c r="BV70" i="3"/>
  <c r="AF71" i="3"/>
  <c r="AY71" i="3"/>
  <c r="CR75" i="3"/>
  <c r="CI90" i="3"/>
  <c r="BW21" i="3"/>
  <c r="V19" i="3"/>
  <c r="BH18" i="3"/>
  <c r="L18" i="3"/>
  <c r="AA20" i="3"/>
  <c r="AQ24" i="3"/>
  <c r="AD24" i="3"/>
  <c r="AW24" i="3"/>
  <c r="G32" i="3"/>
  <c r="D28" i="3"/>
  <c r="AQ28" i="3"/>
  <c r="AD28" i="3"/>
  <c r="AW28" i="3"/>
  <c r="CI32" i="3"/>
  <c r="W33" i="3"/>
  <c r="M31" i="3"/>
  <c r="Z31" i="3" s="1"/>
  <c r="BL38" i="3"/>
  <c r="CB38" i="3"/>
  <c r="W36" i="3"/>
  <c r="M35" i="3"/>
  <c r="Z35" i="3" s="1"/>
  <c r="R39" i="3"/>
  <c r="CD43" i="3"/>
  <c r="BH42" i="3"/>
  <c r="L42" i="3"/>
  <c r="V45" i="3"/>
  <c r="BH44" i="3"/>
  <c r="BP49" i="3"/>
  <c r="V47" i="3"/>
  <c r="BH46" i="3"/>
  <c r="L46" i="3"/>
  <c r="N48" i="3"/>
  <c r="K60" i="3"/>
  <c r="BW60" i="3"/>
  <c r="BR57" i="3"/>
  <c r="BL66" i="3"/>
  <c r="BL78" i="3" s="1"/>
  <c r="N64" i="3"/>
  <c r="AA64" i="3" s="1"/>
  <c r="CO69" i="3"/>
  <c r="AY73" i="3"/>
  <c r="AF73" i="3"/>
  <c r="BW90" i="3"/>
  <c r="N88" i="3"/>
  <c r="AA88" i="3" s="1"/>
  <c r="AX103" i="3"/>
  <c r="AE103" i="3"/>
  <c r="AG58" i="3"/>
  <c r="BR58" i="3"/>
  <c r="D59" i="3"/>
  <c r="E59" i="3" s="1"/>
  <c r="R66" i="3"/>
  <c r="CH66" i="3"/>
  <c r="CJ62" i="3"/>
  <c r="N63" i="3"/>
  <c r="AA63" i="3" s="1"/>
  <c r="CC63" i="3"/>
  <c r="BV64" i="3"/>
  <c r="S72" i="3"/>
  <c r="AO72" i="3" s="1"/>
  <c r="N67" i="3"/>
  <c r="CA72" i="3"/>
  <c r="CC67" i="3"/>
  <c r="BR82" i="3"/>
  <c r="CO91" i="3"/>
  <c r="CE95" i="3"/>
  <c r="CO95" i="3" s="1"/>
  <c r="S66" i="3"/>
  <c r="N62" i="3"/>
  <c r="CA66" i="3"/>
  <c r="CC62" i="3"/>
  <c r="BV63" i="3"/>
  <c r="CR65" i="3"/>
  <c r="BP72" i="3"/>
  <c r="CJ69" i="3"/>
  <c r="N70" i="3"/>
  <c r="AG74" i="3"/>
  <c r="CB77" i="3"/>
  <c r="CC87" i="3"/>
  <c r="K84" i="3"/>
  <c r="BW84" i="3"/>
  <c r="CO81" i="3"/>
  <c r="CR82" i="3"/>
  <c r="BR83" i="3"/>
  <c r="CE90" i="3"/>
  <c r="CO85" i="3"/>
  <c r="CR86" i="3"/>
  <c r="CO89" i="3"/>
  <c r="CR100" i="3"/>
  <c r="AG109" i="3"/>
  <c r="BX84" i="3"/>
  <c r="N83" i="3"/>
  <c r="AY85" i="3"/>
  <c r="AF85" i="3"/>
  <c r="CA90" i="3"/>
  <c r="CC85" i="3"/>
  <c r="CJ86" i="3"/>
  <c r="AF87" i="3"/>
  <c r="AA87" i="3" s="1"/>
  <c r="AY87" i="3"/>
  <c r="CO87" i="3"/>
  <c r="AY89" i="3"/>
  <c r="AF89" i="3"/>
  <c r="AA89" i="3" s="1"/>
  <c r="CC89" i="3"/>
  <c r="J95" i="3"/>
  <c r="CR94" i="3"/>
  <c r="BX101" i="3"/>
  <c r="CC70" i="3"/>
  <c r="BV71" i="3"/>
  <c r="CW72" i="3"/>
  <c r="AG73" i="3"/>
  <c r="BN77" i="3"/>
  <c r="BR73" i="3"/>
  <c r="D74" i="3"/>
  <c r="E74" i="3" s="1"/>
  <c r="CI77" i="3"/>
  <c r="I84" i="3"/>
  <c r="AG81" i="3"/>
  <c r="BR81" i="3"/>
  <c r="D82" i="3"/>
  <c r="E82" i="3" s="1"/>
  <c r="R90" i="3"/>
  <c r="CH90" i="3"/>
  <c r="CJ85" i="3"/>
  <c r="N86" i="3"/>
  <c r="CC86" i="3"/>
  <c r="BV87" i="3"/>
  <c r="CR89" i="3"/>
  <c r="CJ91" i="3"/>
  <c r="CJ94" i="3"/>
  <c r="BL101" i="3"/>
  <c r="AA99" i="3"/>
  <c r="CR93" i="3"/>
  <c r="J101" i="3"/>
  <c r="CD101" i="3"/>
  <c r="CO108" i="3"/>
  <c r="CJ109" i="3"/>
  <c r="CK95" i="3"/>
  <c r="CR92" i="3"/>
  <c r="CO93" i="3"/>
  <c r="K101" i="3"/>
  <c r="BW101" i="3"/>
  <c r="M100" i="3"/>
  <c r="AX102" i="3"/>
  <c r="AE102" i="3"/>
  <c r="CR102" i="3"/>
  <c r="AF108" i="3"/>
  <c r="AY108" i="3"/>
  <c r="CI43" i="3"/>
  <c r="AG33" i="3"/>
  <c r="AG30" i="3"/>
  <c r="N23" i="3"/>
  <c r="S21" i="3"/>
  <c r="N16" i="3"/>
  <c r="AE13" i="3"/>
  <c r="AX13" i="3"/>
  <c r="BP66" i="3"/>
  <c r="AW11" i="3"/>
  <c r="AQ11" i="3"/>
  <c r="AD11" i="3"/>
  <c r="CO11" i="3"/>
  <c r="CE15" i="3"/>
  <c r="AV12" i="3"/>
  <c r="BA12" i="3"/>
  <c r="AV16" i="3"/>
  <c r="CH26" i="3"/>
  <c r="CH27" i="3" s="1"/>
  <c r="BH24" i="3"/>
  <c r="L24" i="3"/>
  <c r="V25" i="3"/>
  <c r="V26" i="3" s="1"/>
  <c r="V27" i="3" s="1"/>
  <c r="BT32" i="3"/>
  <c r="D51" i="3"/>
  <c r="E51" i="3" s="1"/>
  <c r="CC51" i="3"/>
  <c r="AV52" i="3"/>
  <c r="D54" i="3"/>
  <c r="E54" i="3" s="1"/>
  <c r="BP60" i="3"/>
  <c r="BU66" i="3"/>
  <c r="AG75" i="3"/>
  <c r="CI95" i="3"/>
  <c r="D47" i="3"/>
  <c r="E47" i="3" s="1"/>
  <c r="AV51" i="3"/>
  <c r="CK60" i="3"/>
  <c r="CC64" i="3"/>
  <c r="BP77" i="3"/>
  <c r="BW15" i="3"/>
  <c r="AX12" i="3"/>
  <c r="AE12" i="3"/>
  <c r="AG14" i="3"/>
  <c r="BR14" i="3"/>
  <c r="CR14" i="3"/>
  <c r="BL43" i="3"/>
  <c r="M41" i="3"/>
  <c r="Z41" i="3" s="1"/>
  <c r="W42" i="3"/>
  <c r="W43" i="3" s="1"/>
  <c r="W44" i="3" s="1"/>
  <c r="BR41" i="3"/>
  <c r="CR42" i="3"/>
  <c r="AG45" i="3"/>
  <c r="CD49" i="3"/>
  <c r="CR46" i="3"/>
  <c r="N57" i="3"/>
  <c r="AA57" i="3" s="1"/>
  <c r="AY62" i="3"/>
  <c r="AF62" i="3"/>
  <c r="CW66" i="3"/>
  <c r="N12" i="3"/>
  <c r="AA12" i="3" s="1"/>
  <c r="R38" i="3"/>
  <c r="AG34" i="3"/>
  <c r="AV13" i="3"/>
  <c r="AG11" i="3"/>
  <c r="BR37" i="3"/>
  <c r="CR30" i="3"/>
  <c r="V22" i="3"/>
  <c r="BH20" i="3"/>
  <c r="L20" i="3"/>
  <c r="D12" i="3"/>
  <c r="E12" i="3" s="1"/>
  <c r="CO26" i="3" l="1"/>
  <c r="CO90" i="3"/>
  <c r="Z99" i="3"/>
  <c r="AA82" i="3"/>
  <c r="BW27" i="3"/>
  <c r="AA23" i="3"/>
  <c r="AA83" i="3"/>
  <c r="K96" i="3"/>
  <c r="AJ72" i="3"/>
  <c r="AA53" i="3"/>
  <c r="J44" i="3"/>
  <c r="J79" i="3" s="1"/>
  <c r="AA74" i="3"/>
  <c r="Z17" i="3"/>
  <c r="CU27" i="3"/>
  <c r="BW96" i="3"/>
  <c r="AA36" i="3"/>
  <c r="Z98" i="3"/>
  <c r="BP44" i="3"/>
  <c r="Z100" i="3"/>
  <c r="BR77" i="3"/>
  <c r="BX96" i="3"/>
  <c r="AA70" i="3"/>
  <c r="CH44" i="3"/>
  <c r="BR26" i="3"/>
  <c r="CJ105" i="3"/>
  <c r="BW44" i="3"/>
  <c r="BR95" i="3"/>
  <c r="CO110" i="3"/>
  <c r="AA25" i="3"/>
  <c r="BU78" i="3"/>
  <c r="D105" i="3"/>
  <c r="E105" i="3" s="1"/>
  <c r="CK44" i="3"/>
  <c r="CC105" i="3"/>
  <c r="CC95" i="3"/>
  <c r="CB44" i="3"/>
  <c r="AA14" i="3"/>
  <c r="G61" i="3"/>
  <c r="BX79" i="3"/>
  <c r="I66" i="3"/>
  <c r="I78" i="3" s="1"/>
  <c r="AA37" i="3"/>
  <c r="CO72" i="3"/>
  <c r="BT78" i="3"/>
  <c r="CI27" i="3"/>
  <c r="CD61" i="3"/>
  <c r="AA86" i="3"/>
  <c r="G44" i="3"/>
  <c r="AA18" i="3"/>
  <c r="N105" i="3"/>
  <c r="BP96" i="3"/>
  <c r="K27" i="3"/>
  <c r="AA46" i="3"/>
  <c r="AA100" i="3"/>
  <c r="AA92" i="3"/>
  <c r="BR21" i="3"/>
  <c r="CK78" i="3"/>
  <c r="BX78" i="3"/>
  <c r="AA58" i="3"/>
  <c r="AA71" i="3"/>
  <c r="AA42" i="3"/>
  <c r="BR38" i="3"/>
  <c r="AA59" i="3"/>
  <c r="BU61" i="3"/>
  <c r="BR90" i="3"/>
  <c r="CD27" i="3"/>
  <c r="BL27" i="3"/>
  <c r="Z36" i="3"/>
  <c r="AO21" i="3"/>
  <c r="AJ21" i="3"/>
  <c r="S61" i="3"/>
  <c r="AO61" i="3" s="1"/>
  <c r="AO49" i="3"/>
  <c r="BH43" i="3"/>
  <c r="AM43" i="3"/>
  <c r="AH43" i="3"/>
  <c r="BP27" i="3"/>
  <c r="BR15" i="3"/>
  <c r="Z18" i="3"/>
  <c r="Y14" i="3"/>
  <c r="AA28" i="3"/>
  <c r="N32" i="3"/>
  <c r="AI26" i="3"/>
  <c r="AN38" i="3"/>
  <c r="AX38" i="3" s="1"/>
  <c r="W39" i="3"/>
  <c r="Y24" i="3"/>
  <c r="AA16" i="3"/>
  <c r="N21" i="3"/>
  <c r="CJ90" i="3"/>
  <c r="AA62" i="3"/>
  <c r="AA66" i="3" s="1"/>
  <c r="N66" i="3"/>
  <c r="CH78" i="3"/>
  <c r="Y46" i="3"/>
  <c r="L49" i="3"/>
  <c r="AJ49" i="3"/>
  <c r="CI44" i="3"/>
  <c r="Y18" i="3"/>
  <c r="AA45" i="3"/>
  <c r="N49" i="3"/>
  <c r="E22" i="3"/>
  <c r="E26" i="3" s="1"/>
  <c r="D26" i="3"/>
  <c r="H26" i="3" s="1"/>
  <c r="F26" i="3" s="1"/>
  <c r="Y25" i="3"/>
  <c r="I32" i="3"/>
  <c r="N43" i="3"/>
  <c r="AA39" i="3"/>
  <c r="CK61" i="3"/>
  <c r="E50" i="3"/>
  <c r="E55" i="3" s="1"/>
  <c r="D55" i="3"/>
  <c r="H55" i="3" s="1"/>
  <c r="F55" i="3" s="1"/>
  <c r="AA31" i="3"/>
  <c r="CJ77" i="3"/>
  <c r="AO15" i="3"/>
  <c r="AY15" i="3" s="1"/>
  <c r="S27" i="3"/>
  <c r="Z102" i="3"/>
  <c r="I101" i="3"/>
  <c r="K78" i="3"/>
  <c r="D60" i="3"/>
  <c r="H60" i="3" s="1"/>
  <c r="F60" i="3" s="1"/>
  <c r="E56" i="3"/>
  <c r="E60" i="3" s="1"/>
  <c r="CB61" i="3"/>
  <c r="BJ33" i="3"/>
  <c r="BB33" i="3"/>
  <c r="BJ18" i="3"/>
  <c r="BB18" i="3"/>
  <c r="BN61" i="3"/>
  <c r="BR49" i="3"/>
  <c r="R61" i="3"/>
  <c r="W50" i="3"/>
  <c r="D72" i="3"/>
  <c r="H72" i="3" s="1"/>
  <c r="F72" i="3" s="1"/>
  <c r="E67" i="3"/>
  <c r="E72" i="3" s="1"/>
  <c r="BJ11" i="3"/>
  <c r="BB11" i="3"/>
  <c r="CR55" i="3"/>
  <c r="CL27" i="3"/>
  <c r="CR15" i="3"/>
  <c r="CC60" i="3"/>
  <c r="Z25" i="3"/>
  <c r="Y11" i="3"/>
  <c r="L15" i="3"/>
  <c r="Y20" i="3"/>
  <c r="CC90" i="3"/>
  <c r="Y39" i="3"/>
  <c r="L43" i="3"/>
  <c r="BL44" i="3"/>
  <c r="S96" i="3"/>
  <c r="AO96" i="3" s="1"/>
  <c r="AO84" i="3"/>
  <c r="AJ84" i="3"/>
  <c r="CC84" i="3"/>
  <c r="BT44" i="3"/>
  <c r="CO15" i="3"/>
  <c r="CE27" i="3"/>
  <c r="I49" i="3"/>
  <c r="I61" i="3" s="1"/>
  <c r="AN90" i="3"/>
  <c r="CC66" i="3"/>
  <c r="AA48" i="3"/>
  <c r="R43" i="3"/>
  <c r="W40" i="3"/>
  <c r="M39" i="3"/>
  <c r="D32" i="3"/>
  <c r="E28" i="3"/>
  <c r="E32" i="3" s="1"/>
  <c r="CJ55" i="3"/>
  <c r="Y36" i="3"/>
  <c r="AX26" i="3"/>
  <c r="N55" i="3"/>
  <c r="AA50" i="3"/>
  <c r="AG105" i="3"/>
  <c r="CR105" i="3"/>
  <c r="BV105" i="3"/>
  <c r="Y22" i="3"/>
  <c r="L26" i="3"/>
  <c r="BH26" i="3"/>
  <c r="AM26" i="3"/>
  <c r="AH26" i="3"/>
  <c r="AW49" i="3"/>
  <c r="D49" i="3"/>
  <c r="E45" i="3"/>
  <c r="E49" i="3" s="1"/>
  <c r="BR101" i="3"/>
  <c r="CD78" i="3"/>
  <c r="M38" i="3"/>
  <c r="Z33" i="3"/>
  <c r="CH96" i="3"/>
  <c r="Y35" i="3"/>
  <c r="CC101" i="3"/>
  <c r="BT61" i="3"/>
  <c r="CR110" i="3"/>
  <c r="Y34" i="3"/>
  <c r="BJ47" i="3"/>
  <c r="BH47" i="3"/>
  <c r="M21" i="3"/>
  <c r="Z16" i="3"/>
  <c r="S78" i="3"/>
  <c r="AO78" i="3" s="1"/>
  <c r="AO66" i="3"/>
  <c r="AJ66" i="3"/>
  <c r="CC72" i="3"/>
  <c r="Y12" i="3"/>
  <c r="CJ72" i="3"/>
  <c r="BJ35" i="3"/>
  <c r="BB35" i="3"/>
  <c r="BJ17" i="3"/>
  <c r="BB17" i="3"/>
  <c r="CR38" i="3"/>
  <c r="CC55" i="3"/>
  <c r="CH79" i="3"/>
  <c r="BJ12" i="3"/>
  <c r="BB12" i="3"/>
  <c r="BP78" i="3"/>
  <c r="CJ95" i="3"/>
  <c r="CA78" i="3"/>
  <c r="AA67" i="3"/>
  <c r="N72" i="3"/>
  <c r="CJ66" i="3"/>
  <c r="AN66" i="3"/>
  <c r="R78" i="3"/>
  <c r="AN78" i="3" s="1"/>
  <c r="BP61" i="3"/>
  <c r="Y42" i="3"/>
  <c r="BR60" i="3"/>
  <c r="BJ34" i="3"/>
  <c r="BB34" i="3"/>
  <c r="CK27" i="3"/>
  <c r="M26" i="3"/>
  <c r="Z22" i="3"/>
  <c r="BJ39" i="3"/>
  <c r="BB39" i="3"/>
  <c r="AO55" i="3"/>
  <c r="AJ55" i="3"/>
  <c r="AF105" i="3"/>
  <c r="AA105" i="3" s="1"/>
  <c r="AY105" i="3"/>
  <c r="CW106" i="3"/>
  <c r="CB106" i="3"/>
  <c r="CB107" i="3" s="1"/>
  <c r="BX106" i="3"/>
  <c r="BX107" i="3" s="1"/>
  <c r="BX113" i="3" s="1"/>
  <c r="BT106" i="3"/>
  <c r="BP106" i="3"/>
  <c r="BP107" i="3" s="1"/>
  <c r="BL106" i="3"/>
  <c r="BL107" i="3" s="1"/>
  <c r="AN106" i="3"/>
  <c r="AJ106" i="3"/>
  <c r="H106" i="3"/>
  <c r="F106" i="3" s="1"/>
  <c r="CZ106" i="3"/>
  <c r="DA106" i="3" s="1"/>
  <c r="CU106" i="3"/>
  <c r="CI106" i="3"/>
  <c r="CI107" i="3" s="1"/>
  <c r="CE106" i="3"/>
  <c r="CA106" i="3"/>
  <c r="CC106" i="3" s="1"/>
  <c r="CC107" i="3" s="1"/>
  <c r="BW106" i="3"/>
  <c r="BW107" i="3" s="1"/>
  <c r="BC106" i="3"/>
  <c r="BC107" i="3" s="1"/>
  <c r="AU106" i="3"/>
  <c r="AI106" i="3"/>
  <c r="S106" i="3"/>
  <c r="K106" i="3"/>
  <c r="K107" i="3" s="1"/>
  <c r="K113" i="3" s="1"/>
  <c r="G106" i="3"/>
  <c r="D106" i="3" s="1"/>
  <c r="E106" i="3" s="1"/>
  <c r="CL106" i="3"/>
  <c r="CD106" i="3"/>
  <c r="CD107" i="3" s="1"/>
  <c r="CD113" i="3" s="1"/>
  <c r="BN106" i="3"/>
  <c r="BF106" i="3"/>
  <c r="BF107" i="3" s="1"/>
  <c r="AP106" i="3"/>
  <c r="R106" i="3"/>
  <c r="J106" i="3"/>
  <c r="J107" i="3" s="1"/>
  <c r="J113" i="3" s="1"/>
  <c r="CK106" i="3"/>
  <c r="CK107" i="3" s="1"/>
  <c r="BU106" i="3"/>
  <c r="BU107" i="3" s="1"/>
  <c r="AO106" i="3"/>
  <c r="I106" i="3"/>
  <c r="CH106" i="3"/>
  <c r="CH107" i="3" s="1"/>
  <c r="AS106" i="3"/>
  <c r="AT106" i="3"/>
  <c r="AE105" i="3"/>
  <c r="AX105" i="3"/>
  <c r="BV44" i="3"/>
  <c r="L21" i="3"/>
  <c r="Y16" i="3"/>
  <c r="AO43" i="3"/>
  <c r="AJ43" i="3"/>
  <c r="CC77" i="3"/>
  <c r="E39" i="3"/>
  <c r="E43" i="3" s="1"/>
  <c r="D43" i="3"/>
  <c r="H43" i="3" s="1"/>
  <c r="F43" i="3" s="1"/>
  <c r="N26" i="3"/>
  <c r="AA22" i="3"/>
  <c r="AA26" i="3" s="1"/>
  <c r="CK96" i="3"/>
  <c r="CR77" i="3"/>
  <c r="BW78" i="3"/>
  <c r="CL96" i="3"/>
  <c r="CR84" i="3"/>
  <c r="BJ31" i="3"/>
  <c r="BA32" i="3"/>
  <c r="BB31" i="3"/>
  <c r="BB32" i="3" s="1"/>
  <c r="M15" i="3"/>
  <c r="Z11" i="3"/>
  <c r="BV90" i="3"/>
  <c r="CE96" i="3"/>
  <c r="CO96" i="3" s="1"/>
  <c r="CO84" i="3"/>
  <c r="N77" i="3"/>
  <c r="AA73" i="3"/>
  <c r="AA77" i="3" s="1"/>
  <c r="AF77" i="3" s="1"/>
  <c r="CI78" i="3"/>
  <c r="Y40" i="3"/>
  <c r="Y17" i="3"/>
  <c r="AN101" i="3"/>
  <c r="AA85" i="3"/>
  <c r="AA90" i="3" s="1"/>
  <c r="N90" i="3"/>
  <c r="CR72" i="3"/>
  <c r="BJ50" i="3"/>
  <c r="BB50" i="3"/>
  <c r="D38" i="3"/>
  <c r="H38" i="3" s="1"/>
  <c r="F38" i="3" s="1"/>
  <c r="E33" i="3"/>
  <c r="E38" i="3" s="1"/>
  <c r="Y37" i="3"/>
  <c r="CH61" i="3"/>
  <c r="M105" i="3"/>
  <c r="Z105" i="3" s="1"/>
  <c r="BR105" i="3"/>
  <c r="Y50" i="3"/>
  <c r="BJ45" i="3"/>
  <c r="BB45" i="3"/>
  <c r="CR43" i="3"/>
  <c r="BH21" i="3"/>
  <c r="AM21" i="3"/>
  <c r="BJ24" i="3"/>
  <c r="BB24" i="3"/>
  <c r="Z104" i="3"/>
  <c r="Y41" i="3"/>
  <c r="BJ23" i="3"/>
  <c r="BB23" i="3"/>
  <c r="CA27" i="3"/>
  <c r="AA11" i="3"/>
  <c r="AA15" i="3" s="1"/>
  <c r="N15" i="3"/>
  <c r="D101" i="3"/>
  <c r="E97" i="3"/>
  <c r="E101" i="3" s="1"/>
  <c r="E102" i="3"/>
  <c r="BV95" i="3"/>
  <c r="AA80" i="3"/>
  <c r="N84" i="3"/>
  <c r="AA69" i="3"/>
  <c r="BA26" i="3"/>
  <c r="BJ25" i="3"/>
  <c r="BB25" i="3"/>
  <c r="BB26" i="3" s="1"/>
  <c r="BB27" i="3" s="1"/>
  <c r="W41" i="3"/>
  <c r="M40" i="3"/>
  <c r="Z40" i="3" s="1"/>
  <c r="Y31" i="3"/>
  <c r="Z28" i="3"/>
  <c r="Z32" i="3" s="1"/>
  <c r="M32" i="3"/>
  <c r="BJ22" i="3"/>
  <c r="BB22" i="3"/>
  <c r="CJ27" i="3"/>
  <c r="R27" i="3"/>
  <c r="AN15" i="3"/>
  <c r="AX15" i="3" s="1"/>
  <c r="D21" i="3"/>
  <c r="H21" i="3" s="1"/>
  <c r="F21" i="3" s="1"/>
  <c r="E16" i="3"/>
  <c r="E21" i="3" s="1"/>
  <c r="Z14" i="3"/>
  <c r="CJ44" i="3"/>
  <c r="Y13" i="3"/>
  <c r="CO101" i="3"/>
  <c r="CI96" i="3"/>
  <c r="CJ84" i="3"/>
  <c r="CA96" i="3"/>
  <c r="BR66" i="3"/>
  <c r="BN78" i="3"/>
  <c r="CB78" i="3"/>
  <c r="BJ41" i="3"/>
  <c r="BB41" i="3"/>
  <c r="CA44" i="3"/>
  <c r="CO21" i="3"/>
  <c r="BU44" i="3"/>
  <c r="L38" i="3"/>
  <c r="Y33" i="3"/>
  <c r="D15" i="3"/>
  <c r="E11" i="3"/>
  <c r="E15" i="3" s="1"/>
  <c r="BJ16" i="3"/>
  <c r="BB16" i="3"/>
  <c r="Z108" i="3"/>
  <c r="AO101" i="3"/>
  <c r="AA108" i="3"/>
  <c r="BU96" i="3"/>
  <c r="G96" i="3"/>
  <c r="I96" i="3" s="1"/>
  <c r="Y30" i="3"/>
  <c r="Z23" i="3"/>
  <c r="Y23" i="3"/>
  <c r="AJ26" i="3"/>
  <c r="D110" i="3"/>
  <c r="E110" i="3" s="1"/>
  <c r="AX110" i="3"/>
  <c r="AE110" i="3"/>
  <c r="AY110" i="3"/>
  <c r="AF110" i="3"/>
  <c r="AA110" i="3" s="1"/>
  <c r="CC110" i="3"/>
  <c r="M110" i="3"/>
  <c r="Z110" i="3" s="1"/>
  <c r="CJ110" i="3"/>
  <c r="BV84" i="3"/>
  <c r="AJ38" i="3"/>
  <c r="CR95" i="3"/>
  <c r="CL78" i="3"/>
  <c r="CR66" i="3"/>
  <c r="AA102" i="3"/>
  <c r="Y19" i="3"/>
  <c r="L32" i="3"/>
  <c r="Y28" i="3"/>
  <c r="Z103" i="3"/>
  <c r="BJ29" i="3"/>
  <c r="BB29" i="3"/>
  <c r="CE44" i="3"/>
  <c r="CO44" i="3" s="1"/>
  <c r="CO32" i="3"/>
  <c r="CW27" i="3"/>
  <c r="CR60" i="3"/>
  <c r="Y47" i="3"/>
  <c r="BW61" i="3"/>
  <c r="AN32" i="3"/>
  <c r="BT27" i="3"/>
  <c r="BA15" i="3"/>
  <c r="BJ14" i="3"/>
  <c r="BB14" i="3"/>
  <c r="BB15" i="3" s="1"/>
  <c r="Z109" i="3"/>
  <c r="BV27" i="3"/>
  <c r="BJ20" i="3"/>
  <c r="BA21" i="3"/>
  <c r="BB20" i="3"/>
  <c r="BB21" i="3" s="1"/>
  <c r="CR101" i="3"/>
  <c r="R96" i="3"/>
  <c r="AN96" i="3" s="1"/>
  <c r="AN84" i="3"/>
  <c r="BA38" i="3"/>
  <c r="BJ37" i="3"/>
  <c r="BB37" i="3"/>
  <c r="BB38" i="3" s="1"/>
  <c r="S44" i="3"/>
  <c r="AO44" i="3" s="1"/>
  <c r="AO32" i="3"/>
  <c r="AY32" i="3" s="1"/>
  <c r="V39" i="3"/>
  <c r="BH38" i="3"/>
  <c r="AM38" i="3"/>
  <c r="CL61" i="3"/>
  <c r="CR49" i="3"/>
  <c r="CJ101" i="3"/>
  <c r="CR90" i="3"/>
  <c r="AA40" i="3"/>
  <c r="CW44" i="3"/>
  <c r="CO43" i="3"/>
  <c r="AG110" i="3"/>
  <c r="CB111" i="3"/>
  <c r="CB112" i="3" s="1"/>
  <c r="BX111" i="3"/>
  <c r="BX112" i="3" s="1"/>
  <c r="BT111" i="3"/>
  <c r="BP111" i="3"/>
  <c r="BP112" i="3" s="1"/>
  <c r="BL111" i="3"/>
  <c r="BL112" i="3" s="1"/>
  <c r="AN111" i="3"/>
  <c r="AJ111" i="3"/>
  <c r="H111" i="3"/>
  <c r="F111" i="3" s="1"/>
  <c r="CU111" i="3"/>
  <c r="CK111" i="3"/>
  <c r="CK112" i="3" s="1"/>
  <c r="CK113" i="3" s="1"/>
  <c r="CE111" i="3"/>
  <c r="BU111" i="3"/>
  <c r="BU112" i="3" s="1"/>
  <c r="AT111" i="3"/>
  <c r="AO111" i="3"/>
  <c r="AI111" i="3"/>
  <c r="S111" i="3"/>
  <c r="I111" i="3"/>
  <c r="CZ111" i="3"/>
  <c r="DA111" i="3" s="1"/>
  <c r="CI111" i="3"/>
  <c r="CI112" i="3" s="1"/>
  <c r="CD111" i="3"/>
  <c r="CD112" i="3" s="1"/>
  <c r="BN111" i="3"/>
  <c r="BC111" i="3"/>
  <c r="BC112" i="3" s="1"/>
  <c r="BC113" i="3" s="1"/>
  <c r="AS111" i="3"/>
  <c r="R111" i="3"/>
  <c r="G111" i="3"/>
  <c r="CL111" i="3"/>
  <c r="CA111" i="3"/>
  <c r="BF111" i="3"/>
  <c r="BF112" i="3" s="1"/>
  <c r="BF113" i="3" s="1"/>
  <c r="AU111" i="3"/>
  <c r="CH111" i="3"/>
  <c r="BW111" i="3"/>
  <c r="BW112" i="3" s="1"/>
  <c r="K111" i="3"/>
  <c r="AP111" i="3"/>
  <c r="J111" i="3"/>
  <c r="J112" i="3" s="1"/>
  <c r="BV66" i="3"/>
  <c r="CC27" i="3"/>
  <c r="Y29" i="3"/>
  <c r="CE78" i="3"/>
  <c r="CO78" i="3" s="1"/>
  <c r="CO66" i="3"/>
  <c r="BN44" i="3"/>
  <c r="BR44" i="3" s="1"/>
  <c r="BR32" i="3"/>
  <c r="BV72" i="3"/>
  <c r="Z13" i="3"/>
  <c r="AX21" i="3"/>
  <c r="BN96" i="3"/>
  <c r="BR96" i="3" s="1"/>
  <c r="BR84" i="3"/>
  <c r="BL96" i="3"/>
  <c r="BV77" i="3"/>
  <c r="AI32" i="3"/>
  <c r="Z19" i="3"/>
  <c r="BR72" i="3"/>
  <c r="K61" i="3"/>
  <c r="AA33" i="3"/>
  <c r="AA38" i="3" s="1"/>
  <c r="N38" i="3"/>
  <c r="CD44" i="3"/>
  <c r="CR21" i="3"/>
  <c r="BJ28" i="3"/>
  <c r="BB28" i="3"/>
  <c r="Y48" i="3"/>
  <c r="N95" i="3"/>
  <c r="AA91" i="3"/>
  <c r="BN27" i="3"/>
  <c r="Z45" i="3"/>
  <c r="Z34" i="3"/>
  <c r="E108" i="3"/>
  <c r="E85" i="3"/>
  <c r="E90" i="3" s="1"/>
  <c r="D90" i="3"/>
  <c r="H90" i="3" s="1"/>
  <c r="F90" i="3" s="1"/>
  <c r="E62" i="3"/>
  <c r="E66" i="3" s="1"/>
  <c r="D66" i="3"/>
  <c r="CJ60" i="3"/>
  <c r="BJ36" i="3"/>
  <c r="BB36" i="3"/>
  <c r="G27" i="3"/>
  <c r="G79" i="3" s="1"/>
  <c r="I79" i="3" s="1"/>
  <c r="Z42" i="3"/>
  <c r="BJ48" i="3"/>
  <c r="BA49" i="3"/>
  <c r="BB48" i="3"/>
  <c r="BB49" i="3" s="1"/>
  <c r="J96" i="3"/>
  <c r="AA97" i="3"/>
  <c r="AA101" i="3" s="1"/>
  <c r="N101" i="3"/>
  <c r="M101" i="3"/>
  <c r="Z97" i="3"/>
  <c r="BV101" i="3"/>
  <c r="E80" i="3"/>
  <c r="E84" i="3" s="1"/>
  <c r="D84" i="3"/>
  <c r="N60" i="3"/>
  <c r="AA56" i="3"/>
  <c r="AA60" i="3" s="1"/>
  <c r="BJ46" i="3"/>
  <c r="CE61" i="3"/>
  <c r="CO61" i="3" s="1"/>
  <c r="CO49" i="3"/>
  <c r="BA43" i="3"/>
  <c r="BJ42" i="3"/>
  <c r="BB42" i="3"/>
  <c r="BB43" i="3" s="1"/>
  <c r="BB44" i="3" s="1"/>
  <c r="BR55" i="3"/>
  <c r="BV110" i="3"/>
  <c r="D77" i="3"/>
  <c r="H77" i="3" s="1"/>
  <c r="F77" i="3" s="1"/>
  <c r="E73" i="3"/>
  <c r="E77" i="3" s="1"/>
  <c r="E91" i="3"/>
  <c r="E95" i="3" s="1"/>
  <c r="D95" i="3"/>
  <c r="H95" i="3" s="1"/>
  <c r="F95" i="3" s="1"/>
  <c r="Z12" i="3"/>
  <c r="CR26" i="3"/>
  <c r="BJ30" i="3"/>
  <c r="BB30" i="3"/>
  <c r="CL44" i="3"/>
  <c r="CR32" i="3"/>
  <c r="BV60" i="3"/>
  <c r="CB96" i="3"/>
  <c r="Q27" i="3"/>
  <c r="BH15" i="3"/>
  <c r="AM15" i="3"/>
  <c r="AH15" i="3"/>
  <c r="AM32" i="3"/>
  <c r="Q44" i="3"/>
  <c r="BH32" i="3"/>
  <c r="CC44" i="3"/>
  <c r="E107" i="3" l="1"/>
  <c r="AJ44" i="3"/>
  <c r="CI79" i="3"/>
  <c r="Z101" i="3"/>
  <c r="AE101" i="3" s="1"/>
  <c r="AS101" i="3" s="1"/>
  <c r="AA84" i="3"/>
  <c r="AA55" i="3"/>
  <c r="I44" i="3"/>
  <c r="AA21" i="3"/>
  <c r="AA27" i="3" s="1"/>
  <c r="AJ27" i="3"/>
  <c r="BU79" i="3"/>
  <c r="AX32" i="3"/>
  <c r="BR106" i="3"/>
  <c r="BN107" i="3"/>
  <c r="BR107" i="3" s="1"/>
  <c r="CC61" i="3"/>
  <c r="AA95" i="3"/>
  <c r="AF95" i="3" s="1"/>
  <c r="AT95" i="3" s="1"/>
  <c r="CD79" i="3"/>
  <c r="CJ61" i="3"/>
  <c r="E27" i="3"/>
  <c r="AF26" i="3"/>
  <c r="AT26" i="3" s="1"/>
  <c r="AA32" i="3"/>
  <c r="AF32" i="3" s="1"/>
  <c r="AT32" i="3" s="1"/>
  <c r="K79" i="3"/>
  <c r="BW79" i="3"/>
  <c r="BR78" i="3"/>
  <c r="BU113" i="3"/>
  <c r="CI113" i="3"/>
  <c r="BL113" i="3"/>
  <c r="BL79" i="3"/>
  <c r="AF60" i="3"/>
  <c r="AT60" i="3" s="1"/>
  <c r="E96" i="3"/>
  <c r="BT79" i="3"/>
  <c r="BW113" i="3"/>
  <c r="BP113" i="3"/>
  <c r="CK79" i="3"/>
  <c r="E61" i="3"/>
  <c r="AF55" i="3"/>
  <c r="CB79" i="3"/>
  <c r="AM44" i="3"/>
  <c r="D78" i="3"/>
  <c r="H78" i="3" s="1"/>
  <c r="F78" i="3" s="1"/>
  <c r="H66" i="3"/>
  <c r="F66" i="3" s="1"/>
  <c r="BV78" i="3"/>
  <c r="CJ111" i="3"/>
  <c r="CH112" i="3"/>
  <c r="CH113" i="3" s="1"/>
  <c r="CJ96" i="3"/>
  <c r="AF15" i="3"/>
  <c r="AT15" i="3" s="1"/>
  <c r="Y21" i="3"/>
  <c r="AF106" i="3"/>
  <c r="AY106" i="3"/>
  <c r="AN43" i="3"/>
  <c r="AI43" i="3"/>
  <c r="AH27" i="3"/>
  <c r="AM27" i="3"/>
  <c r="AG111" i="3"/>
  <c r="AW15" i="3"/>
  <c r="CR44" i="3"/>
  <c r="D96" i="3"/>
  <c r="H96" i="3" s="1"/>
  <c r="F96" i="3" s="1"/>
  <c r="H84" i="3"/>
  <c r="F84" i="3" s="1"/>
  <c r="AF38" i="3"/>
  <c r="AT38" i="3" s="1"/>
  <c r="D111" i="3"/>
  <c r="G112" i="3"/>
  <c r="I112" i="3" s="1"/>
  <c r="N111" i="3"/>
  <c r="S112" i="3"/>
  <c r="AX111" i="3"/>
  <c r="AE111" i="3"/>
  <c r="BV111" i="3"/>
  <c r="BV112" i="3" s="1"/>
  <c r="BT112" i="3"/>
  <c r="AW38" i="3"/>
  <c r="BJ21" i="3"/>
  <c r="AY38" i="3"/>
  <c r="AN27" i="3"/>
  <c r="AF84" i="3"/>
  <c r="H101" i="3"/>
  <c r="F101" i="3" s="1"/>
  <c r="N27" i="3"/>
  <c r="AY26" i="3"/>
  <c r="AW21" i="3"/>
  <c r="AI27" i="3"/>
  <c r="AG106" i="3"/>
  <c r="CR106" i="3"/>
  <c r="CL107" i="3"/>
  <c r="CO106" i="3"/>
  <c r="CE107" i="3"/>
  <c r="AE106" i="3"/>
  <c r="AX106" i="3"/>
  <c r="BV106" i="3"/>
  <c r="CW107" i="3"/>
  <c r="Z26" i="3"/>
  <c r="AE26" i="3" s="1"/>
  <c r="AS26" i="3" s="1"/>
  <c r="CJ78" i="3"/>
  <c r="AW26" i="3"/>
  <c r="BT107" i="3"/>
  <c r="AT55" i="3"/>
  <c r="H32" i="3"/>
  <c r="F32" i="3" s="1"/>
  <c r="D44" i="3"/>
  <c r="H44" i="3" s="1"/>
  <c r="F44" i="3" s="1"/>
  <c r="L27" i="3"/>
  <c r="CL79" i="3"/>
  <c r="CR27" i="3"/>
  <c r="G107" i="3"/>
  <c r="S79" i="3"/>
  <c r="AO79" i="3" s="1"/>
  <c r="AO27" i="3"/>
  <c r="AY27" i="3" s="1"/>
  <c r="AA43" i="3"/>
  <c r="AF43" i="3" s="1"/>
  <c r="AT43" i="3" s="1"/>
  <c r="AW43" i="3"/>
  <c r="AF101" i="3"/>
  <c r="AT101" i="3" s="1"/>
  <c r="CC111" i="3"/>
  <c r="CA112" i="3"/>
  <c r="BJ15" i="3"/>
  <c r="BV96" i="3"/>
  <c r="Y38" i="3"/>
  <c r="AM49" i="3"/>
  <c r="N78" i="3"/>
  <c r="AW32" i="3"/>
  <c r="BJ43" i="3"/>
  <c r="BA44" i="3"/>
  <c r="BJ49" i="3"/>
  <c r="BH49" i="3"/>
  <c r="E78" i="3"/>
  <c r="BN79" i="3"/>
  <c r="BR27" i="3"/>
  <c r="CR111" i="3"/>
  <c r="BR111" i="3"/>
  <c r="BN112" i="3"/>
  <c r="BR112" i="3" s="1"/>
  <c r="AF111" i="3"/>
  <c r="AY111" i="3"/>
  <c r="CO111" i="3"/>
  <c r="CE112" i="3"/>
  <c r="CO112" i="3" s="1"/>
  <c r="AY44" i="3"/>
  <c r="BJ38" i="3"/>
  <c r="L44" i="3"/>
  <c r="D27" i="3"/>
  <c r="H15" i="3"/>
  <c r="F15" i="3" s="1"/>
  <c r="AE32" i="3"/>
  <c r="AS32" i="3" s="1"/>
  <c r="BA27" i="3"/>
  <c r="BJ26" i="3"/>
  <c r="D107" i="3"/>
  <c r="H107" i="3" s="1"/>
  <c r="F107" i="3" s="1"/>
  <c r="CA79" i="3"/>
  <c r="Z15" i="3"/>
  <c r="BJ32" i="3"/>
  <c r="CR96" i="3"/>
  <c r="AY43" i="3"/>
  <c r="M106" i="3"/>
  <c r="R107" i="3"/>
  <c r="CB113" i="3"/>
  <c r="AA72" i="3"/>
  <c r="AF72" i="3" s="1"/>
  <c r="AT72" i="3" s="1"/>
  <c r="Z21" i="3"/>
  <c r="AE21" i="3" s="1"/>
  <c r="Z38" i="3"/>
  <c r="AE38" i="3" s="1"/>
  <c r="AS38" i="3" s="1"/>
  <c r="CC78" i="3"/>
  <c r="CJ112" i="3"/>
  <c r="CC96" i="3"/>
  <c r="Y15" i="3"/>
  <c r="BR61" i="3"/>
  <c r="M107" i="3"/>
  <c r="CC112" i="3"/>
  <c r="CC113" i="3" s="1"/>
  <c r="N61" i="3"/>
  <c r="AF66" i="3"/>
  <c r="AT66" i="3" s="1"/>
  <c r="N44" i="3"/>
  <c r="BP79" i="3"/>
  <c r="AH44" i="3"/>
  <c r="M111" i="3"/>
  <c r="M112" i="3" s="1"/>
  <c r="R112" i="3"/>
  <c r="Y32" i="3"/>
  <c r="Y26" i="3"/>
  <c r="CR61" i="3"/>
  <c r="R44" i="3"/>
  <c r="AN44" i="3" s="1"/>
  <c r="CR78" i="3"/>
  <c r="N96" i="3"/>
  <c r="AT84" i="3"/>
  <c r="AF90" i="3"/>
  <c r="AT90" i="3" s="1"/>
  <c r="AT77" i="3"/>
  <c r="M27" i="3"/>
  <c r="Y49" i="3"/>
  <c r="CJ106" i="3"/>
  <c r="N106" i="3"/>
  <c r="CA107" i="3"/>
  <c r="AJ78" i="3"/>
  <c r="AS21" i="3"/>
  <c r="CL112" i="3"/>
  <c r="BN113" i="3"/>
  <c r="BR113" i="3" s="1"/>
  <c r="H49" i="3"/>
  <c r="F49" i="3" s="1"/>
  <c r="D61" i="3"/>
  <c r="H61" i="3" s="1"/>
  <c r="F61" i="3" s="1"/>
  <c r="E44" i="3"/>
  <c r="Z39" i="3"/>
  <c r="Z43" i="3" s="1"/>
  <c r="M43" i="3"/>
  <c r="M44" i="3" s="1"/>
  <c r="CE79" i="3"/>
  <c r="CO79" i="3" s="1"/>
  <c r="CO27" i="3"/>
  <c r="AJ96" i="3"/>
  <c r="Y43" i="3"/>
  <c r="S107" i="3"/>
  <c r="I27" i="3"/>
  <c r="AA49" i="3"/>
  <c r="AJ61" i="3"/>
  <c r="BV61" i="3"/>
  <c r="AY21" i="3"/>
  <c r="M113" i="3" l="1"/>
  <c r="Z106" i="3"/>
  <c r="Z107" i="3" s="1"/>
  <c r="Z113" i="3" s="1"/>
  <c r="AE113" i="3" s="1"/>
  <c r="BT113" i="3"/>
  <c r="AF21" i="3"/>
  <c r="AT21" i="3" s="1"/>
  <c r="E79" i="3"/>
  <c r="AJ79" i="3"/>
  <c r="CA113" i="3"/>
  <c r="AA96" i="3"/>
  <c r="AF96" i="3" s="1"/>
  <c r="AT96" i="3" s="1"/>
  <c r="AX27" i="3"/>
  <c r="Z111" i="3"/>
  <c r="Z112" i="3" s="1"/>
  <c r="AE112" i="3"/>
  <c r="AS112" i="3" s="1"/>
  <c r="AE107" i="3"/>
  <c r="AS107" i="3" s="1"/>
  <c r="AA61" i="3"/>
  <c r="AF61" i="3" s="1"/>
  <c r="AT61" i="3" s="1"/>
  <c r="AF49" i="3"/>
  <c r="AT49" i="3" s="1"/>
  <c r="AO107" i="3"/>
  <c r="AJ107" i="3"/>
  <c r="S113" i="3"/>
  <c r="AO113" i="3" s="1"/>
  <c r="AD26" i="3"/>
  <c r="AR26" i="3" s="1"/>
  <c r="AA78" i="3"/>
  <c r="AF78" i="3" s="1"/>
  <c r="AT78" i="3" s="1"/>
  <c r="AN107" i="3"/>
  <c r="AI107" i="3"/>
  <c r="R113" i="3"/>
  <c r="AN113" i="3" s="1"/>
  <c r="BJ27" i="3"/>
  <c r="BR79" i="3"/>
  <c r="I107" i="3"/>
  <c r="G113" i="3"/>
  <c r="CR107" i="3"/>
  <c r="CL113" i="3"/>
  <c r="BV107" i="3"/>
  <c r="CJ79" i="3"/>
  <c r="AX43" i="3"/>
  <c r="AD21" i="3"/>
  <c r="AR21" i="3" s="1"/>
  <c r="AW44" i="3"/>
  <c r="AD49" i="3"/>
  <c r="AR49" i="3" s="1"/>
  <c r="AY49" i="3"/>
  <c r="AD32" i="3"/>
  <c r="AR32" i="3" s="1"/>
  <c r="Y44" i="3"/>
  <c r="D113" i="3"/>
  <c r="H113" i="3" s="1"/>
  <c r="F113" i="3" s="1"/>
  <c r="E111" i="3"/>
  <c r="E112" i="3" s="1"/>
  <c r="E113" i="3" s="1"/>
  <c r="D112" i="3"/>
  <c r="H112" i="3" s="1"/>
  <c r="F112" i="3" s="1"/>
  <c r="AD43" i="3"/>
  <c r="AR43" i="3" s="1"/>
  <c r="CR112" i="3"/>
  <c r="AA106" i="3"/>
  <c r="AA107" i="3" s="1"/>
  <c r="N107" i="3"/>
  <c r="Y27" i="3"/>
  <c r="AD15" i="3"/>
  <c r="AR15" i="3" s="1"/>
  <c r="Z44" i="3"/>
  <c r="AE44" i="3" s="1"/>
  <c r="AS44" i="3" s="1"/>
  <c r="CC79" i="3"/>
  <c r="AD38" i="3"/>
  <c r="AR38" i="3" s="1"/>
  <c r="CR79" i="3"/>
  <c r="CO107" i="3"/>
  <c r="CE113" i="3"/>
  <c r="CO113" i="3" s="1"/>
  <c r="R79" i="3"/>
  <c r="AO112" i="3"/>
  <c r="AJ112" i="3"/>
  <c r="AW27" i="3"/>
  <c r="Z27" i="3"/>
  <c r="AE15" i="3"/>
  <c r="AS15" i="3" s="1"/>
  <c r="BV79" i="3"/>
  <c r="AA44" i="3"/>
  <c r="AF44" i="3" s="1"/>
  <c r="AT44" i="3" s="1"/>
  <c r="AE43" i="3"/>
  <c r="AS43" i="3" s="1"/>
  <c r="CJ107" i="3"/>
  <c r="AN112" i="3"/>
  <c r="AI112" i="3"/>
  <c r="D79" i="3"/>
  <c r="H79" i="3" s="1"/>
  <c r="F79" i="3" s="1"/>
  <c r="H27" i="3"/>
  <c r="F27" i="3" s="1"/>
  <c r="BJ44" i="3"/>
  <c r="N79" i="3"/>
  <c r="AA111" i="3"/>
  <c r="AA112" i="3" s="1"/>
  <c r="N112" i="3"/>
  <c r="AI44" i="3"/>
  <c r="AF27" i="3"/>
  <c r="AT27" i="3" s="1"/>
  <c r="AA79" i="3" l="1"/>
  <c r="AS113" i="3"/>
  <c r="AX44" i="3"/>
  <c r="AF107" i="3"/>
  <c r="AT107" i="3" s="1"/>
  <c r="AA113" i="3"/>
  <c r="AF79" i="3"/>
  <c r="AF112" i="3"/>
  <c r="CJ113" i="3"/>
  <c r="N113" i="3"/>
  <c r="AJ113" i="3"/>
  <c r="AT79" i="3"/>
  <c r="AD27" i="3"/>
  <c r="AR27" i="3" s="1"/>
  <c r="AD44" i="3"/>
  <c r="AR44" i="3" s="1"/>
  <c r="BV113" i="3"/>
  <c r="AI113" i="3"/>
  <c r="AT112" i="3"/>
  <c r="AE27" i="3"/>
  <c r="AS27" i="3" s="1"/>
  <c r="CR113" i="3"/>
  <c r="I113" i="3"/>
  <c r="AF113" i="3" l="1"/>
  <c r="AT113" i="3"/>
  <c r="CU4" i="3" l="1"/>
  <c r="CU4" i="5"/>
  <c r="CU74" i="5" l="1"/>
  <c r="CU54" i="5"/>
  <c r="CU99" i="5"/>
  <c r="CU62" i="5"/>
  <c r="CU91" i="5"/>
  <c r="CU51" i="5"/>
  <c r="CU107" i="5"/>
  <c r="CU83" i="5"/>
  <c r="CU75" i="5"/>
  <c r="CU106" i="5"/>
  <c r="CU110" i="5"/>
  <c r="CU102" i="5"/>
  <c r="CU94" i="5"/>
  <c r="CU86" i="5"/>
  <c r="CU78" i="5"/>
  <c r="CU66" i="5"/>
  <c r="CU57" i="5"/>
  <c r="CU45" i="5"/>
  <c r="CU90" i="5"/>
  <c r="CU58" i="5"/>
  <c r="CU98" i="5"/>
  <c r="CU82" i="5"/>
  <c r="CU111" i="5"/>
  <c r="CU103" i="5"/>
  <c r="CU95" i="5"/>
  <c r="CU87" i="5"/>
  <c r="CU79" i="5"/>
  <c r="CU70" i="5"/>
  <c r="CU71" i="5"/>
  <c r="CU67" i="5"/>
  <c r="CU63" i="5"/>
  <c r="CU59" i="5"/>
  <c r="CU55" i="5"/>
  <c r="CU109" i="5"/>
  <c r="CU101" i="5"/>
  <c r="CU93" i="5"/>
  <c r="CU81" i="5"/>
  <c r="CU73" i="5"/>
  <c r="CU61" i="5"/>
  <c r="CU53" i="5"/>
  <c r="CU113" i="5"/>
  <c r="CU105" i="5"/>
  <c r="CU97" i="5"/>
  <c r="CU89" i="5"/>
  <c r="CU85" i="5"/>
  <c r="CU77" i="5"/>
  <c r="CU69" i="5"/>
  <c r="CU65" i="5"/>
  <c r="CU112" i="5"/>
  <c r="CU108" i="5"/>
  <c r="CU104" i="5"/>
  <c r="CU100" i="5"/>
  <c r="CU96" i="5"/>
  <c r="CU92" i="5"/>
  <c r="CU88" i="5"/>
  <c r="CU84" i="5"/>
  <c r="CU80" i="5"/>
  <c r="CU76" i="5"/>
  <c r="CU72" i="5"/>
  <c r="CU68" i="5"/>
  <c r="CU64" i="5"/>
  <c r="CU60" i="5"/>
  <c r="CU56" i="5"/>
  <c r="CU52" i="5"/>
  <c r="CU14" i="5"/>
  <c r="CU18" i="5"/>
  <c r="CU22" i="5"/>
  <c r="CU30" i="5"/>
  <c r="CU34" i="5"/>
  <c r="CU42" i="5"/>
  <c r="CU46" i="5"/>
  <c r="CU50" i="5"/>
  <c r="CU11" i="5"/>
  <c r="CU19" i="5"/>
  <c r="CU23" i="5"/>
  <c r="CU31" i="5"/>
  <c r="CU35" i="5"/>
  <c r="CU39" i="5"/>
  <c r="CU47" i="5"/>
  <c r="CU12" i="5"/>
  <c r="CU16" i="5"/>
  <c r="CU20" i="5"/>
  <c r="CU24" i="5"/>
  <c r="CU28" i="5"/>
  <c r="CU36" i="5"/>
  <c r="CU40" i="5"/>
  <c r="CU48" i="5"/>
  <c r="CU13" i="5"/>
  <c r="CU17" i="5"/>
  <c r="CU25" i="5"/>
  <c r="CU29" i="5"/>
  <c r="CU33" i="5"/>
  <c r="CU37" i="5"/>
  <c r="CU41" i="5"/>
  <c r="CU49" i="5" l="1"/>
  <c r="CU15" i="5"/>
  <c r="CU26" i="5"/>
  <c r="CU43" i="5"/>
  <c r="CU21" i="5"/>
  <c r="CU38" i="5"/>
  <c r="CU32" i="5"/>
  <c r="CU27" i="5" l="1"/>
  <c r="CU44" i="5"/>
  <c r="X180" i="8" l="1"/>
  <c r="X179" i="8"/>
  <c r="X178" i="8"/>
  <c r="X177" i="8"/>
  <c r="X176" i="8"/>
  <c r="X175" i="8"/>
  <c r="X174" i="8"/>
  <c r="X173" i="8"/>
  <c r="X172" i="8"/>
  <c r="X171" i="8"/>
  <c r="X170" i="8"/>
  <c r="X169" i="8"/>
  <c r="X168" i="8"/>
  <c r="X167" i="8"/>
  <c r="X166" i="8"/>
  <c r="X165" i="8"/>
  <c r="X164" i="8"/>
  <c r="X163" i="8"/>
  <c r="X162" i="8"/>
  <c r="X161" i="8"/>
  <c r="X160" i="8"/>
  <c r="X159" i="8"/>
  <c r="X158" i="8"/>
  <c r="X157" i="8"/>
  <c r="X156" i="8"/>
  <c r="X155" i="8"/>
  <c r="X154" i="8"/>
  <c r="X153" i="8"/>
  <c r="X152" i="8"/>
  <c r="X151" i="8"/>
  <c r="X150" i="8"/>
  <c r="X149" i="8"/>
  <c r="X148" i="8"/>
  <c r="X147" i="8"/>
  <c r="X146" i="8"/>
  <c r="X145" i="8"/>
  <c r="X144" i="8"/>
  <c r="X143" i="8"/>
  <c r="X142" i="8"/>
  <c r="X141" i="8"/>
  <c r="X140" i="8"/>
  <c r="X139" i="8"/>
  <c r="X138" i="8"/>
  <c r="X137" i="8"/>
  <c r="X136" i="8"/>
  <c r="X135" i="8"/>
  <c r="X134" i="8"/>
  <c r="X133" i="8"/>
  <c r="X132" i="8"/>
  <c r="X131" i="8"/>
  <c r="X130" i="8"/>
  <c r="X129" i="8"/>
  <c r="X128" i="8"/>
  <c r="X127" i="8"/>
  <c r="X126" i="8"/>
  <c r="X125" i="8"/>
  <c r="X124" i="8"/>
  <c r="X123" i="8"/>
  <c r="X122" i="8"/>
  <c r="X121" i="8"/>
  <c r="X120" i="8"/>
  <c r="X119" i="8"/>
  <c r="X118" i="8"/>
  <c r="X117" i="8"/>
  <c r="X116" i="8"/>
  <c r="X115" i="8"/>
  <c r="X114" i="8"/>
  <c r="X113" i="8"/>
  <c r="X112" i="8"/>
  <c r="X111" i="8"/>
  <c r="X110" i="8"/>
  <c r="X109" i="8"/>
  <c r="X108" i="8"/>
  <c r="X107" i="8"/>
  <c r="X106" i="8"/>
  <c r="X105" i="8"/>
  <c r="X104" i="8"/>
  <c r="X103" i="8"/>
  <c r="X102" i="8"/>
  <c r="X101" i="8"/>
  <c r="X100" i="8"/>
  <c r="X99" i="8"/>
  <c r="X98" i="8"/>
  <c r="X97" i="8"/>
  <c r="X96" i="8"/>
  <c r="X95" i="8"/>
  <c r="X94" i="8"/>
  <c r="X93" i="8"/>
  <c r="X92" i="8"/>
  <c r="X91" i="8"/>
  <c r="X90" i="8"/>
  <c r="X89" i="8"/>
  <c r="X88" i="8"/>
  <c r="X87" i="8"/>
  <c r="X86" i="8"/>
  <c r="X85" i="8"/>
  <c r="X84" i="8"/>
  <c r="X83" i="8"/>
  <c r="X82" i="8"/>
  <c r="X81" i="8"/>
  <c r="X80" i="8"/>
  <c r="X79" i="8"/>
  <c r="X78" i="8"/>
  <c r="X77" i="8"/>
  <c r="X76" i="8"/>
  <c r="X75" i="8"/>
  <c r="X74" i="8"/>
  <c r="X73" i="8"/>
  <c r="X72" i="8"/>
  <c r="X71" i="8"/>
  <c r="X70" i="8"/>
  <c r="X69" i="8"/>
  <c r="X68" i="8"/>
  <c r="X67" i="8"/>
  <c r="X66" i="8"/>
  <c r="X65" i="8"/>
  <c r="X64" i="8"/>
  <c r="X63" i="8"/>
  <c r="X62" i="8"/>
  <c r="X61" i="8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X4" i="8"/>
  <c r="X3" i="8"/>
  <c r="X2" i="8"/>
  <c r="T50" i="5" l="1"/>
  <c r="CK50" i="5"/>
  <c r="CA50" i="5"/>
  <c r="BV50" i="5"/>
  <c r="BP50" i="5"/>
  <c r="BL50" i="5"/>
  <c r="BC50" i="5"/>
  <c r="AR50" i="5"/>
  <c r="AM50" i="5"/>
  <c r="AH50" i="5"/>
  <c r="S50" i="5"/>
  <c r="I50" i="5"/>
  <c r="CW48" i="5"/>
  <c r="CM48" i="5"/>
  <c r="CJ48" i="5"/>
  <c r="CI48" i="5"/>
  <c r="CE48" i="5"/>
  <c r="CD48" i="5"/>
  <c r="CA48" i="5"/>
  <c r="BY48" i="5"/>
  <c r="BV48" i="5"/>
  <c r="BU48" i="5"/>
  <c r="BP48" i="5"/>
  <c r="BO48" i="5"/>
  <c r="BL48" i="5"/>
  <c r="BG48" i="5"/>
  <c r="AU48" i="5"/>
  <c r="AR48" i="5"/>
  <c r="AP48" i="5"/>
  <c r="AM48" i="5"/>
  <c r="AJ48" i="5"/>
  <c r="T48" i="5"/>
  <c r="S48" i="5"/>
  <c r="K48" i="5"/>
  <c r="J48" i="5"/>
  <c r="G48" i="5"/>
  <c r="AD48" i="5" l="1"/>
  <c r="AG48" i="5"/>
  <c r="CS48" i="5"/>
  <c r="H50" i="5"/>
  <c r="F50" i="5" s="1"/>
  <c r="Q50" i="5"/>
  <c r="AP50" i="5"/>
  <c r="AQ50" i="5" s="1"/>
  <c r="AU50" i="5"/>
  <c r="AV50" i="5" s="1"/>
  <c r="BG50" i="5"/>
  <c r="BO50" i="5"/>
  <c r="BU50" i="5"/>
  <c r="BY50" i="5"/>
  <c r="BZ50" i="5" s="1"/>
  <c r="CD50" i="5"/>
  <c r="CI50" i="5"/>
  <c r="CM50" i="5"/>
  <c r="CJ50" i="5"/>
  <c r="CE50" i="5"/>
  <c r="CW50" i="5"/>
  <c r="H48" i="5"/>
  <c r="D48" i="5" s="1"/>
  <c r="AS48" i="5"/>
  <c r="BM48" i="5"/>
  <c r="CF48" i="5"/>
  <c r="CP48" i="5" s="1"/>
  <c r="CK48" i="5"/>
  <c r="J50" i="5"/>
  <c r="AI50" i="5"/>
  <c r="BM50" i="5"/>
  <c r="BW50" i="5"/>
  <c r="CX50" i="5"/>
  <c r="AH48" i="5"/>
  <c r="AW48" i="5" s="1"/>
  <c r="AN48" i="5"/>
  <c r="BC48" i="5"/>
  <c r="BQ48" i="5"/>
  <c r="BS48" i="5" s="1"/>
  <c r="BW48" i="5"/>
  <c r="CB48" i="5"/>
  <c r="CX48" i="5"/>
  <c r="CY48" i="5" s="1"/>
  <c r="AN50" i="5"/>
  <c r="AS50" i="5"/>
  <c r="BQ50" i="5"/>
  <c r="CB50" i="5"/>
  <c r="CF50" i="5"/>
  <c r="I48" i="5"/>
  <c r="Q48" i="5"/>
  <c r="U48" i="5" s="1"/>
  <c r="AI48" i="5"/>
  <c r="AO48" i="5"/>
  <c r="AF48" i="5" s="1"/>
  <c r="AT48" i="5"/>
  <c r="BF48" i="5"/>
  <c r="BA48" i="5" s="1"/>
  <c r="BB48" i="5" s="1"/>
  <c r="BN48" i="5"/>
  <c r="BR48" i="5" s="1"/>
  <c r="BT48" i="5"/>
  <c r="BX48" i="5"/>
  <c r="CO48" i="5" s="1"/>
  <c r="CC48" i="5"/>
  <c r="CH48" i="5"/>
  <c r="CL48" i="5"/>
  <c r="G50" i="5"/>
  <c r="D50" i="5" s="1"/>
  <c r="E50" i="5" s="1"/>
  <c r="K50" i="5"/>
  <c r="AJ50" i="5"/>
  <c r="AO50" i="5"/>
  <c r="AF50" i="5" s="1"/>
  <c r="AT50" i="5"/>
  <c r="BF50" i="5"/>
  <c r="BA50" i="5" s="1"/>
  <c r="BB50" i="5" s="1"/>
  <c r="BN50" i="5"/>
  <c r="BR50" i="5" s="1"/>
  <c r="BT50" i="5"/>
  <c r="BX50" i="5"/>
  <c r="CO50" i="5" s="1"/>
  <c r="CC50" i="5"/>
  <c r="CH50" i="5"/>
  <c r="CL50" i="5"/>
  <c r="AW50" i="5"/>
  <c r="BZ48" i="5"/>
  <c r="CN48" i="5"/>
  <c r="R50" i="5"/>
  <c r="AD50" i="5"/>
  <c r="AV48" i="5"/>
  <c r="O48" i="5"/>
  <c r="AQ48" i="5"/>
  <c r="AK50" i="5" l="1"/>
  <c r="AL50" i="5" s="1"/>
  <c r="BH50" i="5"/>
  <c r="BJ48" i="5"/>
  <c r="L50" i="5"/>
  <c r="Y50" i="5" s="1"/>
  <c r="AB48" i="5"/>
  <c r="CR48" i="5"/>
  <c r="O50" i="5"/>
  <c r="BH48" i="5"/>
  <c r="F48" i="5"/>
  <c r="E48" i="5" s="1"/>
  <c r="BJ50" i="5"/>
  <c r="AX50" i="5"/>
  <c r="U50" i="5"/>
  <c r="AE50" i="5"/>
  <c r="M50" i="5"/>
  <c r="AY48" i="5"/>
  <c r="CQ48" i="5"/>
  <c r="CT48" i="5"/>
  <c r="CN50" i="5"/>
  <c r="BS50" i="5"/>
  <c r="CG48" i="5"/>
  <c r="AK48" i="5"/>
  <c r="AL48" i="5" s="1"/>
  <c r="CG50" i="5"/>
  <c r="CP50" i="5"/>
  <c r="CQ50" i="5" s="1"/>
  <c r="AY50" i="5"/>
  <c r="CR50" i="5"/>
  <c r="AG50" i="5"/>
  <c r="R48" i="5"/>
  <c r="M48" i="5" s="1"/>
  <c r="L48" i="5"/>
  <c r="Y48" i="5" s="1"/>
  <c r="CS50" i="5"/>
  <c r="CT50" i="5" s="1"/>
  <c r="BD48" i="5"/>
  <c r="N50" i="5"/>
  <c r="AA50" i="5" s="1"/>
  <c r="CY50" i="5"/>
  <c r="BD50" i="5"/>
  <c r="N48" i="5"/>
  <c r="AA48" i="5" s="1"/>
  <c r="AE48" i="5"/>
  <c r="AX48" i="5"/>
  <c r="AP11" i="5"/>
  <c r="P50" i="5" l="1"/>
  <c r="AZ50" i="5"/>
  <c r="AC48" i="5"/>
  <c r="AB50" i="5"/>
  <c r="AC50" i="5" s="1"/>
  <c r="P48" i="5"/>
  <c r="Z50" i="5"/>
  <c r="AZ48" i="5"/>
  <c r="BK50" i="5"/>
  <c r="BI50" i="5"/>
  <c r="BE50" i="5"/>
  <c r="BK48" i="5"/>
  <c r="BE48" i="5"/>
  <c r="BI48" i="5"/>
  <c r="Z48" i="5"/>
  <c r="R80" i="5"/>
  <c r="T80" i="5"/>
  <c r="S80" i="5"/>
  <c r="Q4" i="5"/>
  <c r="BA4" i="3"/>
  <c r="C109" i="5"/>
  <c r="C110" i="5" s="1"/>
  <c r="C111" i="5" s="1"/>
  <c r="C103" i="5"/>
  <c r="C104" i="5" s="1"/>
  <c r="C105" i="5" s="1"/>
  <c r="C106" i="5" s="1"/>
  <c r="Z9" i="8"/>
  <c r="C11" i="8"/>
  <c r="C5" i="3"/>
  <c r="Q47" i="5" l="1"/>
  <c r="V48" i="5" s="1"/>
  <c r="Q12" i="5"/>
  <c r="Q16" i="5"/>
  <c r="Q20" i="5"/>
  <c r="Q24" i="5"/>
  <c r="Q28" i="5"/>
  <c r="Q36" i="5"/>
  <c r="Q40" i="5"/>
  <c r="Q13" i="5"/>
  <c r="Q17" i="5"/>
  <c r="Q25" i="5"/>
  <c r="Q29" i="5"/>
  <c r="Q33" i="5"/>
  <c r="Q37" i="5"/>
  <c r="Q41" i="5"/>
  <c r="Q45" i="5"/>
  <c r="Q14" i="5"/>
  <c r="Q18" i="5"/>
  <c r="Q22" i="5"/>
  <c r="Q30" i="5"/>
  <c r="Q34" i="5"/>
  <c r="Q42" i="5"/>
  <c r="Q46" i="5"/>
  <c r="Q11" i="5"/>
  <c r="Q19" i="5"/>
  <c r="Q23" i="5"/>
  <c r="Q31" i="5"/>
  <c r="Q35" i="5"/>
  <c r="Q39" i="5"/>
  <c r="Z8" i="8"/>
  <c r="CX4" i="3"/>
  <c r="CW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AU4" i="3"/>
  <c r="AS4" i="3"/>
  <c r="AR4" i="3"/>
  <c r="AP4" i="3"/>
  <c r="AN4" i="3"/>
  <c r="AM4" i="3"/>
  <c r="AK4" i="3"/>
  <c r="AI4" i="3"/>
  <c r="AH4" i="3"/>
  <c r="T4" i="3"/>
  <c r="R4" i="3"/>
  <c r="Q4" i="3"/>
  <c r="CX2" i="3"/>
  <c r="CM2" i="3"/>
  <c r="CF2" i="3"/>
  <c r="BY2" i="3"/>
  <c r="BQ2" i="3"/>
  <c r="BO2" i="3"/>
  <c r="BM2" i="3"/>
  <c r="BG2" i="3"/>
  <c r="BD2" i="3"/>
  <c r="AS2" i="3"/>
  <c r="AN2" i="3"/>
  <c r="AI2" i="3"/>
  <c r="T2" i="3"/>
  <c r="CM23" i="3" l="1"/>
  <c r="CM31" i="3"/>
  <c r="CM109" i="3"/>
  <c r="CM97" i="3"/>
  <c r="CM93" i="3"/>
  <c r="CM100" i="3"/>
  <c r="CM94" i="3"/>
  <c r="CM86" i="3"/>
  <c r="CM70" i="3"/>
  <c r="CM12" i="3"/>
  <c r="CM58" i="3"/>
  <c r="CM35" i="3"/>
  <c r="CM34" i="3"/>
  <c r="CM30" i="3"/>
  <c r="CM98" i="3"/>
  <c r="CM102" i="3"/>
  <c r="CM91" i="3"/>
  <c r="CM92" i="3"/>
  <c r="CM88" i="3"/>
  <c r="CM80" i="3"/>
  <c r="CM67" i="3"/>
  <c r="CM63" i="3"/>
  <c r="CM69" i="3"/>
  <c r="CM56" i="3"/>
  <c r="CM52" i="3"/>
  <c r="CM48" i="3"/>
  <c r="CM74" i="3"/>
  <c r="CM81" i="3"/>
  <c r="CM62" i="3"/>
  <c r="CM85" i="3"/>
  <c r="CM71" i="3"/>
  <c r="CM59" i="3"/>
  <c r="CM22" i="3"/>
  <c r="CM108" i="3"/>
  <c r="CM99" i="3"/>
  <c r="CM82" i="3"/>
  <c r="CM75" i="3"/>
  <c r="CM20" i="3"/>
  <c r="CM73" i="3"/>
  <c r="CM29" i="3"/>
  <c r="CM46" i="3"/>
  <c r="CM13" i="3"/>
  <c r="CM19" i="3"/>
  <c r="CM51" i="3"/>
  <c r="CM103" i="3"/>
  <c r="CM76" i="3"/>
  <c r="CM89" i="3"/>
  <c r="CM40" i="3"/>
  <c r="CM83" i="3"/>
  <c r="CM53" i="3"/>
  <c r="CM33" i="3"/>
  <c r="CM47" i="3"/>
  <c r="CM11" i="3"/>
  <c r="CM65" i="3"/>
  <c r="CM64" i="3"/>
  <c r="CM28" i="3"/>
  <c r="CM16" i="3"/>
  <c r="CM87" i="3"/>
  <c r="CM57" i="3"/>
  <c r="CM14" i="3"/>
  <c r="CM42" i="3"/>
  <c r="CM24" i="3"/>
  <c r="CM45" i="3"/>
  <c r="CM25" i="3"/>
  <c r="CM50" i="3"/>
  <c r="CM104" i="3"/>
  <c r="CM68" i="3"/>
  <c r="CM41" i="3"/>
  <c r="CM37" i="3"/>
  <c r="CM17" i="3"/>
  <c r="CM18" i="3"/>
  <c r="CM54" i="3"/>
  <c r="CM36" i="3"/>
  <c r="CM39" i="3"/>
  <c r="CM110" i="3"/>
  <c r="CM105" i="3"/>
  <c r="CM106" i="3"/>
  <c r="CM111" i="3"/>
  <c r="CX25" i="3"/>
  <c r="CX28" i="3"/>
  <c r="CY28" i="3" s="1"/>
  <c r="CX58" i="3"/>
  <c r="CX80" i="3"/>
  <c r="CX36" i="3"/>
  <c r="CX29" i="3"/>
  <c r="CX13" i="3"/>
  <c r="CX48" i="3"/>
  <c r="CX40" i="3"/>
  <c r="CX102" i="3"/>
  <c r="CX81" i="3"/>
  <c r="CX74" i="3"/>
  <c r="CX70" i="3"/>
  <c r="CX85" i="3"/>
  <c r="CX50" i="3"/>
  <c r="CX108" i="3"/>
  <c r="CX92" i="3"/>
  <c r="CX88" i="3"/>
  <c r="CX93" i="3"/>
  <c r="CX57" i="3"/>
  <c r="CX33" i="3"/>
  <c r="CX14" i="3"/>
  <c r="CX64" i="3"/>
  <c r="CX46" i="3"/>
  <c r="CX22" i="3"/>
  <c r="CX35" i="3"/>
  <c r="CX103" i="3"/>
  <c r="CX109" i="3"/>
  <c r="CX99" i="3"/>
  <c r="CX76" i="3"/>
  <c r="CX37" i="3"/>
  <c r="CX100" i="3"/>
  <c r="CX94" i="3"/>
  <c r="CX68" i="3"/>
  <c r="CX69" i="3"/>
  <c r="CX83" i="3"/>
  <c r="CX18" i="3"/>
  <c r="CX75" i="3"/>
  <c r="CX51" i="3"/>
  <c r="CX12" i="3"/>
  <c r="CX71" i="3"/>
  <c r="CX97" i="3"/>
  <c r="CX87" i="3"/>
  <c r="CX82" i="3"/>
  <c r="CX65" i="3"/>
  <c r="CX47" i="3"/>
  <c r="CX39" i="3"/>
  <c r="CX31" i="3"/>
  <c r="CX19" i="3"/>
  <c r="CX41" i="3"/>
  <c r="CX45" i="3"/>
  <c r="CX56" i="3"/>
  <c r="CX24" i="3"/>
  <c r="CX67" i="3"/>
  <c r="CX42" i="3"/>
  <c r="CX73" i="3"/>
  <c r="CX59" i="3"/>
  <c r="CX23" i="3"/>
  <c r="CX91" i="3"/>
  <c r="CX98" i="3"/>
  <c r="CX86" i="3"/>
  <c r="CX30" i="3"/>
  <c r="CX62" i="3"/>
  <c r="CX20" i="3"/>
  <c r="CX52" i="3"/>
  <c r="CX11" i="3"/>
  <c r="CX104" i="3"/>
  <c r="CX63" i="3"/>
  <c r="CX54" i="3"/>
  <c r="CX34" i="3"/>
  <c r="CX16" i="3"/>
  <c r="CX89" i="3"/>
  <c r="CX17" i="3"/>
  <c r="CX53" i="3"/>
  <c r="CX110" i="3"/>
  <c r="CX105" i="3"/>
  <c r="CX106" i="3"/>
  <c r="CX111" i="3"/>
  <c r="AN47" i="3"/>
  <c r="AN92" i="3"/>
  <c r="AN82" i="3"/>
  <c r="AN83" i="3"/>
  <c r="AN94" i="3"/>
  <c r="AN89" i="3"/>
  <c r="AN85" i="3"/>
  <c r="AN81" i="3"/>
  <c r="AN67" i="3"/>
  <c r="AN63" i="3"/>
  <c r="AN88" i="3"/>
  <c r="AN74" i="3"/>
  <c r="AN87" i="3"/>
  <c r="AN75" i="3"/>
  <c r="AN71" i="3"/>
  <c r="AN91" i="3"/>
  <c r="AN73" i="3"/>
  <c r="AN76" i="3"/>
  <c r="AN62" i="3"/>
  <c r="AN53" i="3"/>
  <c r="AN65" i="3"/>
  <c r="AN54" i="3"/>
  <c r="AN48" i="3"/>
  <c r="AN93" i="3"/>
  <c r="AN57" i="3"/>
  <c r="AN59" i="3"/>
  <c r="AN64" i="3"/>
  <c r="AN70" i="3"/>
  <c r="AN86" i="3"/>
  <c r="AN80" i="3"/>
  <c r="AN68" i="3"/>
  <c r="AN69" i="3"/>
  <c r="AN58" i="3"/>
  <c r="AN46" i="3"/>
  <c r="AN51" i="3"/>
  <c r="AN52" i="3"/>
  <c r="AN56" i="3"/>
  <c r="AN50" i="3"/>
  <c r="BM14" i="3"/>
  <c r="BM45" i="3"/>
  <c r="BM53" i="3"/>
  <c r="BM24" i="3"/>
  <c r="BM52" i="3"/>
  <c r="BM56" i="3"/>
  <c r="BM16" i="3"/>
  <c r="BM41" i="3"/>
  <c r="BM108" i="3"/>
  <c r="BM99" i="3"/>
  <c r="BM88" i="3"/>
  <c r="BM67" i="3"/>
  <c r="BM20" i="3"/>
  <c r="BM100" i="3"/>
  <c r="BM93" i="3"/>
  <c r="BM80" i="3"/>
  <c r="BM102" i="3"/>
  <c r="BM82" i="3"/>
  <c r="BM68" i="3"/>
  <c r="BM64" i="3"/>
  <c r="BM98" i="3"/>
  <c r="BM81" i="3"/>
  <c r="BM73" i="3"/>
  <c r="BM71" i="3"/>
  <c r="BM70" i="3"/>
  <c r="BM46" i="3"/>
  <c r="BM42" i="3"/>
  <c r="BM13" i="3"/>
  <c r="BM92" i="3"/>
  <c r="BM97" i="3"/>
  <c r="BM83" i="3"/>
  <c r="BM87" i="3"/>
  <c r="BM74" i="3"/>
  <c r="BM17" i="3"/>
  <c r="BM30" i="3"/>
  <c r="BM85" i="3"/>
  <c r="BM47" i="3"/>
  <c r="BM19" i="3"/>
  <c r="BM48" i="3"/>
  <c r="BM104" i="3"/>
  <c r="BM58" i="3"/>
  <c r="BM76" i="3"/>
  <c r="BM63" i="3"/>
  <c r="BM69" i="3"/>
  <c r="BM50" i="3"/>
  <c r="BM34" i="3"/>
  <c r="BM39" i="3"/>
  <c r="BM31" i="3"/>
  <c r="BM23" i="3"/>
  <c r="BM28" i="3"/>
  <c r="BM11" i="3"/>
  <c r="BM33" i="3"/>
  <c r="BM40" i="3"/>
  <c r="BM103" i="3"/>
  <c r="BM109" i="3"/>
  <c r="BM57" i="3"/>
  <c r="BM75" i="3"/>
  <c r="BM22" i="3"/>
  <c r="BM59" i="3"/>
  <c r="BM91" i="3"/>
  <c r="BM18" i="3"/>
  <c r="BM35" i="3"/>
  <c r="BM37" i="3"/>
  <c r="BM62" i="3"/>
  <c r="BM94" i="3"/>
  <c r="BM54" i="3"/>
  <c r="BM29" i="3"/>
  <c r="BM86" i="3"/>
  <c r="BM65" i="3"/>
  <c r="BM89" i="3"/>
  <c r="BM51" i="3"/>
  <c r="BM12" i="3"/>
  <c r="BM25" i="3"/>
  <c r="BM36" i="3"/>
  <c r="BM110" i="3"/>
  <c r="BM105" i="3"/>
  <c r="BM106" i="3"/>
  <c r="BM111" i="3"/>
  <c r="CF13" i="3"/>
  <c r="CF62" i="3"/>
  <c r="CF48" i="3"/>
  <c r="CF52" i="3"/>
  <c r="CF23" i="3"/>
  <c r="CF20" i="3"/>
  <c r="CF100" i="3"/>
  <c r="CF108" i="3"/>
  <c r="CF92" i="3"/>
  <c r="CF71" i="3"/>
  <c r="CF56" i="3"/>
  <c r="CF16" i="3"/>
  <c r="CF12" i="3"/>
  <c r="CF98" i="3"/>
  <c r="CF94" i="3"/>
  <c r="CF87" i="3"/>
  <c r="CF85" i="3"/>
  <c r="CF81" i="3"/>
  <c r="CF40" i="3"/>
  <c r="CF109" i="3"/>
  <c r="CF68" i="3"/>
  <c r="CF64" i="3"/>
  <c r="CF58" i="3"/>
  <c r="CF53" i="3"/>
  <c r="CF65" i="3"/>
  <c r="CF51" i="3"/>
  <c r="CF99" i="3"/>
  <c r="CF83" i="3"/>
  <c r="CF89" i="3"/>
  <c r="CF102" i="3"/>
  <c r="CF67" i="3"/>
  <c r="CF63" i="3"/>
  <c r="CF70" i="3"/>
  <c r="CF19" i="3"/>
  <c r="CF93" i="3"/>
  <c r="CF97" i="3"/>
  <c r="CF88" i="3"/>
  <c r="CF76" i="3"/>
  <c r="CF73" i="3"/>
  <c r="CF45" i="3"/>
  <c r="CF33" i="3"/>
  <c r="CF86" i="3"/>
  <c r="CF50" i="3"/>
  <c r="CF30" i="3"/>
  <c r="CF22" i="3"/>
  <c r="CF11" i="3"/>
  <c r="CF14" i="3"/>
  <c r="CF39" i="3"/>
  <c r="CF91" i="3"/>
  <c r="CF75" i="3"/>
  <c r="CF54" i="3"/>
  <c r="CF34" i="3"/>
  <c r="CF24" i="3"/>
  <c r="CF35" i="3"/>
  <c r="CF28" i="3"/>
  <c r="CF59" i="3"/>
  <c r="CF41" i="3"/>
  <c r="CF17" i="3"/>
  <c r="CF82" i="3"/>
  <c r="CF36" i="3"/>
  <c r="CF104" i="3"/>
  <c r="CF29" i="3"/>
  <c r="CF31" i="3"/>
  <c r="CF25" i="3"/>
  <c r="CF46" i="3"/>
  <c r="CF103" i="3"/>
  <c r="CF74" i="3"/>
  <c r="CF37" i="3"/>
  <c r="CF80" i="3"/>
  <c r="CF42" i="3"/>
  <c r="CF18" i="3"/>
  <c r="CF57" i="3"/>
  <c r="CF69" i="3"/>
  <c r="CF47" i="3"/>
  <c r="CF105" i="3"/>
  <c r="CF110" i="3"/>
  <c r="CF106" i="3"/>
  <c r="CF111" i="3"/>
  <c r="AS74" i="3"/>
  <c r="AS91" i="3"/>
  <c r="AS92" i="3"/>
  <c r="AS76" i="3"/>
  <c r="AS94" i="3"/>
  <c r="AS83" i="3"/>
  <c r="AS88" i="3"/>
  <c r="AS87" i="3"/>
  <c r="AS69" i="3"/>
  <c r="AS65" i="3"/>
  <c r="AS86" i="3"/>
  <c r="AS67" i="3"/>
  <c r="AS54" i="3"/>
  <c r="AS73" i="3"/>
  <c r="AS68" i="3"/>
  <c r="AS64" i="3"/>
  <c r="AS82" i="3"/>
  <c r="AS75" i="3"/>
  <c r="AS71" i="3"/>
  <c r="AS63" i="3"/>
  <c r="AS80" i="3"/>
  <c r="AS89" i="3"/>
  <c r="AS62" i="3"/>
  <c r="AS58" i="3"/>
  <c r="AS47" i="3"/>
  <c r="AE47" i="3" s="1"/>
  <c r="AS93" i="3"/>
  <c r="AS85" i="3"/>
  <c r="AS81" i="3"/>
  <c r="AS70" i="3"/>
  <c r="AS51" i="3"/>
  <c r="AS48" i="3"/>
  <c r="AS52" i="3"/>
  <c r="AS50" i="3"/>
  <c r="AS46" i="3"/>
  <c r="AS59" i="3"/>
  <c r="AS53" i="3"/>
  <c r="AS57" i="3"/>
  <c r="AS56" i="3"/>
  <c r="BO12" i="3"/>
  <c r="BO22" i="3"/>
  <c r="BO35" i="3"/>
  <c r="BO34" i="3"/>
  <c r="BO30" i="3"/>
  <c r="BO108" i="3"/>
  <c r="BO74" i="3"/>
  <c r="BS74" i="3" s="1"/>
  <c r="BO91" i="3"/>
  <c r="BO89" i="3"/>
  <c r="BO23" i="3"/>
  <c r="BO97" i="3"/>
  <c r="BO93" i="3"/>
  <c r="BO94" i="3"/>
  <c r="BO100" i="3"/>
  <c r="BO86" i="3"/>
  <c r="BS86" i="3" s="1"/>
  <c r="BO70" i="3"/>
  <c r="BO98" i="3"/>
  <c r="BO82" i="3"/>
  <c r="BO87" i="3"/>
  <c r="BS87" i="3" s="1"/>
  <c r="BO88" i="3"/>
  <c r="BO73" i="3"/>
  <c r="BO68" i="3"/>
  <c r="BO40" i="3"/>
  <c r="BS40" i="3" s="1"/>
  <c r="BO99" i="3"/>
  <c r="BO83" i="3"/>
  <c r="BO67" i="3"/>
  <c r="BO63" i="3"/>
  <c r="BS63" i="3" s="1"/>
  <c r="BO31" i="3"/>
  <c r="BO59" i="3"/>
  <c r="BO80" i="3"/>
  <c r="BO28" i="3"/>
  <c r="BO24" i="3"/>
  <c r="BO58" i="3"/>
  <c r="BO45" i="3"/>
  <c r="BO41" i="3"/>
  <c r="BS41" i="3" s="1"/>
  <c r="BO37" i="3"/>
  <c r="BO17" i="3"/>
  <c r="BO39" i="3"/>
  <c r="BO18" i="3"/>
  <c r="BO50" i="3"/>
  <c r="BO57" i="3"/>
  <c r="BO104" i="3"/>
  <c r="BO11" i="3"/>
  <c r="BO92" i="3"/>
  <c r="BO69" i="3"/>
  <c r="BO85" i="3"/>
  <c r="BO81" i="3"/>
  <c r="BS81" i="3" s="1"/>
  <c r="BO62" i="3"/>
  <c r="BO65" i="3"/>
  <c r="BO56" i="3"/>
  <c r="BO52" i="3"/>
  <c r="BS52" i="3" s="1"/>
  <c r="BO20" i="3"/>
  <c r="BO29" i="3"/>
  <c r="BO46" i="3"/>
  <c r="BO19" i="3"/>
  <c r="BS19" i="3" s="1"/>
  <c r="BO51" i="3"/>
  <c r="BO103" i="3"/>
  <c r="BO36" i="3"/>
  <c r="BO75" i="3"/>
  <c r="BO76" i="3"/>
  <c r="BO109" i="3"/>
  <c r="BO16" i="3"/>
  <c r="BO53" i="3"/>
  <c r="BS53" i="3" s="1"/>
  <c r="BO42" i="3"/>
  <c r="BO71" i="3"/>
  <c r="BO25" i="3"/>
  <c r="BO47" i="3"/>
  <c r="BO13" i="3"/>
  <c r="BO102" i="3"/>
  <c r="BO64" i="3"/>
  <c r="BO48" i="3"/>
  <c r="BO33" i="3"/>
  <c r="BO14" i="3"/>
  <c r="BO54" i="3"/>
  <c r="BO110" i="3"/>
  <c r="BO105" i="3"/>
  <c r="BO106" i="3"/>
  <c r="BO111" i="3"/>
  <c r="T13" i="3"/>
  <c r="T12" i="3"/>
  <c r="T92" i="3"/>
  <c r="T75" i="3"/>
  <c r="T85" i="3"/>
  <c r="T81" i="3"/>
  <c r="T23" i="3"/>
  <c r="T62" i="3"/>
  <c r="T51" i="3"/>
  <c r="T48" i="3"/>
  <c r="T52" i="3"/>
  <c r="T20" i="3"/>
  <c r="T98" i="3"/>
  <c r="T94" i="3"/>
  <c r="T87" i="3"/>
  <c r="T71" i="3"/>
  <c r="T89" i="3"/>
  <c r="T65" i="3"/>
  <c r="T83" i="3"/>
  <c r="T74" i="3"/>
  <c r="T45" i="3"/>
  <c r="T41" i="3"/>
  <c r="T19" i="3"/>
  <c r="T56" i="3"/>
  <c r="T99" i="3"/>
  <c r="T88" i="3"/>
  <c r="T76" i="3"/>
  <c r="T68" i="3"/>
  <c r="T64" i="3"/>
  <c r="T16" i="3"/>
  <c r="T102" i="3"/>
  <c r="T58" i="3"/>
  <c r="T29" i="3"/>
  <c r="T25" i="3"/>
  <c r="T82" i="3"/>
  <c r="T80" i="3"/>
  <c r="T46" i="3"/>
  <c r="T42" i="3"/>
  <c r="T18" i="3"/>
  <c r="T24" i="3"/>
  <c r="T35" i="3"/>
  <c r="T57" i="3"/>
  <c r="T69" i="3"/>
  <c r="T28" i="3"/>
  <c r="T11" i="3"/>
  <c r="T108" i="3"/>
  <c r="T40" i="3"/>
  <c r="T104" i="3"/>
  <c r="T33" i="3"/>
  <c r="T50" i="3"/>
  <c r="T30" i="3"/>
  <c r="T22" i="3"/>
  <c r="T31" i="3"/>
  <c r="T70" i="3"/>
  <c r="T36" i="3"/>
  <c r="T63" i="3"/>
  <c r="T91" i="3"/>
  <c r="T67" i="3"/>
  <c r="T73" i="3"/>
  <c r="T37" i="3"/>
  <c r="T34" i="3"/>
  <c r="T97" i="3"/>
  <c r="T53" i="3"/>
  <c r="T17" i="3"/>
  <c r="T14" i="3"/>
  <c r="T39" i="3"/>
  <c r="T59" i="3"/>
  <c r="T109" i="3"/>
  <c r="T86" i="3"/>
  <c r="T54" i="3"/>
  <c r="T47" i="3"/>
  <c r="T103" i="3"/>
  <c r="T100" i="3"/>
  <c r="T93" i="3"/>
  <c r="T110" i="3"/>
  <c r="T105" i="3"/>
  <c r="T106" i="3"/>
  <c r="T111" i="3"/>
  <c r="BQ25" i="3"/>
  <c r="BQ28" i="3"/>
  <c r="BQ14" i="3"/>
  <c r="BQ36" i="3"/>
  <c r="BQ40" i="3"/>
  <c r="BQ37" i="3"/>
  <c r="BQ71" i="3"/>
  <c r="BQ100" i="3"/>
  <c r="BQ80" i="3"/>
  <c r="BQ86" i="3"/>
  <c r="BQ33" i="3"/>
  <c r="BQ98" i="3"/>
  <c r="BQ94" i="3"/>
  <c r="BQ93" i="3"/>
  <c r="BQ13" i="3"/>
  <c r="BQ108" i="3"/>
  <c r="BQ92" i="3"/>
  <c r="BQ88" i="3"/>
  <c r="BQ48" i="3"/>
  <c r="BQ83" i="3"/>
  <c r="BQ82" i="3"/>
  <c r="BQ57" i="3"/>
  <c r="BQ29" i="3"/>
  <c r="BQ68" i="3"/>
  <c r="BQ97" i="3"/>
  <c r="BQ85" i="3"/>
  <c r="BQ69" i="3"/>
  <c r="BQ67" i="3"/>
  <c r="BQ50" i="3"/>
  <c r="BQ34" i="3"/>
  <c r="BQ75" i="3"/>
  <c r="BQ62" i="3"/>
  <c r="BQ39" i="3"/>
  <c r="BQ31" i="3"/>
  <c r="BQ23" i="3"/>
  <c r="BQ12" i="3"/>
  <c r="BQ41" i="3"/>
  <c r="BQ52" i="3"/>
  <c r="BQ56" i="3"/>
  <c r="BQ60" i="3" s="1"/>
  <c r="BQ24" i="3"/>
  <c r="BQ53" i="3"/>
  <c r="BQ104" i="3"/>
  <c r="BQ103" i="3"/>
  <c r="BQ109" i="3"/>
  <c r="BQ58" i="3"/>
  <c r="BQ89" i="3"/>
  <c r="BQ99" i="3"/>
  <c r="BQ76" i="3"/>
  <c r="BQ87" i="3"/>
  <c r="BQ54" i="3"/>
  <c r="BQ46" i="3"/>
  <c r="BQ22" i="3"/>
  <c r="BQ59" i="3"/>
  <c r="BQ51" i="3"/>
  <c r="BQ35" i="3"/>
  <c r="BQ16" i="3"/>
  <c r="BQ20" i="3"/>
  <c r="BQ45" i="3"/>
  <c r="BQ17" i="3"/>
  <c r="BQ91" i="3"/>
  <c r="BQ65" i="3"/>
  <c r="BQ63" i="3"/>
  <c r="BQ18" i="3"/>
  <c r="BQ47" i="3"/>
  <c r="BQ19" i="3"/>
  <c r="BQ81" i="3"/>
  <c r="BQ42" i="3"/>
  <c r="BQ102" i="3"/>
  <c r="BQ74" i="3"/>
  <c r="BQ70" i="3"/>
  <c r="BQ30" i="3"/>
  <c r="BQ11" i="3"/>
  <c r="BQ64" i="3"/>
  <c r="BQ73" i="3"/>
  <c r="BQ105" i="3"/>
  <c r="BQ110" i="3"/>
  <c r="BQ111" i="3"/>
  <c r="BQ106" i="3"/>
  <c r="AI85" i="3"/>
  <c r="AI93" i="3"/>
  <c r="AI94" i="3"/>
  <c r="AI86" i="3"/>
  <c r="AI74" i="3"/>
  <c r="AI87" i="3"/>
  <c r="AI83" i="3"/>
  <c r="AI92" i="3"/>
  <c r="AI64" i="3"/>
  <c r="AI75" i="3"/>
  <c r="AI89" i="3"/>
  <c r="AI81" i="3"/>
  <c r="AI70" i="3"/>
  <c r="AI48" i="3"/>
  <c r="AI47" i="3"/>
  <c r="AI80" i="3"/>
  <c r="AI88" i="3"/>
  <c r="AI73" i="3"/>
  <c r="AI63" i="3"/>
  <c r="AI59" i="3"/>
  <c r="AI54" i="3"/>
  <c r="AI62" i="3"/>
  <c r="AI67" i="3"/>
  <c r="AI65" i="3"/>
  <c r="AI52" i="3"/>
  <c r="AI82" i="3"/>
  <c r="AI58" i="3"/>
  <c r="AI50" i="3"/>
  <c r="AI51" i="3"/>
  <c r="AI91" i="3"/>
  <c r="AI69" i="3"/>
  <c r="AI68" i="3"/>
  <c r="AI53" i="3"/>
  <c r="AI57" i="3"/>
  <c r="AI76" i="3"/>
  <c r="AI71" i="3"/>
  <c r="AI56" i="3"/>
  <c r="AI60" i="3" s="1"/>
  <c r="AI46" i="3"/>
  <c r="BG58" i="3"/>
  <c r="BG11" i="3"/>
  <c r="BG82" i="3"/>
  <c r="BG34" i="3"/>
  <c r="BG30" i="3"/>
  <c r="BG102" i="3"/>
  <c r="BG74" i="3"/>
  <c r="BG97" i="3"/>
  <c r="BG93" i="3"/>
  <c r="BG108" i="3"/>
  <c r="BG81" i="3"/>
  <c r="BG76" i="3"/>
  <c r="BG77" i="3" s="1"/>
  <c r="BG78" i="3" s="1"/>
  <c r="BG79" i="3" s="1"/>
  <c r="BG85" i="3"/>
  <c r="BG69" i="3"/>
  <c r="BG31" i="3"/>
  <c r="BG32" i="3" s="1"/>
  <c r="BG109" i="3"/>
  <c r="BG98" i="3"/>
  <c r="BG100" i="3"/>
  <c r="BG101" i="3" s="1"/>
  <c r="BG91" i="3"/>
  <c r="BG86" i="3"/>
  <c r="BG88" i="3"/>
  <c r="BG80" i="3"/>
  <c r="BG70" i="3"/>
  <c r="BG71" i="3"/>
  <c r="BG72" i="3" s="1"/>
  <c r="BG23" i="3"/>
  <c r="BG75" i="3"/>
  <c r="BG48" i="3"/>
  <c r="BG49" i="3" s="1"/>
  <c r="BG36" i="3"/>
  <c r="BG16" i="3"/>
  <c r="BG25" i="3"/>
  <c r="BG26" i="3" s="1"/>
  <c r="BG27" i="3" s="1"/>
  <c r="BG46" i="3"/>
  <c r="BG19" i="3"/>
  <c r="BG51" i="3"/>
  <c r="BG103" i="3"/>
  <c r="BG12" i="3"/>
  <c r="BG92" i="3"/>
  <c r="BG63" i="3"/>
  <c r="BG59" i="3"/>
  <c r="BG60" i="3" s="1"/>
  <c r="BG61" i="3" s="1"/>
  <c r="BG28" i="3"/>
  <c r="BG24" i="3"/>
  <c r="BG45" i="3"/>
  <c r="BG41" i="3"/>
  <c r="BG37" i="3"/>
  <c r="BG38" i="3" s="1"/>
  <c r="BG17" i="3"/>
  <c r="BG14" i="3"/>
  <c r="BG15" i="3" s="1"/>
  <c r="BG47" i="3"/>
  <c r="BG89" i="3"/>
  <c r="BG90" i="3" s="1"/>
  <c r="BG104" i="3"/>
  <c r="BG94" i="3"/>
  <c r="BG95" i="3" s="1"/>
  <c r="BG96" i="3" s="1"/>
  <c r="BG62" i="3"/>
  <c r="BG67" i="3"/>
  <c r="BG64" i="3"/>
  <c r="BG52" i="3"/>
  <c r="BG73" i="3"/>
  <c r="BG33" i="3"/>
  <c r="BG39" i="3"/>
  <c r="BG42" i="3"/>
  <c r="BG43" i="3" s="1"/>
  <c r="BG44" i="3" s="1"/>
  <c r="BG35" i="3"/>
  <c r="BG68" i="3"/>
  <c r="BG57" i="3"/>
  <c r="BG29" i="3"/>
  <c r="BG13" i="3"/>
  <c r="BG99" i="3"/>
  <c r="BG20" i="3"/>
  <c r="BG21" i="3" s="1"/>
  <c r="BG53" i="3"/>
  <c r="BG50" i="3"/>
  <c r="BG54" i="3"/>
  <c r="BG55" i="3" s="1"/>
  <c r="BG87" i="3"/>
  <c r="BG22" i="3"/>
  <c r="BG65" i="3"/>
  <c r="BG66" i="3" s="1"/>
  <c r="BG56" i="3"/>
  <c r="BG40" i="3"/>
  <c r="BG18" i="3"/>
  <c r="BG83" i="3"/>
  <c r="BG84" i="3" s="1"/>
  <c r="BG110" i="3"/>
  <c r="BG105" i="3"/>
  <c r="BG106" i="3"/>
  <c r="BG107" i="3" s="1"/>
  <c r="BG111" i="3"/>
  <c r="BG112" i="3" s="1"/>
  <c r="BG113" i="3" s="1"/>
  <c r="BY28" i="3"/>
  <c r="BY36" i="3"/>
  <c r="BZ36" i="3" s="1"/>
  <c r="BY33" i="3"/>
  <c r="BY13" i="3"/>
  <c r="BY25" i="3"/>
  <c r="BZ25" i="3" s="1"/>
  <c r="BY102" i="3"/>
  <c r="BZ102" i="3" s="1"/>
  <c r="BY91" i="3"/>
  <c r="BY92" i="3"/>
  <c r="BZ92" i="3" s="1"/>
  <c r="BY98" i="3"/>
  <c r="BZ98" i="3" s="1"/>
  <c r="BY76" i="3"/>
  <c r="BZ76" i="3" s="1"/>
  <c r="BY86" i="3"/>
  <c r="BZ86" i="3" s="1"/>
  <c r="BY48" i="3"/>
  <c r="BZ48" i="3" s="1"/>
  <c r="BY108" i="3"/>
  <c r="BZ108" i="3" s="1"/>
  <c r="BY99" i="3"/>
  <c r="BZ99" i="3" s="1"/>
  <c r="BY88" i="3"/>
  <c r="BZ88" i="3" s="1"/>
  <c r="BY37" i="3"/>
  <c r="BZ37" i="3" s="1"/>
  <c r="BY14" i="3"/>
  <c r="BZ14" i="3" s="1"/>
  <c r="BY93" i="3"/>
  <c r="BZ93" i="3" s="1"/>
  <c r="BY85" i="3"/>
  <c r="BY81" i="3"/>
  <c r="BZ81" i="3" s="1"/>
  <c r="BY97" i="3"/>
  <c r="BY75" i="3"/>
  <c r="BZ75" i="3" s="1"/>
  <c r="BY71" i="3"/>
  <c r="BZ71" i="3" s="1"/>
  <c r="BY69" i="3"/>
  <c r="BZ69" i="3" s="1"/>
  <c r="BY65" i="3"/>
  <c r="BZ65" i="3" s="1"/>
  <c r="BY63" i="3"/>
  <c r="BZ63" i="3" s="1"/>
  <c r="BY54" i="3"/>
  <c r="BZ54" i="3" s="1"/>
  <c r="BY40" i="3"/>
  <c r="BZ40" i="3" s="1"/>
  <c r="BY80" i="3"/>
  <c r="BY89" i="3"/>
  <c r="BZ89" i="3" s="1"/>
  <c r="BY87" i="3"/>
  <c r="BZ87" i="3" s="1"/>
  <c r="BY83" i="3"/>
  <c r="BZ83" i="3" s="1"/>
  <c r="BY68" i="3"/>
  <c r="BZ68" i="3" s="1"/>
  <c r="BY64" i="3"/>
  <c r="BZ64" i="3" s="1"/>
  <c r="BY57" i="3"/>
  <c r="BZ57" i="3" s="1"/>
  <c r="BY18" i="3"/>
  <c r="BZ18" i="3" s="1"/>
  <c r="BY59" i="3"/>
  <c r="BZ59" i="3" s="1"/>
  <c r="BY11" i="3"/>
  <c r="BY74" i="3"/>
  <c r="BZ74" i="3" s="1"/>
  <c r="BY42" i="3"/>
  <c r="BZ42" i="3" s="1"/>
  <c r="BY30" i="3"/>
  <c r="BZ30" i="3" s="1"/>
  <c r="BY47" i="3"/>
  <c r="BZ47" i="3" s="1"/>
  <c r="BY19" i="3"/>
  <c r="BZ19" i="3" s="1"/>
  <c r="BY41" i="3"/>
  <c r="BZ41" i="3" s="1"/>
  <c r="BY52" i="3"/>
  <c r="BZ52" i="3" s="1"/>
  <c r="BY56" i="3"/>
  <c r="BY24" i="3"/>
  <c r="BZ24" i="3" s="1"/>
  <c r="BY53" i="3"/>
  <c r="BZ53" i="3" s="1"/>
  <c r="BY70" i="3"/>
  <c r="BZ70" i="3" s="1"/>
  <c r="BY73" i="3"/>
  <c r="BY50" i="3"/>
  <c r="BY46" i="3"/>
  <c r="BZ46" i="3" s="1"/>
  <c r="BY23" i="3"/>
  <c r="BZ23" i="3" s="1"/>
  <c r="BY104" i="3"/>
  <c r="BZ104" i="3" s="1"/>
  <c r="BY100" i="3"/>
  <c r="BZ100" i="3" s="1"/>
  <c r="BY94" i="3"/>
  <c r="BZ94" i="3" s="1"/>
  <c r="BY51" i="3"/>
  <c r="BZ51" i="3" s="1"/>
  <c r="BY12" i="3"/>
  <c r="BZ12" i="3" s="1"/>
  <c r="BY20" i="3"/>
  <c r="BZ20" i="3" s="1"/>
  <c r="BY109" i="3"/>
  <c r="BZ109" i="3" s="1"/>
  <c r="BY82" i="3"/>
  <c r="BZ82" i="3" s="1"/>
  <c r="BY67" i="3"/>
  <c r="BY34" i="3"/>
  <c r="BZ34" i="3" s="1"/>
  <c r="BY22" i="3"/>
  <c r="BY58" i="3"/>
  <c r="BZ58" i="3" s="1"/>
  <c r="BY16" i="3"/>
  <c r="BY17" i="3"/>
  <c r="BZ17" i="3" s="1"/>
  <c r="BY29" i="3"/>
  <c r="BZ29" i="3" s="1"/>
  <c r="BY62" i="3"/>
  <c r="BY39" i="3"/>
  <c r="BY35" i="3"/>
  <c r="BZ35" i="3" s="1"/>
  <c r="BY31" i="3"/>
  <c r="BZ31" i="3" s="1"/>
  <c r="BY45" i="3"/>
  <c r="BY103" i="3"/>
  <c r="BZ103" i="3" s="1"/>
  <c r="BY110" i="3"/>
  <c r="BZ110" i="3" s="1"/>
  <c r="BY105" i="3"/>
  <c r="BZ105" i="3" s="1"/>
  <c r="BY106" i="3"/>
  <c r="BY111" i="3"/>
  <c r="AJ2" i="3"/>
  <c r="AT2" i="3"/>
  <c r="AO2" i="3"/>
  <c r="Q43" i="5"/>
  <c r="Q26" i="5"/>
  <c r="Q21" i="5"/>
  <c r="Q32" i="5"/>
  <c r="Q38" i="5"/>
  <c r="Q15" i="5"/>
  <c r="CW103" i="5"/>
  <c r="CW102" i="5"/>
  <c r="CW100" i="5"/>
  <c r="CW99" i="5"/>
  <c r="CW98" i="5"/>
  <c r="CW97" i="5"/>
  <c r="CW86" i="5"/>
  <c r="CW85" i="5"/>
  <c r="CW83" i="5"/>
  <c r="CW82" i="5"/>
  <c r="CW81" i="5"/>
  <c r="CW80" i="5"/>
  <c r="CW68" i="5"/>
  <c r="CW67" i="5"/>
  <c r="CW65" i="5"/>
  <c r="CW64" i="5"/>
  <c r="CW63" i="5"/>
  <c r="CW62" i="5"/>
  <c r="CW51" i="5"/>
  <c r="CW47" i="5"/>
  <c r="CJ47" i="5"/>
  <c r="CC47" i="5"/>
  <c r="BV47" i="5"/>
  <c r="BP47" i="5"/>
  <c r="BN47" i="5"/>
  <c r="BL47" i="5"/>
  <c r="BF47" i="5"/>
  <c r="AR47" i="5"/>
  <c r="AM47" i="5"/>
  <c r="AH47" i="5"/>
  <c r="CW46" i="5"/>
  <c r="CJ46" i="5"/>
  <c r="CC46" i="5"/>
  <c r="BV46" i="5"/>
  <c r="BP46" i="5"/>
  <c r="BN46" i="5"/>
  <c r="BL46" i="5"/>
  <c r="BF46" i="5"/>
  <c r="AR46" i="5"/>
  <c r="AM46" i="5"/>
  <c r="AH46" i="5"/>
  <c r="CW45" i="5"/>
  <c r="CJ45" i="5"/>
  <c r="CC45" i="5"/>
  <c r="BV45" i="5"/>
  <c r="BP45" i="5"/>
  <c r="BN45" i="5"/>
  <c r="BL45" i="5"/>
  <c r="BF45" i="5"/>
  <c r="AR45" i="5"/>
  <c r="AM45" i="5"/>
  <c r="AH45" i="5"/>
  <c r="CW42" i="5"/>
  <c r="CJ42" i="5"/>
  <c r="CC42" i="5"/>
  <c r="BV42" i="5"/>
  <c r="BP42" i="5"/>
  <c r="BN42" i="5"/>
  <c r="BL42" i="5"/>
  <c r="BF42" i="5"/>
  <c r="AR42" i="5"/>
  <c r="AM42" i="5"/>
  <c r="AH42" i="5"/>
  <c r="CW41" i="5"/>
  <c r="CJ41" i="5"/>
  <c r="CC41" i="5"/>
  <c r="BV41" i="5"/>
  <c r="BP41" i="5"/>
  <c r="BN41" i="5"/>
  <c r="BL41" i="5"/>
  <c r="BF41" i="5"/>
  <c r="AR41" i="5"/>
  <c r="AM41" i="5"/>
  <c r="AH41" i="5"/>
  <c r="CW40" i="5"/>
  <c r="CJ40" i="5"/>
  <c r="CC40" i="5"/>
  <c r="BV40" i="5"/>
  <c r="BP40" i="5"/>
  <c r="BN40" i="5"/>
  <c r="BL40" i="5"/>
  <c r="BF40" i="5"/>
  <c r="AR40" i="5"/>
  <c r="AM40" i="5"/>
  <c r="AH40" i="5"/>
  <c r="CW39" i="5"/>
  <c r="CJ39" i="5"/>
  <c r="CC39" i="5"/>
  <c r="BV39" i="5"/>
  <c r="BP39" i="5"/>
  <c r="BN39" i="5"/>
  <c r="BL39" i="5"/>
  <c r="BF39" i="5"/>
  <c r="AR39" i="5"/>
  <c r="AM39" i="5"/>
  <c r="AH39" i="5"/>
  <c r="CW37" i="5"/>
  <c r="CJ37" i="5"/>
  <c r="CC37" i="5"/>
  <c r="BV37" i="5"/>
  <c r="BP37" i="5"/>
  <c r="BN37" i="5"/>
  <c r="BL37" i="5"/>
  <c r="BF37" i="5"/>
  <c r="AR37" i="5"/>
  <c r="AM37" i="5"/>
  <c r="AH37" i="5"/>
  <c r="CW36" i="5"/>
  <c r="CJ36" i="5"/>
  <c r="CC36" i="5"/>
  <c r="BV36" i="5"/>
  <c r="BP36" i="5"/>
  <c r="BN36" i="5"/>
  <c r="BL36" i="5"/>
  <c r="BF36" i="5"/>
  <c r="AR36" i="5"/>
  <c r="AM36" i="5"/>
  <c r="AH36" i="5"/>
  <c r="CW35" i="5"/>
  <c r="CJ35" i="5"/>
  <c r="CC35" i="5"/>
  <c r="BV35" i="5"/>
  <c r="BP35" i="5"/>
  <c r="BN35" i="5"/>
  <c r="BL35" i="5"/>
  <c r="BF35" i="5"/>
  <c r="AR35" i="5"/>
  <c r="AM35" i="5"/>
  <c r="AH35" i="5"/>
  <c r="CW34" i="5"/>
  <c r="CJ34" i="5"/>
  <c r="CC34" i="5"/>
  <c r="BV34" i="5"/>
  <c r="BP34" i="5"/>
  <c r="BN34" i="5"/>
  <c r="BL34" i="5"/>
  <c r="BF34" i="5"/>
  <c r="AR34" i="5"/>
  <c r="AM34" i="5"/>
  <c r="AH34" i="5"/>
  <c r="CW33" i="5"/>
  <c r="CJ33" i="5"/>
  <c r="CC33" i="5"/>
  <c r="BV33" i="5"/>
  <c r="BP33" i="5"/>
  <c r="BN33" i="5"/>
  <c r="BL33" i="5"/>
  <c r="BF33" i="5"/>
  <c r="AR33" i="5"/>
  <c r="AM33" i="5"/>
  <c r="AH33" i="5"/>
  <c r="CW31" i="5"/>
  <c r="CJ31" i="5"/>
  <c r="CC31" i="5"/>
  <c r="BV31" i="5"/>
  <c r="BP31" i="5"/>
  <c r="BN31" i="5"/>
  <c r="BL31" i="5"/>
  <c r="BF31" i="5"/>
  <c r="AR31" i="5"/>
  <c r="AM31" i="5"/>
  <c r="AH31" i="5"/>
  <c r="CW30" i="5"/>
  <c r="CJ30" i="5"/>
  <c r="CC30" i="5"/>
  <c r="BV30" i="5"/>
  <c r="BP30" i="5"/>
  <c r="BN30" i="5"/>
  <c r="BL30" i="5"/>
  <c r="BF30" i="5"/>
  <c r="AR30" i="5"/>
  <c r="AM30" i="5"/>
  <c r="AH30" i="5"/>
  <c r="CW29" i="5"/>
  <c r="CJ29" i="5"/>
  <c r="CC29" i="5"/>
  <c r="BV29" i="5"/>
  <c r="BP29" i="5"/>
  <c r="BN29" i="5"/>
  <c r="BL29" i="5"/>
  <c r="BF29" i="5"/>
  <c r="AR29" i="5"/>
  <c r="AM29" i="5"/>
  <c r="AH29" i="5"/>
  <c r="CW28" i="5"/>
  <c r="CJ28" i="5"/>
  <c r="CC28" i="5"/>
  <c r="BV28" i="5"/>
  <c r="BP28" i="5"/>
  <c r="BN28" i="5"/>
  <c r="BL28" i="5"/>
  <c r="BF28" i="5"/>
  <c r="AR28" i="5"/>
  <c r="AM28" i="5"/>
  <c r="AH28" i="5"/>
  <c r="CW25" i="5"/>
  <c r="CJ25" i="5"/>
  <c r="CC25" i="5"/>
  <c r="BV25" i="5"/>
  <c r="BP25" i="5"/>
  <c r="BN25" i="5"/>
  <c r="BL25" i="5"/>
  <c r="BF25" i="5"/>
  <c r="AR25" i="5"/>
  <c r="AM25" i="5"/>
  <c r="AH25" i="5"/>
  <c r="CW24" i="5"/>
  <c r="CJ24" i="5"/>
  <c r="CC24" i="5"/>
  <c r="BV24" i="5"/>
  <c r="BP24" i="5"/>
  <c r="BN24" i="5"/>
  <c r="BL24" i="5"/>
  <c r="BF24" i="5"/>
  <c r="AR24" i="5"/>
  <c r="AM24" i="5"/>
  <c r="AH24" i="5"/>
  <c r="CW23" i="5"/>
  <c r="CJ23" i="5"/>
  <c r="CC23" i="5"/>
  <c r="BV23" i="5"/>
  <c r="BP23" i="5"/>
  <c r="BN23" i="5"/>
  <c r="BL23" i="5"/>
  <c r="BF23" i="5"/>
  <c r="AR23" i="5"/>
  <c r="AM23" i="5"/>
  <c r="AH23" i="5"/>
  <c r="CW22" i="5"/>
  <c r="CJ22" i="5"/>
  <c r="CC22" i="5"/>
  <c r="BV22" i="5"/>
  <c r="BP22" i="5"/>
  <c r="BN22" i="5"/>
  <c r="BL22" i="5"/>
  <c r="BF22" i="5"/>
  <c r="AR22" i="5"/>
  <c r="AM22" i="5"/>
  <c r="AH22" i="5"/>
  <c r="CW20" i="5"/>
  <c r="CJ20" i="5"/>
  <c r="CC20" i="5"/>
  <c r="BV20" i="5"/>
  <c r="BP20" i="5"/>
  <c r="BN20" i="5"/>
  <c r="BL20" i="5"/>
  <c r="BF20" i="5"/>
  <c r="AR20" i="5"/>
  <c r="AM20" i="5"/>
  <c r="AH20" i="5"/>
  <c r="CW19" i="5"/>
  <c r="CJ19" i="5"/>
  <c r="CC19" i="5"/>
  <c r="BV19" i="5"/>
  <c r="BP19" i="5"/>
  <c r="BN19" i="5"/>
  <c r="BL19" i="5"/>
  <c r="BF19" i="5"/>
  <c r="AR19" i="5"/>
  <c r="AM19" i="5"/>
  <c r="AH19" i="5"/>
  <c r="CW18" i="5"/>
  <c r="CJ18" i="5"/>
  <c r="CC18" i="5"/>
  <c r="BV18" i="5"/>
  <c r="BP18" i="5"/>
  <c r="BN18" i="5"/>
  <c r="BL18" i="5"/>
  <c r="BF18" i="5"/>
  <c r="AR18" i="5"/>
  <c r="AM18" i="5"/>
  <c r="AH18" i="5"/>
  <c r="CW17" i="5"/>
  <c r="CJ17" i="5"/>
  <c r="CC17" i="5"/>
  <c r="BV17" i="5"/>
  <c r="BP17" i="5"/>
  <c r="BN17" i="5"/>
  <c r="BL17" i="5"/>
  <c r="BF17" i="5"/>
  <c r="AR17" i="5"/>
  <c r="AM17" i="5"/>
  <c r="AH17" i="5"/>
  <c r="CW16" i="5"/>
  <c r="CJ16" i="5"/>
  <c r="CC16" i="5"/>
  <c r="BV16" i="5"/>
  <c r="BP16" i="5"/>
  <c r="BN16" i="5"/>
  <c r="BL16" i="5"/>
  <c r="BF16" i="5"/>
  <c r="AR16" i="5"/>
  <c r="AM16" i="5"/>
  <c r="AH16" i="5"/>
  <c r="CW14" i="5"/>
  <c r="CJ14" i="5"/>
  <c r="CC14" i="5"/>
  <c r="BV14" i="5"/>
  <c r="BP14" i="5"/>
  <c r="BN14" i="5"/>
  <c r="BL14" i="5"/>
  <c r="BF14" i="5"/>
  <c r="AR14" i="5"/>
  <c r="AM14" i="5"/>
  <c r="AH14" i="5"/>
  <c r="CW13" i="5"/>
  <c r="CJ13" i="5"/>
  <c r="CC13" i="5"/>
  <c r="BV13" i="5"/>
  <c r="BP13" i="5"/>
  <c r="BN13" i="5"/>
  <c r="BL13" i="5"/>
  <c r="BF13" i="5"/>
  <c r="AR13" i="5"/>
  <c r="AM13" i="5"/>
  <c r="AH13" i="5"/>
  <c r="CW12" i="5"/>
  <c r="CJ12" i="5"/>
  <c r="CC12" i="5"/>
  <c r="BV12" i="5"/>
  <c r="BP12" i="5"/>
  <c r="BN12" i="5"/>
  <c r="BL12" i="5"/>
  <c r="BF12" i="5"/>
  <c r="AR12" i="5"/>
  <c r="AM12" i="5"/>
  <c r="AH12" i="5"/>
  <c r="CW11" i="5"/>
  <c r="CJ11" i="5"/>
  <c r="CC11" i="5"/>
  <c r="BV11" i="5"/>
  <c r="BP11" i="5"/>
  <c r="BN11" i="5"/>
  <c r="BL11" i="5"/>
  <c r="BF11" i="5"/>
  <c r="AR11" i="5"/>
  <c r="AM11" i="5"/>
  <c r="AH11" i="5"/>
  <c r="AP40" i="5"/>
  <c r="E3" i="6"/>
  <c r="F3" i="6"/>
  <c r="G3" i="6" s="1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B2" i="6"/>
  <c r="AC2" i="6"/>
  <c r="AD2" i="6"/>
  <c r="C3" i="6"/>
  <c r="D3" i="6"/>
  <c r="B3" i="6"/>
  <c r="BC71" i="5"/>
  <c r="BC67" i="5"/>
  <c r="BC62" i="5"/>
  <c r="BC59" i="5"/>
  <c r="BC58" i="5"/>
  <c r="BC56" i="5"/>
  <c r="CX42" i="5"/>
  <c r="BM41" i="5"/>
  <c r="BG40" i="5"/>
  <c r="T36" i="5"/>
  <c r="CM34" i="5"/>
  <c r="CM33" i="5"/>
  <c r="BY31" i="5"/>
  <c r="BG28" i="5"/>
  <c r="CF25" i="5"/>
  <c r="CM24" i="5"/>
  <c r="BO23" i="5"/>
  <c r="CF19" i="5"/>
  <c r="T18" i="5"/>
  <c r="BG17" i="5"/>
  <c r="CX12" i="5"/>
  <c r="T12" i="5"/>
  <c r="CF11" i="5"/>
  <c r="BM11" i="5"/>
  <c r="BG11" i="5"/>
  <c r="CX2" i="5"/>
  <c r="CX56" i="5" s="1"/>
  <c r="CM2" i="5"/>
  <c r="CM45" i="5" s="1"/>
  <c r="CF2" i="5"/>
  <c r="CF64" i="5" s="1"/>
  <c r="BV4" i="5"/>
  <c r="BY2" i="5"/>
  <c r="BY41" i="5" s="1"/>
  <c r="BM2" i="5"/>
  <c r="BM34" i="5" s="1"/>
  <c r="BO2" i="5"/>
  <c r="BO42" i="5" s="1"/>
  <c r="BQ2" i="5"/>
  <c r="BQ36" i="5" s="1"/>
  <c r="BG2" i="5"/>
  <c r="BG47" i="5" s="1"/>
  <c r="BD2" i="5"/>
  <c r="T2" i="5"/>
  <c r="BD28" i="3" l="1"/>
  <c r="BK28" i="3" s="1"/>
  <c r="BS110" i="3"/>
  <c r="BS47" i="3"/>
  <c r="BD92" i="3"/>
  <c r="BK92" i="3" s="1"/>
  <c r="BM107" i="3"/>
  <c r="BM55" i="3"/>
  <c r="BS36" i="3"/>
  <c r="BS68" i="3"/>
  <c r="BS100" i="3"/>
  <c r="BQ112" i="3"/>
  <c r="BS109" i="3"/>
  <c r="BS83" i="3"/>
  <c r="BS98" i="3"/>
  <c r="BY107" i="3"/>
  <c r="BZ107" i="3" s="1"/>
  <c r="BZ106" i="3"/>
  <c r="BY49" i="3"/>
  <c r="BZ49" i="3" s="1"/>
  <c r="BZ45" i="3"/>
  <c r="BE28" i="3"/>
  <c r="AI90" i="3"/>
  <c r="BI106" i="3"/>
  <c r="O106" i="3"/>
  <c r="AB106" i="3" s="1"/>
  <c r="X108" i="3"/>
  <c r="O86" i="3"/>
  <c r="AB86" i="3" s="1"/>
  <c r="X87" i="3"/>
  <c r="W87" i="3" s="1"/>
  <c r="BI86" i="3"/>
  <c r="BI34" i="3"/>
  <c r="U34" i="3"/>
  <c r="O34" i="3"/>
  <c r="X35" i="3"/>
  <c r="X33" i="3"/>
  <c r="O31" i="3"/>
  <c r="BI31" i="3"/>
  <c r="U31" i="3"/>
  <c r="U11" i="3"/>
  <c r="T15" i="3"/>
  <c r="X12" i="3"/>
  <c r="BI11" i="3"/>
  <c r="O11" i="3"/>
  <c r="BI46" i="3"/>
  <c r="U46" i="3"/>
  <c r="X47" i="3"/>
  <c r="O46" i="3"/>
  <c r="O64" i="3"/>
  <c r="AB64" i="3" s="1"/>
  <c r="X65" i="3"/>
  <c r="BI64" i="3"/>
  <c r="X91" i="3"/>
  <c r="W91" i="3" s="1"/>
  <c r="BI89" i="3"/>
  <c r="O89" i="3"/>
  <c r="AB89" i="3" s="1"/>
  <c r="O98" i="3"/>
  <c r="AB98" i="3" s="1"/>
  <c r="BI98" i="3"/>
  <c r="X99" i="3"/>
  <c r="W99" i="3" s="1"/>
  <c r="BI13" i="3"/>
  <c r="X14" i="3"/>
  <c r="X15" i="3" s="1"/>
  <c r="U13" i="3"/>
  <c r="O13" i="3"/>
  <c r="BS75" i="3"/>
  <c r="BS18" i="3"/>
  <c r="BO32" i="3"/>
  <c r="BS28" i="3"/>
  <c r="AK18" i="3"/>
  <c r="CP18" i="3"/>
  <c r="CQ18" i="3" s="1"/>
  <c r="CG18" i="3"/>
  <c r="CP74" i="3"/>
  <c r="CQ74" i="3" s="1"/>
  <c r="AK74" i="3"/>
  <c r="CG74" i="3"/>
  <c r="CG28" i="3"/>
  <c r="AK28" i="3"/>
  <c r="CF32" i="3"/>
  <c r="CP28" i="3"/>
  <c r="CQ28" i="3" s="1"/>
  <c r="CP14" i="3"/>
  <c r="CQ14" i="3" s="1"/>
  <c r="CG14" i="3"/>
  <c r="AK14" i="3"/>
  <c r="CF77" i="3"/>
  <c r="AK73" i="3"/>
  <c r="CP73" i="3"/>
  <c r="CQ73" i="3" s="1"/>
  <c r="CG73" i="3"/>
  <c r="CF72" i="3"/>
  <c r="CP67" i="3"/>
  <c r="CQ67" i="3" s="1"/>
  <c r="AK67" i="3"/>
  <c r="CG67" i="3"/>
  <c r="AK58" i="3"/>
  <c r="CP58" i="3"/>
  <c r="CQ58" i="3" s="1"/>
  <c r="CG58" i="3"/>
  <c r="AK94" i="3"/>
  <c r="AZ94" i="3" s="1"/>
  <c r="CP94" i="3"/>
  <c r="CQ94" i="3" s="1"/>
  <c r="CG94" i="3"/>
  <c r="CP100" i="3"/>
  <c r="CQ100" i="3" s="1"/>
  <c r="AK100" i="3"/>
  <c r="AZ100" i="3" s="1"/>
  <c r="CG100" i="3"/>
  <c r="M64" i="3"/>
  <c r="AE64" i="3"/>
  <c r="AX64" i="3"/>
  <c r="M48" i="3"/>
  <c r="AE48" i="3"/>
  <c r="Z48" i="3" s="1"/>
  <c r="AX48" i="3"/>
  <c r="AE88" i="3"/>
  <c r="AX88" i="3"/>
  <c r="M88" i="3"/>
  <c r="CY106" i="3"/>
  <c r="CX107" i="3"/>
  <c r="CY107" i="3" s="1"/>
  <c r="BD106" i="3"/>
  <c r="BD17" i="3"/>
  <c r="CY17" i="3"/>
  <c r="BD86" i="3"/>
  <c r="BK86" i="3" s="1"/>
  <c r="CY86" i="3"/>
  <c r="BD24" i="3"/>
  <c r="CY24" i="3"/>
  <c r="BD65" i="3"/>
  <c r="CX66" i="3"/>
  <c r="CY66" i="3" s="1"/>
  <c r="CY65" i="3"/>
  <c r="CX95" i="3"/>
  <c r="CX96" i="3" s="1"/>
  <c r="BD94" i="3"/>
  <c r="CY99" i="3"/>
  <c r="BD99" i="3"/>
  <c r="BK99" i="3" s="1"/>
  <c r="CY33" i="3"/>
  <c r="BD33" i="3"/>
  <c r="CY70" i="3"/>
  <c r="BD70" i="3"/>
  <c r="BK70" i="3" s="1"/>
  <c r="BD36" i="3"/>
  <c r="CY36" i="3"/>
  <c r="CS110" i="3"/>
  <c r="CT110" i="3" s="1"/>
  <c r="CN110" i="3"/>
  <c r="CN45" i="3"/>
  <c r="CM49" i="3"/>
  <c r="CS45" i="3"/>
  <c r="CT45" i="3" s="1"/>
  <c r="CN57" i="3"/>
  <c r="CS57" i="3"/>
  <c r="CT57" i="3" s="1"/>
  <c r="CS89" i="3"/>
  <c r="CT89" i="3" s="1"/>
  <c r="CN89" i="3"/>
  <c r="CS19" i="3"/>
  <c r="CT19" i="3" s="1"/>
  <c r="CN19" i="3"/>
  <c r="CN71" i="3"/>
  <c r="CS71" i="3"/>
  <c r="CT71" i="3" s="1"/>
  <c r="CS69" i="3"/>
  <c r="CT69" i="3" s="1"/>
  <c r="CN69" i="3"/>
  <c r="CN98" i="3"/>
  <c r="CS98" i="3"/>
  <c r="CT98" i="3" s="1"/>
  <c r="CS94" i="3"/>
  <c r="CT94" i="3" s="1"/>
  <c r="CN94" i="3"/>
  <c r="AI55" i="3"/>
  <c r="AI84" i="3"/>
  <c r="BQ77" i="3"/>
  <c r="BY55" i="3"/>
  <c r="BZ50" i="3"/>
  <c r="BY38" i="3"/>
  <c r="BZ38" i="3" s="1"/>
  <c r="BZ33" i="3"/>
  <c r="AI72" i="3"/>
  <c r="BQ43" i="3"/>
  <c r="BQ55" i="3"/>
  <c r="X48" i="3"/>
  <c r="X49" i="3" s="1"/>
  <c r="O47" i="3"/>
  <c r="U47" i="3"/>
  <c r="BI47" i="3"/>
  <c r="BI59" i="3"/>
  <c r="X62" i="3"/>
  <c r="W62" i="3" s="1"/>
  <c r="BI61" i="3"/>
  <c r="O59" i="3"/>
  <c r="AB59" i="3" s="1"/>
  <c r="X74" i="3"/>
  <c r="W74" i="3" s="1"/>
  <c r="O73" i="3"/>
  <c r="T77" i="3"/>
  <c r="BI73" i="3"/>
  <c r="BI36" i="3"/>
  <c r="X37" i="3"/>
  <c r="X38" i="3" s="1"/>
  <c r="O36" i="3"/>
  <c r="U36" i="3"/>
  <c r="O40" i="3"/>
  <c r="X41" i="3"/>
  <c r="U40" i="3"/>
  <c r="BI40" i="3"/>
  <c r="BI18" i="3"/>
  <c r="O18" i="3"/>
  <c r="U18" i="3"/>
  <c r="X19" i="3"/>
  <c r="X83" i="3"/>
  <c r="BI84" i="3"/>
  <c r="BI82" i="3"/>
  <c r="O82" i="3"/>
  <c r="AB82" i="3" s="1"/>
  <c r="X80" i="3"/>
  <c r="W80" i="3" s="1"/>
  <c r="O76" i="3"/>
  <c r="AB76" i="3" s="1"/>
  <c r="BI78" i="3"/>
  <c r="BI76" i="3"/>
  <c r="O83" i="3"/>
  <c r="AB83" i="3" s="1"/>
  <c r="X85" i="3"/>
  <c r="W85" i="3" s="1"/>
  <c r="BI83" i="3"/>
  <c r="O87" i="3"/>
  <c r="AB87" i="3" s="1"/>
  <c r="X88" i="3"/>
  <c r="W88" i="3" s="1"/>
  <c r="BI87" i="3"/>
  <c r="U23" i="3"/>
  <c r="X24" i="3"/>
  <c r="BI23" i="3"/>
  <c r="O23" i="3"/>
  <c r="BS106" i="3"/>
  <c r="BY112" i="3"/>
  <c r="BZ112" i="3" s="1"/>
  <c r="BZ111" i="3"/>
  <c r="BY43" i="3"/>
  <c r="BZ43" i="3" s="1"/>
  <c r="BZ39" i="3"/>
  <c r="BY21" i="3"/>
  <c r="BZ21" i="3" s="1"/>
  <c r="BZ16" i="3"/>
  <c r="BY72" i="3"/>
  <c r="BZ72" i="3" s="1"/>
  <c r="BZ67" i="3"/>
  <c r="BY77" i="3"/>
  <c r="BZ77" i="3" s="1"/>
  <c r="BZ73" i="3"/>
  <c r="BY60" i="3"/>
  <c r="BZ60" i="3" s="1"/>
  <c r="BZ56" i="3"/>
  <c r="BZ11" i="3"/>
  <c r="BY15" i="3"/>
  <c r="AI49" i="3"/>
  <c r="AI95" i="3"/>
  <c r="AI66" i="3"/>
  <c r="AI77" i="3"/>
  <c r="BQ15" i="3"/>
  <c r="BQ95" i="3"/>
  <c r="BQ21" i="3"/>
  <c r="BQ26" i="3"/>
  <c r="BS12" i="3"/>
  <c r="BQ66" i="3"/>
  <c r="BQ72" i="3"/>
  <c r="BI111" i="3"/>
  <c r="O111" i="3"/>
  <c r="AB111" i="3" s="1"/>
  <c r="BI113" i="3"/>
  <c r="O93" i="3"/>
  <c r="AB93" i="3" s="1"/>
  <c r="X94" i="3"/>
  <c r="BI93" i="3"/>
  <c r="X97" i="3"/>
  <c r="W97" i="3" s="1"/>
  <c r="O54" i="3"/>
  <c r="AB54" i="3" s="1"/>
  <c r="X56" i="3"/>
  <c r="W56" i="3" s="1"/>
  <c r="BI54" i="3"/>
  <c r="X40" i="3"/>
  <c r="T43" i="3"/>
  <c r="BI39" i="3"/>
  <c r="O39" i="3"/>
  <c r="U39" i="3"/>
  <c r="X98" i="3"/>
  <c r="W98" i="3" s="1"/>
  <c r="T101" i="3"/>
  <c r="BI97" i="3"/>
  <c r="O97" i="3"/>
  <c r="X68" i="3"/>
  <c r="W68" i="3" s="1"/>
  <c r="T72" i="3"/>
  <c r="O67" i="3"/>
  <c r="BI67" i="3"/>
  <c r="BI70" i="3"/>
  <c r="O70" i="3"/>
  <c r="AB70" i="3" s="1"/>
  <c r="X71" i="3"/>
  <c r="BI50" i="3"/>
  <c r="U50" i="3"/>
  <c r="T55" i="3"/>
  <c r="O50" i="3"/>
  <c r="X51" i="3"/>
  <c r="W51" i="3" s="1"/>
  <c r="Q51" i="3" s="1"/>
  <c r="BI108" i="3"/>
  <c r="O108" i="3"/>
  <c r="X109" i="3"/>
  <c r="W109" i="3" s="1"/>
  <c r="T112" i="3"/>
  <c r="BI57" i="3"/>
  <c r="X58" i="3"/>
  <c r="W58" i="3" s="1"/>
  <c r="O57" i="3"/>
  <c r="AB57" i="3" s="1"/>
  <c r="BI44" i="3"/>
  <c r="BI42" i="3"/>
  <c r="O42" i="3"/>
  <c r="X45" i="3"/>
  <c r="U42" i="3"/>
  <c r="BI27" i="3"/>
  <c r="U25" i="3"/>
  <c r="O25" i="3"/>
  <c r="BI25" i="3"/>
  <c r="X28" i="3"/>
  <c r="BI16" i="3"/>
  <c r="O16" i="3"/>
  <c r="X17" i="3"/>
  <c r="U16" i="3"/>
  <c r="T21" i="3"/>
  <c r="X89" i="3"/>
  <c r="BI88" i="3"/>
  <c r="BI90" i="3"/>
  <c r="O88" i="3"/>
  <c r="AB88" i="3" s="1"/>
  <c r="BI41" i="3"/>
  <c r="O41" i="3"/>
  <c r="U41" i="3"/>
  <c r="X42" i="3"/>
  <c r="X43" i="3" s="1"/>
  <c r="X44" i="3" s="1"/>
  <c r="O65" i="3"/>
  <c r="AB65" i="3" s="1"/>
  <c r="BI65" i="3"/>
  <c r="X67" i="3"/>
  <c r="W67" i="3" s="1"/>
  <c r="O94" i="3"/>
  <c r="AB94" i="3" s="1"/>
  <c r="BI96" i="3"/>
  <c r="BI94" i="3"/>
  <c r="BI48" i="3"/>
  <c r="U48" i="3"/>
  <c r="O48" i="3"/>
  <c r="BI81" i="3"/>
  <c r="X82" i="3"/>
  <c r="W82" i="3" s="1"/>
  <c r="O81" i="3"/>
  <c r="AB81" i="3" s="1"/>
  <c r="BI12" i="3"/>
  <c r="U12" i="3"/>
  <c r="O12" i="3"/>
  <c r="X13" i="3"/>
  <c r="BS105" i="3"/>
  <c r="BO38" i="3"/>
  <c r="BS33" i="3"/>
  <c r="BS13" i="3"/>
  <c r="BS42" i="3"/>
  <c r="BS76" i="3"/>
  <c r="BS51" i="3"/>
  <c r="BS20" i="3"/>
  <c r="BS62" i="3"/>
  <c r="BO66" i="3"/>
  <c r="BS92" i="3"/>
  <c r="BS50" i="3"/>
  <c r="BO55" i="3"/>
  <c r="BS37" i="3"/>
  <c r="BS24" i="3"/>
  <c r="BS31" i="3"/>
  <c r="BS99" i="3"/>
  <c r="BS88" i="3"/>
  <c r="BS70" i="3"/>
  <c r="BS93" i="3"/>
  <c r="BO95" i="3"/>
  <c r="BS91" i="3"/>
  <c r="BS34" i="3"/>
  <c r="AK110" i="3"/>
  <c r="AZ110" i="3" s="1"/>
  <c r="CP110" i="3"/>
  <c r="CQ110" i="3" s="1"/>
  <c r="CG110" i="3"/>
  <c r="AK57" i="3"/>
  <c r="CP57" i="3"/>
  <c r="CQ57" i="3" s="1"/>
  <c r="CG57" i="3"/>
  <c r="CG37" i="3"/>
  <c r="CP37" i="3"/>
  <c r="CQ37" i="3" s="1"/>
  <c r="AK37" i="3"/>
  <c r="CP25" i="3"/>
  <c r="CQ25" i="3" s="1"/>
  <c r="AK25" i="3"/>
  <c r="CG25" i="3"/>
  <c r="AK36" i="3"/>
  <c r="CP36" i="3"/>
  <c r="CQ36" i="3" s="1"/>
  <c r="CG36" i="3"/>
  <c r="CP59" i="3"/>
  <c r="CQ59" i="3" s="1"/>
  <c r="AK59" i="3"/>
  <c r="CG59" i="3"/>
  <c r="AK34" i="3"/>
  <c r="CG34" i="3"/>
  <c r="CP34" i="3"/>
  <c r="CQ34" i="3" s="1"/>
  <c r="AK39" i="3"/>
  <c r="CP39" i="3"/>
  <c r="CQ39" i="3" s="1"/>
  <c r="CF43" i="3"/>
  <c r="CG39" i="3"/>
  <c r="CP30" i="3"/>
  <c r="CQ30" i="3" s="1"/>
  <c r="AK30" i="3"/>
  <c r="CG30" i="3"/>
  <c r="CG45" i="3"/>
  <c r="CF49" i="3"/>
  <c r="CP45" i="3"/>
  <c r="CQ45" i="3" s="1"/>
  <c r="AK45" i="3"/>
  <c r="CP97" i="3"/>
  <c r="CQ97" i="3" s="1"/>
  <c r="AK97" i="3"/>
  <c r="CF101" i="3"/>
  <c r="CG97" i="3"/>
  <c r="CP63" i="3"/>
  <c r="CQ63" i="3" s="1"/>
  <c r="AK63" i="3"/>
  <c r="CG63" i="3"/>
  <c r="CG83" i="3"/>
  <c r="AK83" i="3"/>
  <c r="AZ83" i="3" s="1"/>
  <c r="CP83" i="3"/>
  <c r="CQ83" i="3" s="1"/>
  <c r="CP53" i="3"/>
  <c r="CQ53" i="3" s="1"/>
  <c r="CG53" i="3"/>
  <c r="AK53" i="3"/>
  <c r="AK109" i="3"/>
  <c r="AZ109" i="3" s="1"/>
  <c r="CP109" i="3"/>
  <c r="CQ109" i="3" s="1"/>
  <c r="CG109" i="3"/>
  <c r="AK87" i="3"/>
  <c r="AZ87" i="3" s="1"/>
  <c r="CP87" i="3"/>
  <c r="CQ87" i="3" s="1"/>
  <c r="CG87" i="3"/>
  <c r="CP16" i="3"/>
  <c r="CQ16" i="3" s="1"/>
  <c r="AK16" i="3"/>
  <c r="CG16" i="3"/>
  <c r="CF21" i="3"/>
  <c r="CP108" i="3"/>
  <c r="CQ108" i="3" s="1"/>
  <c r="CG108" i="3"/>
  <c r="AK108" i="3"/>
  <c r="CF112" i="3"/>
  <c r="CG52" i="3"/>
  <c r="AK52" i="3"/>
  <c r="CP52" i="3"/>
  <c r="CQ52" i="3" s="1"/>
  <c r="BM112" i="3"/>
  <c r="BM26" i="3"/>
  <c r="BM32" i="3"/>
  <c r="BM101" i="3"/>
  <c r="BM60" i="3"/>
  <c r="BM49" i="3"/>
  <c r="AX52" i="3"/>
  <c r="AE52" i="3"/>
  <c r="M52" i="3"/>
  <c r="Z52" i="3" s="1"/>
  <c r="AE69" i="3"/>
  <c r="M69" i="3"/>
  <c r="Z69" i="3" s="1"/>
  <c r="AX69" i="3"/>
  <c r="AX70" i="3"/>
  <c r="AE70" i="3"/>
  <c r="M70" i="3"/>
  <c r="Z70" i="3" s="1"/>
  <c r="AE93" i="3"/>
  <c r="M93" i="3"/>
  <c r="Z93" i="3" s="1"/>
  <c r="AX93" i="3"/>
  <c r="AE53" i="3"/>
  <c r="AX53" i="3"/>
  <c r="M53" i="3"/>
  <c r="AE91" i="3"/>
  <c r="M91" i="3"/>
  <c r="AX91" i="3"/>
  <c r="AX74" i="3"/>
  <c r="AE74" i="3"/>
  <c r="M74" i="3"/>
  <c r="Z74" i="3" s="1"/>
  <c r="M81" i="3"/>
  <c r="AE81" i="3"/>
  <c r="AX81" i="3"/>
  <c r="AE83" i="3"/>
  <c r="M83" i="3"/>
  <c r="AX83" i="3"/>
  <c r="BD111" i="3"/>
  <c r="CX112" i="3"/>
  <c r="CX113" i="3" s="1"/>
  <c r="CY53" i="3"/>
  <c r="BD53" i="3"/>
  <c r="BK53" i="3" s="1"/>
  <c r="BD34" i="3"/>
  <c r="CY34" i="3"/>
  <c r="BD11" i="3"/>
  <c r="CY11" i="3"/>
  <c r="BD30" i="3"/>
  <c r="CY30" i="3"/>
  <c r="CY23" i="3"/>
  <c r="BD23" i="3"/>
  <c r="CY67" i="3"/>
  <c r="BD67" i="3"/>
  <c r="BK67" i="3" s="1"/>
  <c r="BD41" i="3"/>
  <c r="CY41" i="3"/>
  <c r="CY47" i="3"/>
  <c r="BD47" i="3"/>
  <c r="CY97" i="3"/>
  <c r="BD97" i="3"/>
  <c r="BK97" i="3" s="1"/>
  <c r="BD75" i="3"/>
  <c r="BK75" i="3" s="1"/>
  <c r="BD68" i="3"/>
  <c r="BK68" i="3" s="1"/>
  <c r="CY68" i="3"/>
  <c r="CX77" i="3"/>
  <c r="CX78" i="3" s="1"/>
  <c r="CX79" i="3" s="1"/>
  <c r="BD76" i="3"/>
  <c r="CY35" i="3"/>
  <c r="BD35" i="3"/>
  <c r="CX15" i="3"/>
  <c r="CY15" i="3" s="1"/>
  <c r="BD14" i="3"/>
  <c r="CY14" i="3"/>
  <c r="BD88" i="3"/>
  <c r="BK88" i="3" s="1"/>
  <c r="CY88" i="3"/>
  <c r="CY85" i="3"/>
  <c r="BD85" i="3"/>
  <c r="BK85" i="3" s="1"/>
  <c r="BD102" i="3"/>
  <c r="BK102" i="3" s="1"/>
  <c r="CY102" i="3"/>
  <c r="BD29" i="3"/>
  <c r="CY29" i="3"/>
  <c r="CS105" i="3"/>
  <c r="CT105" i="3" s="1"/>
  <c r="CN105" i="3"/>
  <c r="CS54" i="3"/>
  <c r="CT54" i="3" s="1"/>
  <c r="CN54" i="3"/>
  <c r="CN41" i="3"/>
  <c r="CS41" i="3"/>
  <c r="CT41" i="3" s="1"/>
  <c r="CS25" i="3"/>
  <c r="CT25" i="3" s="1"/>
  <c r="CN25" i="3"/>
  <c r="CS14" i="3"/>
  <c r="CT14" i="3" s="1"/>
  <c r="CN14" i="3"/>
  <c r="CS28" i="3"/>
  <c r="CT28" i="3" s="1"/>
  <c r="CM32" i="3"/>
  <c r="CN28" i="3"/>
  <c r="CS47" i="3"/>
  <c r="CT47" i="3" s="1"/>
  <c r="CN47" i="3"/>
  <c r="CN40" i="3"/>
  <c r="CS40" i="3"/>
  <c r="CT40" i="3" s="1"/>
  <c r="CS51" i="3"/>
  <c r="CT51" i="3" s="1"/>
  <c r="CN51" i="3"/>
  <c r="CS29" i="3"/>
  <c r="CT29" i="3" s="1"/>
  <c r="CN29" i="3"/>
  <c r="CN82" i="3"/>
  <c r="CS82" i="3"/>
  <c r="CT82" i="3" s="1"/>
  <c r="CS59" i="3"/>
  <c r="CT59" i="3" s="1"/>
  <c r="CN59" i="3"/>
  <c r="CS81" i="3"/>
  <c r="CT81" i="3" s="1"/>
  <c r="CN81" i="3"/>
  <c r="CS56" i="3"/>
  <c r="CT56" i="3" s="1"/>
  <c r="CM60" i="3"/>
  <c r="CN56" i="3"/>
  <c r="CS80" i="3"/>
  <c r="CT80" i="3" s="1"/>
  <c r="CM84" i="3"/>
  <c r="CN80" i="3"/>
  <c r="CS102" i="3"/>
  <c r="CT102" i="3" s="1"/>
  <c r="CN102" i="3"/>
  <c r="CM107" i="3"/>
  <c r="CN35" i="3"/>
  <c r="CS35" i="3"/>
  <c r="CT35" i="3" s="1"/>
  <c r="CS86" i="3"/>
  <c r="CT86" i="3" s="1"/>
  <c r="CN86" i="3"/>
  <c r="CM101" i="3"/>
  <c r="CS97" i="3"/>
  <c r="CT97" i="3" s="1"/>
  <c r="CN97" i="3"/>
  <c r="BY32" i="3"/>
  <c r="BZ28" i="3"/>
  <c r="BQ38" i="3"/>
  <c r="X102" i="3"/>
  <c r="BI100" i="3"/>
  <c r="O100" i="3"/>
  <c r="AB100" i="3" s="1"/>
  <c r="X92" i="3"/>
  <c r="W92" i="3" s="1"/>
  <c r="BI91" i="3"/>
  <c r="O91" i="3"/>
  <c r="T95" i="3"/>
  <c r="O35" i="3"/>
  <c r="X36" i="3"/>
  <c r="U35" i="3"/>
  <c r="BI35" i="3"/>
  <c r="BI99" i="3"/>
  <c r="O99" i="3"/>
  <c r="AB99" i="3" s="1"/>
  <c r="X100" i="3"/>
  <c r="BI101" i="3"/>
  <c r="T90" i="3"/>
  <c r="AP90" i="3" s="1"/>
  <c r="BI85" i="3"/>
  <c r="O85" i="3"/>
  <c r="X86" i="3"/>
  <c r="W86" i="3" s="1"/>
  <c r="BS35" i="3"/>
  <c r="CP82" i="3"/>
  <c r="CQ82" i="3" s="1"/>
  <c r="AK82" i="3"/>
  <c r="AZ82" i="3" s="1"/>
  <c r="CG82" i="3"/>
  <c r="CP54" i="3"/>
  <c r="CQ54" i="3" s="1"/>
  <c r="AK54" i="3"/>
  <c r="CG54" i="3"/>
  <c r="CP93" i="3"/>
  <c r="CQ93" i="3" s="1"/>
  <c r="AK93" i="3"/>
  <c r="AZ93" i="3" s="1"/>
  <c r="CG93" i="3"/>
  <c r="CG40" i="3"/>
  <c r="CP40" i="3"/>
  <c r="CQ40" i="3" s="1"/>
  <c r="AK40" i="3"/>
  <c r="CG48" i="3"/>
  <c r="AK48" i="3"/>
  <c r="CP48" i="3"/>
  <c r="CQ48" i="3" s="1"/>
  <c r="AE68" i="3"/>
  <c r="AX68" i="3"/>
  <c r="M68" i="3"/>
  <c r="AX62" i="3"/>
  <c r="AE62" i="3"/>
  <c r="M62" i="3"/>
  <c r="AE85" i="3"/>
  <c r="AX85" i="3"/>
  <c r="M85" i="3"/>
  <c r="CX55" i="3"/>
  <c r="CY55" i="3" s="1"/>
  <c r="CY54" i="3"/>
  <c r="BD54" i="3"/>
  <c r="BD59" i="3"/>
  <c r="CX60" i="3"/>
  <c r="CX61" i="3" s="1"/>
  <c r="CX72" i="3"/>
  <c r="CY72" i="3" s="1"/>
  <c r="CY71" i="3"/>
  <c r="BD71" i="3"/>
  <c r="BD22" i="3"/>
  <c r="CY22" i="3"/>
  <c r="CY40" i="3"/>
  <c r="BD40" i="3"/>
  <c r="CS18" i="3"/>
  <c r="CT18" i="3" s="1"/>
  <c r="CN18" i="3"/>
  <c r="CS64" i="3"/>
  <c r="CT64" i="3" s="1"/>
  <c r="CN64" i="3"/>
  <c r="CS73" i="3"/>
  <c r="CT73" i="3" s="1"/>
  <c r="CM77" i="3"/>
  <c r="CN73" i="3"/>
  <c r="CS74" i="3"/>
  <c r="CT74" i="3" s="1"/>
  <c r="CN74" i="3"/>
  <c r="CS58" i="3"/>
  <c r="CT58" i="3" s="1"/>
  <c r="CN58" i="3"/>
  <c r="BZ22" i="3"/>
  <c r="BY26" i="3"/>
  <c r="BZ26" i="3" s="1"/>
  <c r="BQ49" i="3"/>
  <c r="BQ61" i="3" s="1"/>
  <c r="BQ90" i="3"/>
  <c r="BQ32" i="3"/>
  <c r="BQ44" i="3" s="1"/>
  <c r="X106" i="3"/>
  <c r="O105" i="3"/>
  <c r="AB105" i="3" s="1"/>
  <c r="BI107" i="3"/>
  <c r="BI105" i="3"/>
  <c r="BI103" i="3"/>
  <c r="O103" i="3"/>
  <c r="AB103" i="3" s="1"/>
  <c r="X104" i="3"/>
  <c r="W104" i="3" s="1"/>
  <c r="O109" i="3"/>
  <c r="AB109" i="3" s="1"/>
  <c r="X110" i="3"/>
  <c r="W110" i="3" s="1"/>
  <c r="BI109" i="3"/>
  <c r="U17" i="3"/>
  <c r="BI17" i="3"/>
  <c r="O17" i="3"/>
  <c r="X18" i="3"/>
  <c r="U37" i="3"/>
  <c r="BI37" i="3"/>
  <c r="O37" i="3"/>
  <c r="BI63" i="3"/>
  <c r="X64" i="3"/>
  <c r="W64" i="3" s="1"/>
  <c r="O63" i="3"/>
  <c r="AB63" i="3" s="1"/>
  <c r="U22" i="3"/>
  <c r="T26" i="3"/>
  <c r="BI22" i="3"/>
  <c r="X23" i="3"/>
  <c r="O22" i="3"/>
  <c r="BI104" i="3"/>
  <c r="X105" i="3"/>
  <c r="W105" i="3" s="1"/>
  <c r="O104" i="3"/>
  <c r="AB104" i="3" s="1"/>
  <c r="T32" i="3"/>
  <c r="O28" i="3"/>
  <c r="X29" i="3"/>
  <c r="BI28" i="3"/>
  <c r="U28" i="3"/>
  <c r="BI24" i="3"/>
  <c r="O24" i="3"/>
  <c r="X25" i="3"/>
  <c r="X26" i="3" s="1"/>
  <c r="X27" i="3" s="1"/>
  <c r="U24" i="3"/>
  <c r="BI80" i="3"/>
  <c r="X81" i="3"/>
  <c r="W81" i="3" s="1"/>
  <c r="O80" i="3"/>
  <c r="T84" i="3"/>
  <c r="BI58" i="3"/>
  <c r="O58" i="3"/>
  <c r="AB58" i="3" s="1"/>
  <c r="X59" i="3"/>
  <c r="O68" i="3"/>
  <c r="AB68" i="3" s="1"/>
  <c r="X69" i="3"/>
  <c r="W69" i="3" s="1"/>
  <c r="BI68" i="3"/>
  <c r="O56" i="3"/>
  <c r="T60" i="3"/>
  <c r="BI56" i="3"/>
  <c r="X57" i="3"/>
  <c r="W57" i="3" s="1"/>
  <c r="BI74" i="3"/>
  <c r="O74" i="3"/>
  <c r="AB74" i="3" s="1"/>
  <c r="X75" i="3"/>
  <c r="W75" i="3" s="1"/>
  <c r="O71" i="3"/>
  <c r="AB71" i="3" s="1"/>
  <c r="X73" i="3"/>
  <c r="W73" i="3" s="1"/>
  <c r="BI71" i="3"/>
  <c r="BI20" i="3"/>
  <c r="X22" i="3"/>
  <c r="U20" i="3"/>
  <c r="O20" i="3"/>
  <c r="O62" i="3"/>
  <c r="X63" i="3"/>
  <c r="W63" i="3" s="1"/>
  <c r="BI62" i="3"/>
  <c r="T66" i="3"/>
  <c r="X76" i="3"/>
  <c r="O75" i="3"/>
  <c r="AB75" i="3" s="1"/>
  <c r="BI75" i="3"/>
  <c r="BS111" i="3"/>
  <c r="BS54" i="3"/>
  <c r="BS64" i="3"/>
  <c r="BS25" i="3"/>
  <c r="BO21" i="3"/>
  <c r="BS21" i="3" s="1"/>
  <c r="BS16" i="3"/>
  <c r="BS46" i="3"/>
  <c r="BO60" i="3"/>
  <c r="BS60" i="3" s="1"/>
  <c r="BS56" i="3"/>
  <c r="BO90" i="3"/>
  <c r="BS85" i="3"/>
  <c r="BS104" i="3"/>
  <c r="BS39" i="3"/>
  <c r="BO43" i="3"/>
  <c r="BS45" i="3"/>
  <c r="BO49" i="3"/>
  <c r="BO84" i="3"/>
  <c r="BS80" i="3"/>
  <c r="BS67" i="3"/>
  <c r="BO72" i="3"/>
  <c r="BS82" i="3"/>
  <c r="BS23" i="3"/>
  <c r="BS108" i="3"/>
  <c r="BO112" i="3"/>
  <c r="BS112" i="3" s="1"/>
  <c r="BO26" i="3"/>
  <c r="BS22" i="3"/>
  <c r="CP111" i="3"/>
  <c r="CQ111" i="3" s="1"/>
  <c r="AK111" i="3"/>
  <c r="AZ111" i="3" s="1"/>
  <c r="CG111" i="3"/>
  <c r="AK47" i="3"/>
  <c r="CG47" i="3"/>
  <c r="CP47" i="3"/>
  <c r="CQ47" i="3" s="1"/>
  <c r="CG42" i="3"/>
  <c r="CP42" i="3"/>
  <c r="CQ42" i="3" s="1"/>
  <c r="AK42" i="3"/>
  <c r="CP103" i="3"/>
  <c r="CQ103" i="3" s="1"/>
  <c r="AK103" i="3"/>
  <c r="AZ103" i="3" s="1"/>
  <c r="CG103" i="3"/>
  <c r="CG29" i="3"/>
  <c r="AK29" i="3"/>
  <c r="CP29" i="3"/>
  <c r="CQ29" i="3" s="1"/>
  <c r="CG17" i="3"/>
  <c r="CP17" i="3"/>
  <c r="CQ17" i="3" s="1"/>
  <c r="AK17" i="3"/>
  <c r="AK35" i="3"/>
  <c r="CP35" i="3"/>
  <c r="CQ35" i="3" s="1"/>
  <c r="CG35" i="3"/>
  <c r="CP75" i="3"/>
  <c r="CQ75" i="3" s="1"/>
  <c r="CG75" i="3"/>
  <c r="AK75" i="3"/>
  <c r="CG11" i="3"/>
  <c r="AK11" i="3"/>
  <c r="CP11" i="3"/>
  <c r="CQ11" i="3" s="1"/>
  <c r="CF15" i="3"/>
  <c r="AK86" i="3"/>
  <c r="AZ86" i="3" s="1"/>
  <c r="CP86" i="3"/>
  <c r="CQ86" i="3" s="1"/>
  <c r="CG86" i="3"/>
  <c r="CP76" i="3"/>
  <c r="CQ76" i="3" s="1"/>
  <c r="AK76" i="3"/>
  <c r="CG76" i="3"/>
  <c r="CP19" i="3"/>
  <c r="CQ19" i="3" s="1"/>
  <c r="CG19" i="3"/>
  <c r="AK19" i="3"/>
  <c r="AK102" i="3"/>
  <c r="CP102" i="3"/>
  <c r="CQ102" i="3" s="1"/>
  <c r="CG102" i="3"/>
  <c r="AK51" i="3"/>
  <c r="CP51" i="3"/>
  <c r="CQ51" i="3" s="1"/>
  <c r="CG51" i="3"/>
  <c r="AK64" i="3"/>
  <c r="CP64" i="3"/>
  <c r="CQ64" i="3" s="1"/>
  <c r="CG64" i="3"/>
  <c r="AK81" i="3"/>
  <c r="AZ81" i="3" s="1"/>
  <c r="CP81" i="3"/>
  <c r="CQ81" i="3" s="1"/>
  <c r="CG81" i="3"/>
  <c r="CG98" i="3"/>
  <c r="CP98" i="3"/>
  <c r="CQ98" i="3" s="1"/>
  <c r="AK98" i="3"/>
  <c r="AZ98" i="3" s="1"/>
  <c r="CG71" i="3"/>
  <c r="CP71" i="3"/>
  <c r="CQ71" i="3" s="1"/>
  <c r="AK71" i="3"/>
  <c r="CP20" i="3"/>
  <c r="CQ20" i="3" s="1"/>
  <c r="CG20" i="3"/>
  <c r="AK20" i="3"/>
  <c r="CP62" i="3"/>
  <c r="CQ62" i="3" s="1"/>
  <c r="CF66" i="3"/>
  <c r="AK62" i="3"/>
  <c r="CG62" i="3"/>
  <c r="BM66" i="3"/>
  <c r="BM95" i="3"/>
  <c r="BM38" i="3"/>
  <c r="BM90" i="3"/>
  <c r="BM84" i="3"/>
  <c r="BM72" i="3"/>
  <c r="AX50" i="3"/>
  <c r="M50" i="3"/>
  <c r="AE50" i="3"/>
  <c r="M46" i="3"/>
  <c r="AX46" i="3"/>
  <c r="AE46" i="3"/>
  <c r="M80" i="3"/>
  <c r="AE80" i="3"/>
  <c r="AX80" i="3"/>
  <c r="M59" i="3"/>
  <c r="AX59" i="3"/>
  <c r="AE59" i="3"/>
  <c r="M54" i="3"/>
  <c r="AE54" i="3"/>
  <c r="AX54" i="3"/>
  <c r="M76" i="3"/>
  <c r="Z76" i="3" s="1"/>
  <c r="AE76" i="3"/>
  <c r="AX76" i="3"/>
  <c r="AE75" i="3"/>
  <c r="AX75" i="3"/>
  <c r="M75" i="3"/>
  <c r="M63" i="3"/>
  <c r="AE63" i="3"/>
  <c r="AX63" i="3"/>
  <c r="AX89" i="3"/>
  <c r="M89" i="3"/>
  <c r="AE89" i="3"/>
  <c r="M92" i="3"/>
  <c r="Z92" i="3" s="1"/>
  <c r="AE92" i="3"/>
  <c r="AX92" i="3"/>
  <c r="BD105" i="3"/>
  <c r="BK105" i="3" s="1"/>
  <c r="CY105" i="3"/>
  <c r="BD89" i="3"/>
  <c r="CX90" i="3"/>
  <c r="CY90" i="3" s="1"/>
  <c r="CY89" i="3"/>
  <c r="CY63" i="3"/>
  <c r="BD63" i="3"/>
  <c r="BK63" i="3" s="1"/>
  <c r="BD20" i="3"/>
  <c r="CY20" i="3"/>
  <c r="CX21" i="3"/>
  <c r="CY21" i="3" s="1"/>
  <c r="BD98" i="3"/>
  <c r="BK98" i="3" s="1"/>
  <c r="CY98" i="3"/>
  <c r="BD73" i="3"/>
  <c r="BK73" i="3" s="1"/>
  <c r="BD56" i="3"/>
  <c r="BK56" i="3" s="1"/>
  <c r="CX32" i="3"/>
  <c r="CY32" i="3" s="1"/>
  <c r="BD31" i="3"/>
  <c r="CY31" i="3"/>
  <c r="BD82" i="3"/>
  <c r="BK82" i="3" s="1"/>
  <c r="CY82" i="3"/>
  <c r="CY12" i="3"/>
  <c r="BD12" i="3"/>
  <c r="CX84" i="3"/>
  <c r="CY84" i="3" s="1"/>
  <c r="BD83" i="3"/>
  <c r="CY83" i="3"/>
  <c r="BD100" i="3"/>
  <c r="CY100" i="3"/>
  <c r="CX101" i="3"/>
  <c r="CY101" i="3" s="1"/>
  <c r="BD109" i="3"/>
  <c r="BK109" i="3" s="1"/>
  <c r="BD46" i="3"/>
  <c r="CY46" i="3"/>
  <c r="BD57" i="3"/>
  <c r="BK57" i="3" s="1"/>
  <c r="BD108" i="3"/>
  <c r="BK108" i="3" s="1"/>
  <c r="BD74" i="3"/>
  <c r="BK74" i="3" s="1"/>
  <c r="CY48" i="3"/>
  <c r="CX49" i="3"/>
  <c r="CY49" i="3" s="1"/>
  <c r="BD48" i="3"/>
  <c r="BD80" i="3"/>
  <c r="BK80" i="3" s="1"/>
  <c r="CY80" i="3"/>
  <c r="CM112" i="3"/>
  <c r="CS111" i="3"/>
  <c r="CT111" i="3" s="1"/>
  <c r="CN111" i="3"/>
  <c r="CN39" i="3"/>
  <c r="CS39" i="3"/>
  <c r="CT39" i="3" s="1"/>
  <c r="CM43" i="3"/>
  <c r="CS17" i="3"/>
  <c r="CT17" i="3" s="1"/>
  <c r="CN17" i="3"/>
  <c r="CS104" i="3"/>
  <c r="CT104" i="3" s="1"/>
  <c r="CN104" i="3"/>
  <c r="CS24" i="3"/>
  <c r="CT24" i="3" s="1"/>
  <c r="CN24" i="3"/>
  <c r="CN87" i="3"/>
  <c r="CS87" i="3"/>
  <c r="CT87" i="3" s="1"/>
  <c r="CS65" i="3"/>
  <c r="CT65" i="3" s="1"/>
  <c r="CN65" i="3"/>
  <c r="CS53" i="3"/>
  <c r="CT53" i="3" s="1"/>
  <c r="CN53" i="3"/>
  <c r="CS76" i="3"/>
  <c r="CT76" i="3" s="1"/>
  <c r="CN76" i="3"/>
  <c r="CS13" i="3"/>
  <c r="CT13" i="3" s="1"/>
  <c r="CN13" i="3"/>
  <c r="CS20" i="3"/>
  <c r="CT20" i="3" s="1"/>
  <c r="CN20" i="3"/>
  <c r="CN108" i="3"/>
  <c r="CS108" i="3"/>
  <c r="CT108" i="3" s="1"/>
  <c r="CS85" i="3"/>
  <c r="CT85" i="3" s="1"/>
  <c r="CM90" i="3"/>
  <c r="CN85" i="3"/>
  <c r="CN48" i="3"/>
  <c r="CS48" i="3"/>
  <c r="CT48" i="3" s="1"/>
  <c r="CN63" i="3"/>
  <c r="CS63" i="3"/>
  <c r="CT63" i="3" s="1"/>
  <c r="CS92" i="3"/>
  <c r="CT92" i="3" s="1"/>
  <c r="CN92" i="3"/>
  <c r="CN30" i="3"/>
  <c r="CS30" i="3"/>
  <c r="CT30" i="3" s="1"/>
  <c r="CS12" i="3"/>
  <c r="CT12" i="3" s="1"/>
  <c r="CN12" i="3"/>
  <c r="CS100" i="3"/>
  <c r="CT100" i="3" s="1"/>
  <c r="CN100" i="3"/>
  <c r="CN31" i="3"/>
  <c r="CS31" i="3"/>
  <c r="CT31" i="3" s="1"/>
  <c r="BY66" i="3"/>
  <c r="BZ62" i="3"/>
  <c r="BY84" i="3"/>
  <c r="BZ80" i="3"/>
  <c r="BY101" i="3"/>
  <c r="BZ97" i="3"/>
  <c r="O14" i="3"/>
  <c r="BI14" i="3"/>
  <c r="U14" i="3"/>
  <c r="X16" i="3"/>
  <c r="U33" i="3"/>
  <c r="O33" i="3"/>
  <c r="BI33" i="3"/>
  <c r="X34" i="3"/>
  <c r="T38" i="3"/>
  <c r="U29" i="3"/>
  <c r="X30" i="3"/>
  <c r="O29" i="3"/>
  <c r="BI29" i="3"/>
  <c r="O45" i="3"/>
  <c r="X46" i="3"/>
  <c r="U45" i="3"/>
  <c r="T49" i="3"/>
  <c r="BI45" i="3"/>
  <c r="O51" i="3"/>
  <c r="AB51" i="3" s="1"/>
  <c r="X52" i="3"/>
  <c r="W52" i="3" s="1"/>
  <c r="BI51" i="3"/>
  <c r="BS48" i="3"/>
  <c r="BS11" i="3"/>
  <c r="BO15" i="3"/>
  <c r="BO101" i="3"/>
  <c r="BS97" i="3"/>
  <c r="CG105" i="3"/>
  <c r="AK105" i="3"/>
  <c r="AZ105" i="3" s="1"/>
  <c r="CP105" i="3"/>
  <c r="CQ105" i="3" s="1"/>
  <c r="CG31" i="3"/>
  <c r="AK31" i="3"/>
  <c r="CP31" i="3"/>
  <c r="CQ31" i="3" s="1"/>
  <c r="CG50" i="3"/>
  <c r="CP50" i="3"/>
  <c r="CQ50" i="3" s="1"/>
  <c r="CF55" i="3"/>
  <c r="AK50" i="3"/>
  <c r="CG99" i="3"/>
  <c r="AK99" i="3"/>
  <c r="AZ99" i="3" s="1"/>
  <c r="CP99" i="3"/>
  <c r="CQ99" i="3" s="1"/>
  <c r="AK56" i="3"/>
  <c r="CP56" i="3"/>
  <c r="CQ56" i="3" s="1"/>
  <c r="CF60" i="3"/>
  <c r="CG56" i="3"/>
  <c r="M51" i="3"/>
  <c r="AX51" i="3"/>
  <c r="AE51" i="3"/>
  <c r="AX71" i="3"/>
  <c r="AE71" i="3"/>
  <c r="M71" i="3"/>
  <c r="Z71" i="3" s="1"/>
  <c r="M82" i="3"/>
  <c r="AE82" i="3"/>
  <c r="AX82" i="3"/>
  <c r="BD52" i="3"/>
  <c r="BK52" i="3" s="1"/>
  <c r="CY52" i="3"/>
  <c r="CY19" i="3"/>
  <c r="BD19" i="3"/>
  <c r="BD18" i="3"/>
  <c r="CY18" i="3"/>
  <c r="CX26" i="3"/>
  <c r="BD25" i="3"/>
  <c r="CY25" i="3"/>
  <c r="CS68" i="3"/>
  <c r="CT68" i="3" s="1"/>
  <c r="CN68" i="3"/>
  <c r="CM38" i="3"/>
  <c r="CS33" i="3"/>
  <c r="CT33" i="3" s="1"/>
  <c r="CN33" i="3"/>
  <c r="CS99" i="3"/>
  <c r="CT99" i="3" s="1"/>
  <c r="CN99" i="3"/>
  <c r="CS88" i="3"/>
  <c r="CT88" i="3" s="1"/>
  <c r="CN88" i="3"/>
  <c r="CS109" i="3"/>
  <c r="CT109" i="3" s="1"/>
  <c r="CN109" i="3"/>
  <c r="CP13" i="3"/>
  <c r="CQ13" i="3" s="1"/>
  <c r="BZ13" i="3"/>
  <c r="BQ107" i="3"/>
  <c r="BY90" i="3"/>
  <c r="BZ90" i="3" s="1"/>
  <c r="BZ85" i="3"/>
  <c r="BY95" i="3"/>
  <c r="BZ95" i="3" s="1"/>
  <c r="BZ91" i="3"/>
  <c r="BQ101" i="3"/>
  <c r="BQ84" i="3"/>
  <c r="BI110" i="3"/>
  <c r="O110" i="3"/>
  <c r="AB110" i="3" s="1"/>
  <c r="X111" i="3"/>
  <c r="X54" i="3"/>
  <c r="O53" i="3"/>
  <c r="AB53" i="3" s="1"/>
  <c r="BI53" i="3"/>
  <c r="U30" i="3"/>
  <c r="O30" i="3"/>
  <c r="X31" i="3"/>
  <c r="X32" i="3" s="1"/>
  <c r="BI30" i="3"/>
  <c r="BI69" i="3"/>
  <c r="O69" i="3"/>
  <c r="AB69" i="3" s="1"/>
  <c r="X70" i="3"/>
  <c r="W70" i="3" s="1"/>
  <c r="X103" i="3"/>
  <c r="W103" i="3" s="1"/>
  <c r="BI102" i="3"/>
  <c r="O102" i="3"/>
  <c r="T107" i="3"/>
  <c r="AP107" i="3" s="1"/>
  <c r="U19" i="3"/>
  <c r="X20" i="3"/>
  <c r="X21" i="3" s="1"/>
  <c r="BI19" i="3"/>
  <c r="O19" i="3"/>
  <c r="O52" i="3"/>
  <c r="AB52" i="3" s="1"/>
  <c r="X53" i="3"/>
  <c r="W53" i="3" s="1"/>
  <c r="BI52" i="3"/>
  <c r="O92" i="3"/>
  <c r="AB92" i="3" s="1"/>
  <c r="X93" i="3"/>
  <c r="W93" i="3" s="1"/>
  <c r="BI92" i="3"/>
  <c r="BS14" i="3"/>
  <c r="BS102" i="3"/>
  <c r="BO107" i="3"/>
  <c r="BS107" i="3" s="1"/>
  <c r="BS71" i="3"/>
  <c r="BS103" i="3"/>
  <c r="BS29" i="3"/>
  <c r="BS65" i="3"/>
  <c r="BS69" i="3"/>
  <c r="BS57" i="3"/>
  <c r="BS17" i="3"/>
  <c r="BS58" i="3"/>
  <c r="BS59" i="3"/>
  <c r="BO77" i="3"/>
  <c r="BS73" i="3"/>
  <c r="BS94" i="3"/>
  <c r="BS89" i="3"/>
  <c r="BS30" i="3"/>
  <c r="CF107" i="3"/>
  <c r="CP106" i="3"/>
  <c r="CQ106" i="3" s="1"/>
  <c r="CG106" i="3"/>
  <c r="AK106" i="3"/>
  <c r="AZ106" i="3" s="1"/>
  <c r="AK69" i="3"/>
  <c r="CP69" i="3"/>
  <c r="CQ69" i="3" s="1"/>
  <c r="CG69" i="3"/>
  <c r="AK80" i="3"/>
  <c r="CF84" i="3"/>
  <c r="CP80" i="3"/>
  <c r="CQ80" i="3" s="1"/>
  <c r="CG80" i="3"/>
  <c r="CP46" i="3"/>
  <c r="CQ46" i="3" s="1"/>
  <c r="CG46" i="3"/>
  <c r="AK46" i="3"/>
  <c r="AK104" i="3"/>
  <c r="AZ104" i="3" s="1"/>
  <c r="CP104" i="3"/>
  <c r="CQ104" i="3" s="1"/>
  <c r="CG104" i="3"/>
  <c r="CG41" i="3"/>
  <c r="CP41" i="3"/>
  <c r="CQ41" i="3" s="1"/>
  <c r="AK41" i="3"/>
  <c r="CG24" i="3"/>
  <c r="CP24" i="3"/>
  <c r="CQ24" i="3" s="1"/>
  <c r="AK24" i="3"/>
  <c r="CP91" i="3"/>
  <c r="CQ91" i="3" s="1"/>
  <c r="CF95" i="3"/>
  <c r="AK91" i="3"/>
  <c r="CG91" i="3"/>
  <c r="AK22" i="3"/>
  <c r="CG22" i="3"/>
  <c r="CP22" i="3"/>
  <c r="CQ22" i="3" s="1"/>
  <c r="CF26" i="3"/>
  <c r="CF38" i="3"/>
  <c r="AK33" i="3"/>
  <c r="CP33" i="3"/>
  <c r="CQ33" i="3" s="1"/>
  <c r="CG33" i="3"/>
  <c r="CP88" i="3"/>
  <c r="CQ88" i="3" s="1"/>
  <c r="AK88" i="3"/>
  <c r="AZ88" i="3" s="1"/>
  <c r="CG88" i="3"/>
  <c r="AK70" i="3"/>
  <c r="CP70" i="3"/>
  <c r="CQ70" i="3" s="1"/>
  <c r="CG70" i="3"/>
  <c r="AK89" i="3"/>
  <c r="AZ89" i="3" s="1"/>
  <c r="CP89" i="3"/>
  <c r="CQ89" i="3" s="1"/>
  <c r="CG89" i="3"/>
  <c r="CP65" i="3"/>
  <c r="CQ65" i="3" s="1"/>
  <c r="AK65" i="3"/>
  <c r="CG65" i="3"/>
  <c r="CP68" i="3"/>
  <c r="CQ68" i="3" s="1"/>
  <c r="AK68" i="3"/>
  <c r="CG68" i="3"/>
  <c r="CF90" i="3"/>
  <c r="AK85" i="3"/>
  <c r="CP85" i="3"/>
  <c r="CQ85" i="3" s="1"/>
  <c r="CG85" i="3"/>
  <c r="CG12" i="3"/>
  <c r="CP12" i="3"/>
  <c r="CQ12" i="3" s="1"/>
  <c r="AK12" i="3"/>
  <c r="CP92" i="3"/>
  <c r="CQ92" i="3" s="1"/>
  <c r="AK92" i="3"/>
  <c r="AZ92" i="3" s="1"/>
  <c r="CG92" i="3"/>
  <c r="CP23" i="3"/>
  <c r="CQ23" i="3" s="1"/>
  <c r="CG23" i="3"/>
  <c r="AK23" i="3"/>
  <c r="AK13" i="3"/>
  <c r="CG13" i="3"/>
  <c r="BM15" i="3"/>
  <c r="BM43" i="3"/>
  <c r="BM77" i="3"/>
  <c r="BM21" i="3"/>
  <c r="M56" i="3"/>
  <c r="AX56" i="3"/>
  <c r="AE56" i="3"/>
  <c r="M58" i="3"/>
  <c r="AE58" i="3"/>
  <c r="AX58" i="3"/>
  <c r="M86" i="3"/>
  <c r="AX86" i="3"/>
  <c r="AE86" i="3"/>
  <c r="AE57" i="3"/>
  <c r="M57" i="3"/>
  <c r="Z57" i="3" s="1"/>
  <c r="AX57" i="3"/>
  <c r="AX65" i="3"/>
  <c r="M65" i="3"/>
  <c r="AE65" i="3"/>
  <c r="AX73" i="3"/>
  <c r="M73" i="3"/>
  <c r="AE73" i="3"/>
  <c r="M87" i="3"/>
  <c r="AE87" i="3"/>
  <c r="AX87" i="3"/>
  <c r="AE67" i="3"/>
  <c r="AX67" i="3"/>
  <c r="M67" i="3"/>
  <c r="M94" i="3"/>
  <c r="AX94" i="3"/>
  <c r="AE94" i="3"/>
  <c r="AX47" i="3"/>
  <c r="M47" i="3"/>
  <c r="Z47" i="3" s="1"/>
  <c r="BD110" i="3"/>
  <c r="BK110" i="3" s="1"/>
  <c r="BD16" i="3"/>
  <c r="CY16" i="3"/>
  <c r="BD104" i="3"/>
  <c r="BK104" i="3" s="1"/>
  <c r="CY104" i="3"/>
  <c r="CY62" i="3"/>
  <c r="BD62" i="3"/>
  <c r="BK62" i="3" s="1"/>
  <c r="BD91" i="3"/>
  <c r="BK91" i="3" s="1"/>
  <c r="CX43" i="3"/>
  <c r="BD42" i="3"/>
  <c r="CY42" i="3"/>
  <c r="CY45" i="3"/>
  <c r="BD45" i="3"/>
  <c r="CY39" i="3"/>
  <c r="BD39" i="3"/>
  <c r="BD87" i="3"/>
  <c r="BK87" i="3" s="1"/>
  <c r="CY87" i="3"/>
  <c r="CY51" i="3"/>
  <c r="BD51" i="3"/>
  <c r="BK51" i="3" s="1"/>
  <c r="CY69" i="3"/>
  <c r="BD69" i="3"/>
  <c r="BK69" i="3" s="1"/>
  <c r="CX38" i="3"/>
  <c r="CY38" i="3" s="1"/>
  <c r="CY37" i="3"/>
  <c r="BD37" i="3"/>
  <c r="BD103" i="3"/>
  <c r="BK103" i="3" s="1"/>
  <c r="CY103" i="3"/>
  <c r="BD64" i="3"/>
  <c r="BK64" i="3" s="1"/>
  <c r="CY64" i="3"/>
  <c r="BD93" i="3"/>
  <c r="BK93" i="3" s="1"/>
  <c r="BD50" i="3"/>
  <c r="CY50" i="3"/>
  <c r="CY81" i="3"/>
  <c r="BD81" i="3"/>
  <c r="BK81" i="3" s="1"/>
  <c r="CY13" i="3"/>
  <c r="BD13" i="3"/>
  <c r="BD58" i="3"/>
  <c r="BK58" i="3" s="1"/>
  <c r="CS106" i="3"/>
  <c r="CT106" i="3" s="1"/>
  <c r="CN106" i="3"/>
  <c r="CS36" i="3"/>
  <c r="CT36" i="3" s="1"/>
  <c r="CN36" i="3"/>
  <c r="CS37" i="3"/>
  <c r="CT37" i="3" s="1"/>
  <c r="CN37" i="3"/>
  <c r="CS50" i="3"/>
  <c r="CT50" i="3" s="1"/>
  <c r="CM55" i="3"/>
  <c r="CN50" i="3"/>
  <c r="CS42" i="3"/>
  <c r="CT42" i="3" s="1"/>
  <c r="CN42" i="3"/>
  <c r="CN16" i="3"/>
  <c r="CM21" i="3"/>
  <c r="CS16" i="3"/>
  <c r="CT16" i="3" s="1"/>
  <c r="CS11" i="3"/>
  <c r="CT11" i="3" s="1"/>
  <c r="CM15" i="3"/>
  <c r="CN11" i="3"/>
  <c r="CS83" i="3"/>
  <c r="CT83" i="3" s="1"/>
  <c r="CN83" i="3"/>
  <c r="CN103" i="3"/>
  <c r="CS103" i="3"/>
  <c r="CT103" i="3" s="1"/>
  <c r="CS46" i="3"/>
  <c r="CT46" i="3" s="1"/>
  <c r="CN46" i="3"/>
  <c r="CN75" i="3"/>
  <c r="CS75" i="3"/>
  <c r="CT75" i="3" s="1"/>
  <c r="CM26" i="3"/>
  <c r="CS22" i="3"/>
  <c r="CT22" i="3" s="1"/>
  <c r="CN22" i="3"/>
  <c r="CM66" i="3"/>
  <c r="CS62" i="3"/>
  <c r="CT62" i="3" s="1"/>
  <c r="CN62" i="3"/>
  <c r="CN52" i="3"/>
  <c r="CS52" i="3"/>
  <c r="CT52" i="3" s="1"/>
  <c r="CM72" i="3"/>
  <c r="CS67" i="3"/>
  <c r="CT67" i="3" s="1"/>
  <c r="CN67" i="3"/>
  <c r="CM95" i="3"/>
  <c r="CS91" i="3"/>
  <c r="CT91" i="3" s="1"/>
  <c r="CN91" i="3"/>
  <c r="CN34" i="3"/>
  <c r="CS34" i="3"/>
  <c r="CT34" i="3" s="1"/>
  <c r="CS70" i="3"/>
  <c r="CT70" i="3" s="1"/>
  <c r="CN70" i="3"/>
  <c r="CS93" i="3"/>
  <c r="CT93" i="3" s="1"/>
  <c r="CN93" i="3"/>
  <c r="CN23" i="3"/>
  <c r="CS23" i="3"/>
  <c r="CT23" i="3" s="1"/>
  <c r="Q44" i="5"/>
  <c r="Q27" i="5"/>
  <c r="BQ22" i="5"/>
  <c r="BQ23" i="5"/>
  <c r="BY12" i="5"/>
  <c r="CX13" i="5"/>
  <c r="BY16" i="5"/>
  <c r="CX17" i="5"/>
  <c r="BQ19" i="5"/>
  <c r="BG22" i="5"/>
  <c r="BQ24" i="5"/>
  <c r="CX28" i="5"/>
  <c r="BQ31" i="5"/>
  <c r="BY35" i="5"/>
  <c r="BG37" i="5"/>
  <c r="CX39" i="5"/>
  <c r="BQ42" i="5"/>
  <c r="BQ29" i="5"/>
  <c r="BQ34" i="5"/>
  <c r="BQ37" i="5"/>
  <c r="BG12" i="5"/>
  <c r="BQ13" i="5"/>
  <c r="BG16" i="5"/>
  <c r="BQ17" i="5"/>
  <c r="BQ18" i="5"/>
  <c r="BG20" i="5"/>
  <c r="BY22" i="5"/>
  <c r="CX23" i="5"/>
  <c r="BG25" i="5"/>
  <c r="BQ28" i="5"/>
  <c r="CX29" i="5"/>
  <c r="BG33" i="5"/>
  <c r="CX37" i="5"/>
  <c r="BQ45" i="5"/>
  <c r="BQ14" i="5"/>
  <c r="BQ41" i="5"/>
  <c r="BG36" i="5"/>
  <c r="BY40" i="5"/>
  <c r="CX41" i="5"/>
  <c r="CX53" i="5"/>
  <c r="BY11" i="5"/>
  <c r="AK11" i="5" s="1"/>
  <c r="BQ12" i="5"/>
  <c r="CM13" i="5"/>
  <c r="BM16" i="5"/>
  <c r="BY17" i="5"/>
  <c r="CX18" i="5"/>
  <c r="BY20" i="5"/>
  <c r="CX22" i="5"/>
  <c r="BM24" i="5"/>
  <c r="BY25" i="5"/>
  <c r="AK25" i="5" s="1"/>
  <c r="BY28" i="5"/>
  <c r="BO30" i="5"/>
  <c r="BY33" i="5"/>
  <c r="CX34" i="5"/>
  <c r="BY36" i="5"/>
  <c r="BQ39" i="5"/>
  <c r="BG41" i="5"/>
  <c r="BY47" i="5"/>
  <c r="T41" i="5"/>
  <c r="T37" i="5"/>
  <c r="T34" i="5"/>
  <c r="T25" i="5"/>
  <c r="T20" i="5"/>
  <c r="T16" i="5"/>
  <c r="T11" i="5"/>
  <c r="T42" i="5"/>
  <c r="T24" i="5"/>
  <c r="T14" i="5"/>
  <c r="T51" i="5"/>
  <c r="T39" i="5"/>
  <c r="T30" i="5"/>
  <c r="T19" i="5"/>
  <c r="BO51" i="5"/>
  <c r="BO45" i="5"/>
  <c r="BO40" i="5"/>
  <c r="BO28" i="5"/>
  <c r="BO22" i="5"/>
  <c r="BO17" i="5"/>
  <c r="BO12" i="5"/>
  <c r="BO20" i="5"/>
  <c r="BO11" i="5"/>
  <c r="BO33" i="5"/>
  <c r="BO25" i="5"/>
  <c r="BO16" i="5"/>
  <c r="BO54" i="5"/>
  <c r="CF34" i="5"/>
  <c r="CF30" i="5"/>
  <c r="CF29" i="5"/>
  <c r="CF23" i="5"/>
  <c r="CF18" i="5"/>
  <c r="CF13" i="5"/>
  <c r="CF35" i="5"/>
  <c r="CF22" i="5"/>
  <c r="CF12" i="5"/>
  <c r="CF46" i="5"/>
  <c r="CF39" i="5"/>
  <c r="CF31" i="5"/>
  <c r="AK31" i="5" s="1"/>
  <c r="CF28" i="5"/>
  <c r="CF17" i="5"/>
  <c r="T13" i="5"/>
  <c r="CF14" i="5"/>
  <c r="BO18" i="5"/>
  <c r="BM19" i="5"/>
  <c r="CM19" i="5"/>
  <c r="CF20" i="5"/>
  <c r="BO24" i="5"/>
  <c r="T28" i="5"/>
  <c r="CM29" i="5"/>
  <c r="CM30" i="5"/>
  <c r="T33" i="5"/>
  <c r="BO37" i="5"/>
  <c r="BO39" i="5"/>
  <c r="BM63" i="5"/>
  <c r="BM53" i="5"/>
  <c r="BM46" i="5"/>
  <c r="BM39" i="5"/>
  <c r="BM35" i="5"/>
  <c r="BM31" i="5"/>
  <c r="BM29" i="5"/>
  <c r="BM23" i="5"/>
  <c r="BM18" i="5"/>
  <c r="BM13" i="5"/>
  <c r="BM36" i="5"/>
  <c r="BM22" i="5"/>
  <c r="BM12" i="5"/>
  <c r="BM45" i="5"/>
  <c r="BM40" i="5"/>
  <c r="BM28" i="5"/>
  <c r="BM17" i="5"/>
  <c r="BM52" i="5"/>
  <c r="CM42" i="5"/>
  <c r="CM39" i="5"/>
  <c r="CM35" i="5"/>
  <c r="CM28" i="5"/>
  <c r="CM22" i="5"/>
  <c r="CM17" i="5"/>
  <c r="CM12" i="5"/>
  <c r="CM20" i="5"/>
  <c r="CM11" i="5"/>
  <c r="CM52" i="5"/>
  <c r="CM46" i="5"/>
  <c r="CM40" i="5"/>
  <c r="CM25" i="5"/>
  <c r="CM16" i="5"/>
  <c r="BO13" i="5"/>
  <c r="BM14" i="5"/>
  <c r="CM14" i="5"/>
  <c r="CF16" i="5"/>
  <c r="BO19" i="5"/>
  <c r="T22" i="5"/>
  <c r="CM23" i="5"/>
  <c r="BM25" i="5"/>
  <c r="T29" i="5"/>
  <c r="T31" i="5"/>
  <c r="BO34" i="5"/>
  <c r="BO35" i="5"/>
  <c r="CF40" i="5"/>
  <c r="CF41" i="5"/>
  <c r="AK41" i="5" s="1"/>
  <c r="BO46" i="5"/>
  <c r="CM51" i="5"/>
  <c r="BO14" i="5"/>
  <c r="T17" i="5"/>
  <c r="CM18" i="5"/>
  <c r="BM20" i="5"/>
  <c r="T23" i="5"/>
  <c r="CF24" i="5"/>
  <c r="BO29" i="5"/>
  <c r="BM30" i="5"/>
  <c r="CF36" i="5"/>
  <c r="CM37" i="5"/>
  <c r="T45" i="5"/>
  <c r="CX14" i="5"/>
  <c r="BG18" i="5"/>
  <c r="BY18" i="5"/>
  <c r="CX24" i="5"/>
  <c r="BG29" i="5"/>
  <c r="BY29" i="5"/>
  <c r="BY30" i="5"/>
  <c r="BG31" i="5"/>
  <c r="CX33" i="5"/>
  <c r="BG13" i="5"/>
  <c r="BY13" i="5"/>
  <c r="CX19" i="5"/>
  <c r="BG23" i="5"/>
  <c r="BY23" i="5"/>
  <c r="BG35" i="5"/>
  <c r="CX36" i="5"/>
  <c r="BY42" i="5"/>
  <c r="CX45" i="5"/>
  <c r="BQ11" i="5"/>
  <c r="CX11" i="5"/>
  <c r="BG14" i="5"/>
  <c r="BY14" i="5"/>
  <c r="BQ16" i="5"/>
  <c r="CX16" i="5"/>
  <c r="BG19" i="5"/>
  <c r="BY19" i="5"/>
  <c r="AK19" i="5" s="1"/>
  <c r="BQ20" i="5"/>
  <c r="CX20" i="5"/>
  <c r="BG24" i="5"/>
  <c r="BY24" i="5"/>
  <c r="BQ25" i="5"/>
  <c r="CX25" i="5"/>
  <c r="BG30" i="5"/>
  <c r="CX31" i="5"/>
  <c r="BQ33" i="5"/>
  <c r="BY37" i="5"/>
  <c r="BG42" i="5"/>
  <c r="CF45" i="5"/>
  <c r="BG46" i="5"/>
  <c r="BY46" i="5"/>
  <c r="T47" i="5"/>
  <c r="X48" i="5" s="1"/>
  <c r="BQ47" i="5"/>
  <c r="CX47" i="5"/>
  <c r="BM51" i="5"/>
  <c r="CF51" i="5"/>
  <c r="BC52" i="5"/>
  <c r="CF52" i="5"/>
  <c r="BG53" i="5"/>
  <c r="CF53" i="5"/>
  <c r="BM54" i="5"/>
  <c r="CM54" i="5"/>
  <c r="BY56" i="5"/>
  <c r="CF57" i="5"/>
  <c r="CF58" i="5"/>
  <c r="CM59" i="5"/>
  <c r="CM62" i="5"/>
  <c r="BG64" i="5"/>
  <c r="BY65" i="5"/>
  <c r="BM68" i="5"/>
  <c r="AP41" i="5"/>
  <c r="BM47" i="5"/>
  <c r="CF47" i="5"/>
  <c r="BC51" i="5"/>
  <c r="BQ51" i="5"/>
  <c r="CX51" i="5"/>
  <c r="BO52" i="5"/>
  <c r="CX52" i="5"/>
  <c r="BQ53" i="5"/>
  <c r="T54" i="5"/>
  <c r="BQ54" i="5"/>
  <c r="BG56" i="5"/>
  <c r="BG57" i="5"/>
  <c r="BG58" i="5"/>
  <c r="BG59" i="5"/>
  <c r="BM62" i="5"/>
  <c r="BO63" i="5"/>
  <c r="T65" i="5"/>
  <c r="BO67" i="5"/>
  <c r="CF74" i="5"/>
  <c r="AP39" i="5"/>
  <c r="BQ30" i="5"/>
  <c r="CX30" i="5"/>
  <c r="BO31" i="5"/>
  <c r="CM31" i="5"/>
  <c r="BM33" i="5"/>
  <c r="CF33" i="5"/>
  <c r="BG34" i="5"/>
  <c r="BY34" i="5"/>
  <c r="T35" i="5"/>
  <c r="BQ35" i="5"/>
  <c r="CX35" i="5"/>
  <c r="BO36" i="5"/>
  <c r="CM36" i="5"/>
  <c r="BM37" i="5"/>
  <c r="CF37" i="5"/>
  <c r="BG39" i="5"/>
  <c r="BY39" i="5"/>
  <c r="T40" i="5"/>
  <c r="BQ40" i="5"/>
  <c r="CX40" i="5"/>
  <c r="BO41" i="5"/>
  <c r="CM41" i="5"/>
  <c r="BM42" i="5"/>
  <c r="CF42" i="5"/>
  <c r="BG45" i="5"/>
  <c r="BY45" i="5"/>
  <c r="T46" i="5"/>
  <c r="BQ46" i="5"/>
  <c r="CX46" i="5"/>
  <c r="BO47" i="5"/>
  <c r="CM47" i="5"/>
  <c r="BG51" i="5"/>
  <c r="BY51" i="5"/>
  <c r="T52" i="5"/>
  <c r="BQ52" i="5"/>
  <c r="BC53" i="5"/>
  <c r="BY53" i="5"/>
  <c r="BC54" i="5"/>
  <c r="CF54" i="5"/>
  <c r="BQ56" i="5"/>
  <c r="BY57" i="5"/>
  <c r="BY58" i="5"/>
  <c r="BY59" i="5"/>
  <c r="CF62" i="5"/>
  <c r="CM63" i="5"/>
  <c r="BQ65" i="5"/>
  <c r="CX67" i="5"/>
  <c r="AU111" i="5"/>
  <c r="AU47" i="5"/>
  <c r="AP14" i="5"/>
  <c r="AP19" i="5"/>
  <c r="AP24" i="5"/>
  <c r="AP30" i="5"/>
  <c r="AP35" i="5"/>
  <c r="AP45" i="5"/>
  <c r="AP51" i="5"/>
  <c r="AP56" i="5"/>
  <c r="AP62" i="5"/>
  <c r="AP67" i="5"/>
  <c r="AP71" i="5"/>
  <c r="AP76" i="5"/>
  <c r="AP83" i="5"/>
  <c r="AP88" i="5"/>
  <c r="AP93" i="5"/>
  <c r="AP99" i="5"/>
  <c r="AP104" i="5"/>
  <c r="AP109" i="5"/>
  <c r="AU12" i="5"/>
  <c r="AU17" i="5"/>
  <c r="AU22" i="5"/>
  <c r="AU28" i="5"/>
  <c r="AU33" i="5"/>
  <c r="AU37" i="5"/>
  <c r="AU42" i="5"/>
  <c r="AU54" i="5"/>
  <c r="AU59" i="5"/>
  <c r="AU65" i="5"/>
  <c r="AU70" i="5"/>
  <c r="AU75" i="5"/>
  <c r="AU82" i="5"/>
  <c r="AU87" i="5"/>
  <c r="AU92" i="5"/>
  <c r="AU98" i="5"/>
  <c r="AU103" i="5"/>
  <c r="AU108" i="5"/>
  <c r="CX54" i="5"/>
  <c r="BM56" i="5"/>
  <c r="CF56" i="5"/>
  <c r="BM57" i="5"/>
  <c r="CM57" i="5"/>
  <c r="BM58" i="5"/>
  <c r="CX58" i="5"/>
  <c r="BO59" i="5"/>
  <c r="CX59" i="5"/>
  <c r="BO62" i="5"/>
  <c r="CX62" i="5"/>
  <c r="BY63" i="5"/>
  <c r="BM64" i="5"/>
  <c r="BC65" i="5"/>
  <c r="CX65" i="5"/>
  <c r="BQ67" i="5"/>
  <c r="CM68" i="5"/>
  <c r="BG76" i="5"/>
  <c r="BO83" i="5"/>
  <c r="AP16" i="5"/>
  <c r="AP20" i="5"/>
  <c r="AP25" i="5"/>
  <c r="AP31" i="5"/>
  <c r="AP36" i="5"/>
  <c r="AP46" i="5"/>
  <c r="AP52" i="5"/>
  <c r="AP57" i="5"/>
  <c r="AP63" i="5"/>
  <c r="AP68" i="5"/>
  <c r="AP73" i="5"/>
  <c r="AP80" i="5"/>
  <c r="AP85" i="5"/>
  <c r="AP89" i="5"/>
  <c r="AP94" i="5"/>
  <c r="AP100" i="5"/>
  <c r="AP105" i="5"/>
  <c r="AP110" i="5"/>
  <c r="AU13" i="5"/>
  <c r="AU18" i="5"/>
  <c r="AU23" i="5"/>
  <c r="AU29" i="5"/>
  <c r="AU34" i="5"/>
  <c r="AU39" i="5"/>
  <c r="AU45" i="5"/>
  <c r="AU51" i="5"/>
  <c r="AU56" i="5"/>
  <c r="AU62" i="5"/>
  <c r="AU67" i="5"/>
  <c r="AU71" i="5"/>
  <c r="AU76" i="5"/>
  <c r="AU83" i="5"/>
  <c r="AU88" i="5"/>
  <c r="AU93" i="5"/>
  <c r="AU99" i="5"/>
  <c r="AU104" i="5"/>
  <c r="AU109" i="5"/>
  <c r="BG52" i="5"/>
  <c r="BY52" i="5"/>
  <c r="T53" i="5"/>
  <c r="BO53" i="5"/>
  <c r="CM53" i="5"/>
  <c r="BG54" i="5"/>
  <c r="BY54" i="5"/>
  <c r="T56" i="5"/>
  <c r="BO56" i="5"/>
  <c r="CM56" i="5"/>
  <c r="BO57" i="5"/>
  <c r="T58" i="5"/>
  <c r="BQ58" i="5"/>
  <c r="T59" i="5"/>
  <c r="BQ59" i="5"/>
  <c r="T62" i="5"/>
  <c r="BQ62" i="5"/>
  <c r="BG63" i="5"/>
  <c r="CF63" i="5"/>
  <c r="BY64" i="5"/>
  <c r="AK64" i="5" s="1"/>
  <c r="BG65" i="5"/>
  <c r="T67" i="5"/>
  <c r="CM67" i="5"/>
  <c r="BY69" i="5"/>
  <c r="T87" i="5"/>
  <c r="AP12" i="5"/>
  <c r="AP17" i="5"/>
  <c r="AP22" i="5"/>
  <c r="AP28" i="5"/>
  <c r="AP33" i="5"/>
  <c r="AP37" i="5"/>
  <c r="AP53" i="5"/>
  <c r="AP58" i="5"/>
  <c r="AP64" i="5"/>
  <c r="AP69" i="5"/>
  <c r="AP74" i="5"/>
  <c r="AP81" i="5"/>
  <c r="AP86" i="5"/>
  <c r="AP91" i="5"/>
  <c r="AP97" i="5"/>
  <c r="AP102" i="5"/>
  <c r="AP106" i="5"/>
  <c r="AP111" i="5"/>
  <c r="AU14" i="5"/>
  <c r="AU19" i="5"/>
  <c r="AU24" i="5"/>
  <c r="AU30" i="5"/>
  <c r="AU35" i="5"/>
  <c r="AU40" i="5"/>
  <c r="AU46" i="5"/>
  <c r="AU52" i="5"/>
  <c r="AU57" i="5"/>
  <c r="AU63" i="5"/>
  <c r="AU68" i="5"/>
  <c r="AU73" i="5"/>
  <c r="AU80" i="5"/>
  <c r="AU85" i="5"/>
  <c r="AU89" i="5"/>
  <c r="AU94" i="5"/>
  <c r="AU100" i="5"/>
  <c r="AU105" i="5"/>
  <c r="AU110" i="5"/>
  <c r="CF87" i="5"/>
  <c r="AP47" i="5"/>
  <c r="AP13" i="5"/>
  <c r="AP18" i="5"/>
  <c r="AP23" i="5"/>
  <c r="AP29" i="5"/>
  <c r="AP34" i="5"/>
  <c r="AP42" i="5"/>
  <c r="AP54" i="5"/>
  <c r="AP59" i="5"/>
  <c r="AP65" i="5"/>
  <c r="AP70" i="5"/>
  <c r="AP75" i="5"/>
  <c r="AP82" i="5"/>
  <c r="AP87" i="5"/>
  <c r="AP92" i="5"/>
  <c r="AP98" i="5"/>
  <c r="AP103" i="5"/>
  <c r="AP108" i="5"/>
  <c r="AU11" i="5"/>
  <c r="AU16" i="5"/>
  <c r="AU20" i="5"/>
  <c r="AU25" i="5"/>
  <c r="AU31" i="5"/>
  <c r="AU36" i="5"/>
  <c r="AU41" i="5"/>
  <c r="AU53" i="5"/>
  <c r="AU58" i="5"/>
  <c r="AU64" i="5"/>
  <c r="AU69" i="5"/>
  <c r="AU74" i="5"/>
  <c r="AU81" i="5"/>
  <c r="AU86" i="5"/>
  <c r="AU91" i="5"/>
  <c r="AU97" i="5"/>
  <c r="AU102" i="5"/>
  <c r="AU106" i="5"/>
  <c r="BY82" i="5"/>
  <c r="BQ88" i="5"/>
  <c r="CX70" i="5"/>
  <c r="T93" i="5"/>
  <c r="BM70" i="5"/>
  <c r="CX73" i="5"/>
  <c r="BC85" i="5"/>
  <c r="CF91" i="5"/>
  <c r="BY103" i="5"/>
  <c r="BG108" i="5"/>
  <c r="BO73" i="5"/>
  <c r="BQ75" i="5"/>
  <c r="CM81" i="5"/>
  <c r="BO89" i="5"/>
  <c r="CF97" i="5"/>
  <c r="BQ109" i="5"/>
  <c r="CM76" i="5"/>
  <c r="BM81" i="5"/>
  <c r="CF85" i="5"/>
  <c r="BG87" i="5"/>
  <c r="T89" i="5"/>
  <c r="BG92" i="5"/>
  <c r="CM94" i="5"/>
  <c r="BM102" i="5"/>
  <c r="CX109" i="5"/>
  <c r="BY108" i="5"/>
  <c r="BM106" i="5"/>
  <c r="T104" i="5"/>
  <c r="CF102" i="5"/>
  <c r="BO100" i="5"/>
  <c r="BC99" i="5"/>
  <c r="CX94" i="5"/>
  <c r="BC94" i="5"/>
  <c r="BY93" i="5"/>
  <c r="BM92" i="5"/>
  <c r="CM91" i="5"/>
  <c r="BQ89" i="5"/>
  <c r="BY88" i="5"/>
  <c r="BC88" i="5"/>
  <c r="CX87" i="5"/>
  <c r="BM87" i="5"/>
  <c r="BY86" i="5"/>
  <c r="CM85" i="5"/>
  <c r="BM85" i="5"/>
  <c r="T85" i="5"/>
  <c r="BQ83" i="5"/>
  <c r="CF82" i="5"/>
  <c r="BG82" i="5"/>
  <c r="T82" i="5"/>
  <c r="BO81" i="5"/>
  <c r="CF80" i="5"/>
  <c r="BC80" i="5"/>
  <c r="CX76" i="5"/>
  <c r="BO76" i="5"/>
  <c r="BY75" i="5"/>
  <c r="BC75" i="5"/>
  <c r="CM74" i="5"/>
  <c r="BM74" i="5"/>
  <c r="BQ73" i="5"/>
  <c r="CM71" i="5"/>
  <c r="BG71" i="5"/>
  <c r="T71" i="5"/>
  <c r="BQ70" i="5"/>
  <c r="CF69" i="5"/>
  <c r="BG69" i="5"/>
  <c r="CX68" i="5"/>
  <c r="BQ68" i="5"/>
  <c r="BC68" i="5"/>
  <c r="T68" i="5"/>
  <c r="BY67" i="5"/>
  <c r="BG67" i="5"/>
  <c r="CF65" i="5"/>
  <c r="BM65" i="5"/>
  <c r="CM64" i="5"/>
  <c r="BO64" i="5"/>
  <c r="CX63" i="5"/>
  <c r="BQ63" i="5"/>
  <c r="BC63" i="5"/>
  <c r="T63" i="5"/>
  <c r="BY62" i="5"/>
  <c r="BG62" i="5"/>
  <c r="CF59" i="5"/>
  <c r="BM59" i="5"/>
  <c r="CM58" i="5"/>
  <c r="BO58" i="5"/>
  <c r="CX57" i="5"/>
  <c r="BQ57" i="5"/>
  <c r="BC57" i="5"/>
  <c r="T57" i="5"/>
  <c r="BO110" i="5"/>
  <c r="BC109" i="5"/>
  <c r="CM105" i="5"/>
  <c r="BQ104" i="5"/>
  <c r="BG103" i="5"/>
  <c r="CX99" i="5"/>
  <c r="BY98" i="5"/>
  <c r="BM97" i="5"/>
  <c r="BQ94" i="5"/>
  <c r="T94" i="5"/>
  <c r="BG93" i="5"/>
  <c r="CF92" i="5"/>
  <c r="BO91" i="5"/>
  <c r="CX89" i="5"/>
  <c r="BC89" i="5"/>
  <c r="CX88" i="5"/>
  <c r="BO88" i="5"/>
  <c r="BY87" i="5"/>
  <c r="BC87" i="5"/>
  <c r="CM86" i="5"/>
  <c r="BM86" i="5"/>
  <c r="BQ85" i="5"/>
  <c r="CM83" i="5"/>
  <c r="BG83" i="5"/>
  <c r="T83" i="5"/>
  <c r="BQ82" i="5"/>
  <c r="CF81" i="5"/>
  <c r="BG81" i="5"/>
  <c r="CX80" i="5"/>
  <c r="BO80" i="5"/>
  <c r="BY76" i="5"/>
  <c r="BC76" i="5"/>
  <c r="CX75" i="5"/>
  <c r="BM75" i="5"/>
  <c r="BY74" i="5"/>
  <c r="CM73" i="5"/>
  <c r="BM73" i="5"/>
  <c r="T73" i="5"/>
  <c r="BQ71" i="5"/>
  <c r="CF70" i="5"/>
  <c r="BG70" i="5"/>
  <c r="T70" i="5"/>
  <c r="BO69" i="5"/>
  <c r="CF68" i="5"/>
  <c r="T109" i="5"/>
  <c r="CF106" i="5"/>
  <c r="BO105" i="5"/>
  <c r="BC104" i="5"/>
  <c r="CM100" i="5"/>
  <c r="BQ99" i="5"/>
  <c r="BG98" i="5"/>
  <c r="BO94" i="5"/>
  <c r="CX93" i="5"/>
  <c r="BC93" i="5"/>
  <c r="BY92" i="5"/>
  <c r="BM91" i="5"/>
  <c r="CM89" i="5"/>
  <c r="CM88" i="5"/>
  <c r="BG88" i="5"/>
  <c r="T88" i="5"/>
  <c r="BQ87" i="5"/>
  <c r="CF86" i="5"/>
  <c r="BG86" i="5"/>
  <c r="CX85" i="5"/>
  <c r="BO85" i="5"/>
  <c r="BY83" i="5"/>
  <c r="BC83" i="5"/>
  <c r="CX82" i="5"/>
  <c r="BM82" i="5"/>
  <c r="BY81" i="5"/>
  <c r="CM80" i="5"/>
  <c r="BM80" i="5"/>
  <c r="BQ76" i="5"/>
  <c r="CF75" i="5"/>
  <c r="BG75" i="5"/>
  <c r="T75" i="5"/>
  <c r="BO74" i="5"/>
  <c r="CF73" i="5"/>
  <c r="BC73" i="5"/>
  <c r="CX71" i="5"/>
  <c r="BO71" i="5"/>
  <c r="BY70" i="5"/>
  <c r="BC70" i="5"/>
  <c r="CM69" i="5"/>
  <c r="BM69" i="5"/>
  <c r="BY68" i="5"/>
  <c r="BG68" i="5"/>
  <c r="CF67" i="5"/>
  <c r="BM67" i="5"/>
  <c r="CM65" i="5"/>
  <c r="BO65" i="5"/>
  <c r="CX64" i="5"/>
  <c r="BQ64" i="5"/>
  <c r="BC64" i="5"/>
  <c r="T64" i="5"/>
  <c r="BO68" i="5"/>
  <c r="BY71" i="5"/>
  <c r="BG74" i="5"/>
  <c r="T76" i="5"/>
  <c r="X80" i="5" s="1"/>
  <c r="BQ80" i="5"/>
  <c r="BC82" i="5"/>
  <c r="CX83" i="5"/>
  <c r="BO86" i="5"/>
  <c r="BQ93" i="5"/>
  <c r="T99" i="5"/>
  <c r="CX104" i="5"/>
  <c r="CM110" i="5"/>
  <c r="CF111" i="5"/>
  <c r="BM111" i="5"/>
  <c r="BM89" i="5"/>
  <c r="CF89" i="5"/>
  <c r="BG91" i="5"/>
  <c r="BY91" i="5"/>
  <c r="T92" i="5"/>
  <c r="BC92" i="5"/>
  <c r="BQ92" i="5"/>
  <c r="CX92" i="5"/>
  <c r="BO93" i="5"/>
  <c r="CM93" i="5"/>
  <c r="BM94" i="5"/>
  <c r="CF94" i="5"/>
  <c r="BG97" i="5"/>
  <c r="BY97" i="5"/>
  <c r="T98" i="5"/>
  <c r="BC98" i="5"/>
  <c r="BQ98" i="5"/>
  <c r="CX98" i="5"/>
  <c r="BO99" i="5"/>
  <c r="CM99" i="5"/>
  <c r="BM100" i="5"/>
  <c r="CF100" i="5"/>
  <c r="BG102" i="5"/>
  <c r="BY102" i="5"/>
  <c r="T103" i="5"/>
  <c r="BC103" i="5"/>
  <c r="BQ103" i="5"/>
  <c r="CX103" i="5"/>
  <c r="BO104" i="5"/>
  <c r="CM104" i="5"/>
  <c r="BM105" i="5"/>
  <c r="CF105" i="5"/>
  <c r="BG106" i="5"/>
  <c r="BY106" i="5"/>
  <c r="T108" i="5"/>
  <c r="BC108" i="5"/>
  <c r="BQ108" i="5"/>
  <c r="CX108" i="5"/>
  <c r="BO109" i="5"/>
  <c r="CM109" i="5"/>
  <c r="BM110" i="5"/>
  <c r="CF110" i="5"/>
  <c r="BG111" i="5"/>
  <c r="BY111" i="5"/>
  <c r="BO97" i="5"/>
  <c r="CM97" i="5"/>
  <c r="BM98" i="5"/>
  <c r="CF98" i="5"/>
  <c r="BG99" i="5"/>
  <c r="BY99" i="5"/>
  <c r="T100" i="5"/>
  <c r="BC100" i="5"/>
  <c r="BQ100" i="5"/>
  <c r="CX100" i="5"/>
  <c r="BO102" i="5"/>
  <c r="CM102" i="5"/>
  <c r="BM103" i="5"/>
  <c r="CF103" i="5"/>
  <c r="BG104" i="5"/>
  <c r="BY104" i="5"/>
  <c r="T105" i="5"/>
  <c r="BC105" i="5"/>
  <c r="BQ105" i="5"/>
  <c r="CX105" i="5"/>
  <c r="BO106" i="5"/>
  <c r="CM106" i="5"/>
  <c r="BM108" i="5"/>
  <c r="CF108" i="5"/>
  <c r="BG109" i="5"/>
  <c r="BY109" i="5"/>
  <c r="T110" i="5"/>
  <c r="BC110" i="5"/>
  <c r="BQ110" i="5"/>
  <c r="CX110" i="5"/>
  <c r="BO111" i="5"/>
  <c r="CM111" i="5"/>
  <c r="T69" i="5"/>
  <c r="BC69" i="5"/>
  <c r="BQ69" i="5"/>
  <c r="CX69" i="5"/>
  <c r="BO70" i="5"/>
  <c r="CM70" i="5"/>
  <c r="BM71" i="5"/>
  <c r="CF71" i="5"/>
  <c r="AK71" i="5" s="1"/>
  <c r="BG73" i="5"/>
  <c r="BY73" i="5"/>
  <c r="T74" i="5"/>
  <c r="BC74" i="5"/>
  <c r="BQ74" i="5"/>
  <c r="CX74" i="5"/>
  <c r="BO75" i="5"/>
  <c r="CM75" i="5"/>
  <c r="BM76" i="5"/>
  <c r="CF76" i="5"/>
  <c r="BG80" i="5"/>
  <c r="BY80" i="5"/>
  <c r="T81" i="5"/>
  <c r="BC81" i="5"/>
  <c r="BQ81" i="5"/>
  <c r="CX81" i="5"/>
  <c r="BO82" i="5"/>
  <c r="CM82" i="5"/>
  <c r="BM83" i="5"/>
  <c r="CF83" i="5"/>
  <c r="BG85" i="5"/>
  <c r="BY85" i="5"/>
  <c r="T86" i="5"/>
  <c r="BC86" i="5"/>
  <c r="BQ86" i="5"/>
  <c r="CX86" i="5"/>
  <c r="BO87" i="5"/>
  <c r="CM87" i="5"/>
  <c r="BM88" i="5"/>
  <c r="CF88" i="5"/>
  <c r="BG89" i="5"/>
  <c r="BY89" i="5"/>
  <c r="T91" i="5"/>
  <c r="BC91" i="5"/>
  <c r="BQ91" i="5"/>
  <c r="CX91" i="5"/>
  <c r="BO92" i="5"/>
  <c r="CM92" i="5"/>
  <c r="BM93" i="5"/>
  <c r="CF93" i="5"/>
  <c r="BG94" i="5"/>
  <c r="BY94" i="5"/>
  <c r="T97" i="5"/>
  <c r="BC97" i="5"/>
  <c r="BQ97" i="5"/>
  <c r="CX97" i="5"/>
  <c r="BO98" i="5"/>
  <c r="CM98" i="5"/>
  <c r="BM99" i="5"/>
  <c r="CF99" i="5"/>
  <c r="BG100" i="5"/>
  <c r="BY100" i="5"/>
  <c r="T102" i="5"/>
  <c r="BC102" i="5"/>
  <c r="BQ102" i="5"/>
  <c r="CX102" i="5"/>
  <c r="BO103" i="5"/>
  <c r="CM103" i="5"/>
  <c r="BM104" i="5"/>
  <c r="CF104" i="5"/>
  <c r="BG105" i="5"/>
  <c r="BY105" i="5"/>
  <c r="T106" i="5"/>
  <c r="BC106" i="5"/>
  <c r="BQ106" i="5"/>
  <c r="CX106" i="5"/>
  <c r="BO108" i="5"/>
  <c r="CM108" i="5"/>
  <c r="BM109" i="5"/>
  <c r="CF109" i="5"/>
  <c r="BG110" i="5"/>
  <c r="BY110" i="5"/>
  <c r="T111" i="5"/>
  <c r="BC111" i="5"/>
  <c r="BQ111" i="5"/>
  <c r="CX111" i="5"/>
  <c r="BS90" i="3" l="1"/>
  <c r="BQ96" i="3"/>
  <c r="BM61" i="3"/>
  <c r="BS95" i="3"/>
  <c r="AI61" i="3"/>
  <c r="Z94" i="3"/>
  <c r="BS43" i="3"/>
  <c r="Z68" i="3"/>
  <c r="BM44" i="3"/>
  <c r="Z88" i="3"/>
  <c r="Z64" i="3"/>
  <c r="CS55" i="3"/>
  <c r="CT55" i="3" s="1"/>
  <c r="CN55" i="3"/>
  <c r="BE37" i="3"/>
  <c r="BD38" i="3"/>
  <c r="BK37" i="3"/>
  <c r="M77" i="3"/>
  <c r="Z73" i="3"/>
  <c r="M60" i="3"/>
  <c r="Z56" i="3"/>
  <c r="AL46" i="3"/>
  <c r="AZ46" i="3"/>
  <c r="CX27" i="3"/>
  <c r="CY27" i="3" s="1"/>
  <c r="CY26" i="3"/>
  <c r="AL31" i="3"/>
  <c r="AZ31" i="3"/>
  <c r="BY113" i="3"/>
  <c r="BZ113" i="3" s="1"/>
  <c r="BZ101" i="3"/>
  <c r="M49" i="3"/>
  <c r="CP66" i="3"/>
  <c r="CQ66" i="3" s="1"/>
  <c r="CF78" i="3"/>
  <c r="CG66" i="3"/>
  <c r="AZ75" i="3"/>
  <c r="AZ47" i="3"/>
  <c r="AL47" i="3"/>
  <c r="AB62" i="3"/>
  <c r="AB66" i="3" s="1"/>
  <c r="O66" i="3"/>
  <c r="O32" i="3"/>
  <c r="AB28" i="3"/>
  <c r="P28" i="3"/>
  <c r="CS77" i="3"/>
  <c r="CT77" i="3" s="1"/>
  <c r="CN77" i="3"/>
  <c r="AL48" i="3"/>
  <c r="AZ48" i="3"/>
  <c r="X101" i="3"/>
  <c r="AX101" i="3" s="1"/>
  <c r="W100" i="3"/>
  <c r="W101" i="3" s="1"/>
  <c r="CM96" i="3"/>
  <c r="CS84" i="3"/>
  <c r="CT84" i="3" s="1"/>
  <c r="CN84" i="3"/>
  <c r="M95" i="3"/>
  <c r="Z91" i="3"/>
  <c r="Z95" i="3" s="1"/>
  <c r="AZ53" i="3"/>
  <c r="AL53" i="3"/>
  <c r="AL36" i="3"/>
  <c r="AZ36" i="3"/>
  <c r="BI55" i="3"/>
  <c r="AP55" i="3"/>
  <c r="BI72" i="3"/>
  <c r="AP72" i="3"/>
  <c r="AP101" i="3"/>
  <c r="T113" i="3"/>
  <c r="AP113" i="3" s="1"/>
  <c r="X95" i="3"/>
  <c r="X96" i="3" s="1"/>
  <c r="W94" i="3"/>
  <c r="W95" i="3" s="1"/>
  <c r="W96" i="3" s="1"/>
  <c r="BZ15" i="3"/>
  <c r="BY27" i="3"/>
  <c r="X84" i="3"/>
  <c r="W83" i="3"/>
  <c r="W84" i="3" s="1"/>
  <c r="BK24" i="3"/>
  <c r="BE24" i="3"/>
  <c r="AK72" i="3"/>
  <c r="AZ67" i="3"/>
  <c r="T27" i="3"/>
  <c r="AP15" i="3"/>
  <c r="BI15" i="3"/>
  <c r="U15" i="3"/>
  <c r="P31" i="3"/>
  <c r="AB31" i="3"/>
  <c r="AC31" i="3" s="1"/>
  <c r="CS95" i="3"/>
  <c r="CT95" i="3" s="1"/>
  <c r="CN95" i="3"/>
  <c r="CS66" i="3"/>
  <c r="CT66" i="3" s="1"/>
  <c r="CM78" i="3"/>
  <c r="CN66" i="3"/>
  <c r="CS21" i="3"/>
  <c r="CT21" i="3" s="1"/>
  <c r="CN21" i="3"/>
  <c r="BK45" i="3"/>
  <c r="BE45" i="3"/>
  <c r="CX44" i="3"/>
  <c r="CY44" i="3" s="1"/>
  <c r="CY43" i="3"/>
  <c r="Z65" i="3"/>
  <c r="AL23" i="3"/>
  <c r="AZ23" i="3"/>
  <c r="CP90" i="3"/>
  <c r="CQ90" i="3" s="1"/>
  <c r="CG90" i="3"/>
  <c r="AZ70" i="3"/>
  <c r="CP26" i="3"/>
  <c r="CQ26" i="3" s="1"/>
  <c r="CG26" i="3"/>
  <c r="AL24" i="3"/>
  <c r="AZ24" i="3"/>
  <c r="X112" i="3"/>
  <c r="X113" i="3" s="1"/>
  <c r="W111" i="3"/>
  <c r="W112" i="3" s="1"/>
  <c r="W113" i="3" s="1"/>
  <c r="BQ113" i="3"/>
  <c r="CN38" i="3"/>
  <c r="CS38" i="3"/>
  <c r="CT38" i="3" s="1"/>
  <c r="BD26" i="3"/>
  <c r="BK25" i="3"/>
  <c r="BE25" i="3"/>
  <c r="BK19" i="3"/>
  <c r="BE19" i="3"/>
  <c r="Z51" i="3"/>
  <c r="AZ56" i="3"/>
  <c r="AK60" i="3"/>
  <c r="AZ50" i="3"/>
  <c r="AL50" i="3"/>
  <c r="AK55" i="3"/>
  <c r="BO27" i="3"/>
  <c r="BS15" i="3"/>
  <c r="AB29" i="3"/>
  <c r="AC29" i="3" s="1"/>
  <c r="P29" i="3"/>
  <c r="CS112" i="3"/>
  <c r="CT112" i="3" s="1"/>
  <c r="CN112" i="3"/>
  <c r="BD84" i="3"/>
  <c r="BK84" i="3" s="1"/>
  <c r="BK83" i="3"/>
  <c r="BK89" i="3"/>
  <c r="BD90" i="3"/>
  <c r="BK90" i="3" s="1"/>
  <c r="Z75" i="3"/>
  <c r="Z54" i="3"/>
  <c r="AX84" i="3"/>
  <c r="AZ62" i="3"/>
  <c r="AK66" i="3"/>
  <c r="AL51" i="3"/>
  <c r="AZ51" i="3"/>
  <c r="AZ19" i="3"/>
  <c r="AL19" i="3"/>
  <c r="AZ76" i="3"/>
  <c r="AL42" i="3"/>
  <c r="AZ42" i="3"/>
  <c r="P24" i="3"/>
  <c r="AB24" i="3"/>
  <c r="AC24" i="3" s="1"/>
  <c r="BD55" i="3"/>
  <c r="BK55" i="3" s="1"/>
  <c r="BK54" i="3"/>
  <c r="AP95" i="3"/>
  <c r="BI95" i="3"/>
  <c r="CS101" i="3"/>
  <c r="CT101" i="3" s="1"/>
  <c r="CN101" i="3"/>
  <c r="CM113" i="3"/>
  <c r="CS60" i="3"/>
  <c r="CT60" i="3" s="1"/>
  <c r="CN60" i="3"/>
  <c r="BK35" i="3"/>
  <c r="BE35" i="3"/>
  <c r="BK41" i="3"/>
  <c r="BE41" i="3"/>
  <c r="BK11" i="3"/>
  <c r="BE11" i="3"/>
  <c r="Z83" i="3"/>
  <c r="Z81" i="3"/>
  <c r="BM113" i="3"/>
  <c r="AZ108" i="3"/>
  <c r="AZ112" i="3" s="1"/>
  <c r="AK112" i="3"/>
  <c r="AZ63" i="3"/>
  <c r="AK101" i="3"/>
  <c r="AZ97" i="3"/>
  <c r="AZ101" i="3" s="1"/>
  <c r="CG49" i="3"/>
  <c r="CF61" i="3"/>
  <c r="CP49" i="3"/>
  <c r="CQ49" i="3" s="1"/>
  <c r="AZ39" i="3"/>
  <c r="AL39" i="3"/>
  <c r="AK43" i="3"/>
  <c r="AL43" i="3" s="1"/>
  <c r="BS55" i="3"/>
  <c r="P48" i="3"/>
  <c r="AB48" i="3"/>
  <c r="AC48" i="3" s="1"/>
  <c r="X90" i="3"/>
  <c r="AX90" i="3" s="1"/>
  <c r="W89" i="3"/>
  <c r="W90" i="3" s="1"/>
  <c r="P16" i="3"/>
  <c r="O21" i="3"/>
  <c r="AB16" i="3"/>
  <c r="AB25" i="3"/>
  <c r="AC25" i="3" s="1"/>
  <c r="P25" i="3"/>
  <c r="AX49" i="3"/>
  <c r="O55" i="3"/>
  <c r="AB50" i="3"/>
  <c r="P50" i="3"/>
  <c r="X72" i="3"/>
  <c r="AX72" i="3" s="1"/>
  <c r="W71" i="3"/>
  <c r="W72" i="3" s="1"/>
  <c r="O72" i="3"/>
  <c r="AB67" i="3"/>
  <c r="AB72" i="3" s="1"/>
  <c r="O43" i="3"/>
  <c r="P43" i="3" s="1"/>
  <c r="P39" i="3"/>
  <c r="AB39" i="3"/>
  <c r="BQ27" i="3"/>
  <c r="P23" i="3"/>
  <c r="AB23" i="3"/>
  <c r="AC23" i="3" s="1"/>
  <c r="AB18" i="3"/>
  <c r="AC18" i="3" s="1"/>
  <c r="P18" i="3"/>
  <c r="AB73" i="3"/>
  <c r="AB77" i="3" s="1"/>
  <c r="O77" i="3"/>
  <c r="P47" i="3"/>
  <c r="AB47" i="3"/>
  <c r="AC47" i="3" s="1"/>
  <c r="BY61" i="3"/>
  <c r="BZ61" i="3" s="1"/>
  <c r="BZ55" i="3"/>
  <c r="BK36" i="3"/>
  <c r="BE36" i="3"/>
  <c r="AL14" i="3"/>
  <c r="AZ14" i="3"/>
  <c r="CG32" i="3"/>
  <c r="CP32" i="3"/>
  <c r="CQ32" i="3" s="1"/>
  <c r="CF44" i="3"/>
  <c r="AZ74" i="3"/>
  <c r="AL18" i="3"/>
  <c r="AZ18" i="3"/>
  <c r="X66" i="3"/>
  <c r="AX66" i="3" s="1"/>
  <c r="W65" i="3"/>
  <c r="W66" i="3" s="1"/>
  <c r="AB34" i="3"/>
  <c r="AC34" i="3" s="1"/>
  <c r="P34" i="3"/>
  <c r="AZ65" i="3"/>
  <c r="CS15" i="3"/>
  <c r="CT15" i="3" s="1"/>
  <c r="CN15" i="3"/>
  <c r="CM27" i="3"/>
  <c r="AK95" i="3"/>
  <c r="AZ91" i="3"/>
  <c r="AZ95" i="3" s="1"/>
  <c r="X77" i="3"/>
  <c r="X78" i="3" s="1"/>
  <c r="X79" i="3" s="1"/>
  <c r="W76" i="3"/>
  <c r="W77" i="3" s="1"/>
  <c r="W78" i="3" s="1"/>
  <c r="W79" i="3" s="1"/>
  <c r="AB85" i="3"/>
  <c r="AB90" i="3" s="1"/>
  <c r="O90" i="3"/>
  <c r="AB91" i="3"/>
  <c r="AB95" i="3" s="1"/>
  <c r="O95" i="3"/>
  <c r="CM44" i="3"/>
  <c r="CS32" i="3"/>
  <c r="CT32" i="3" s="1"/>
  <c r="CN32" i="3"/>
  <c r="BK47" i="3"/>
  <c r="BE47" i="3"/>
  <c r="AL52" i="3"/>
  <c r="AZ52" i="3"/>
  <c r="AK21" i="3"/>
  <c r="AL21" i="3" s="1"/>
  <c r="AZ16" i="3"/>
  <c r="AL16" i="3"/>
  <c r="AZ59" i="3"/>
  <c r="AZ37" i="3"/>
  <c r="AL37" i="3"/>
  <c r="AB40" i="3"/>
  <c r="AC40" i="3" s="1"/>
  <c r="P40" i="3"/>
  <c r="BK13" i="3"/>
  <c r="BE13" i="3"/>
  <c r="BK39" i="3"/>
  <c r="BE39" i="3"/>
  <c r="M72" i="3"/>
  <c r="Z67" i="3"/>
  <c r="Z72" i="3" s="1"/>
  <c r="Z58" i="3"/>
  <c r="BM27" i="3"/>
  <c r="AZ12" i="3"/>
  <c r="AL12" i="3"/>
  <c r="AZ68" i="3"/>
  <c r="AL33" i="3"/>
  <c r="AZ33" i="3"/>
  <c r="AK38" i="3"/>
  <c r="AL38" i="3" s="1"/>
  <c r="CG95" i="3"/>
  <c r="CP95" i="3"/>
  <c r="CQ95" i="3" s="1"/>
  <c r="CP84" i="3"/>
  <c r="CQ84" i="3" s="1"/>
  <c r="CF96" i="3"/>
  <c r="CG84" i="3"/>
  <c r="AZ69" i="3"/>
  <c r="CP107" i="3"/>
  <c r="CQ107" i="3" s="1"/>
  <c r="CG107" i="3"/>
  <c r="AB19" i="3"/>
  <c r="AC19" i="3" s="1"/>
  <c r="P19" i="3"/>
  <c r="Z82" i="3"/>
  <c r="CP60" i="3"/>
  <c r="CQ60" i="3" s="1"/>
  <c r="CG60" i="3"/>
  <c r="O49" i="3"/>
  <c r="AB45" i="3"/>
  <c r="P45" i="3"/>
  <c r="O38" i="3"/>
  <c r="P38" i="3" s="1"/>
  <c r="P33" i="3"/>
  <c r="AB33" i="3"/>
  <c r="BK46" i="3"/>
  <c r="BE46" i="3"/>
  <c r="BD101" i="3"/>
  <c r="BK101" i="3" s="1"/>
  <c r="BK100" i="3"/>
  <c r="BK12" i="3"/>
  <c r="BE12" i="3"/>
  <c r="Z80" i="3"/>
  <c r="M84" i="3"/>
  <c r="BM96" i="3"/>
  <c r="BM78" i="3"/>
  <c r="AZ71" i="3"/>
  <c r="AL35" i="3"/>
  <c r="AZ35" i="3"/>
  <c r="BS26" i="3"/>
  <c r="BS84" i="3"/>
  <c r="BO96" i="3"/>
  <c r="BS96" i="3" s="1"/>
  <c r="BI66" i="3"/>
  <c r="T78" i="3"/>
  <c r="AP78" i="3" s="1"/>
  <c r="AP66" i="3"/>
  <c r="AB20" i="3"/>
  <c r="AC20" i="3" s="1"/>
  <c r="P20" i="3"/>
  <c r="BI60" i="3"/>
  <c r="AP60" i="3"/>
  <c r="AP84" i="3"/>
  <c r="T96" i="3"/>
  <c r="AP96" i="3" s="1"/>
  <c r="T44" i="3"/>
  <c r="BI32" i="3"/>
  <c r="U32" i="3"/>
  <c r="AP32" i="3"/>
  <c r="AB22" i="3"/>
  <c r="O26" i="3"/>
  <c r="P22" i="3"/>
  <c r="AB37" i="3"/>
  <c r="AC37" i="3" s="1"/>
  <c r="P37" i="3"/>
  <c r="AB17" i="3"/>
  <c r="AC17" i="3" s="1"/>
  <c r="P17" i="3"/>
  <c r="X107" i="3"/>
  <c r="AX107" i="3" s="1"/>
  <c r="W106" i="3"/>
  <c r="W107" i="3" s="1"/>
  <c r="BK22" i="3"/>
  <c r="BE22" i="3"/>
  <c r="Z62" i="3"/>
  <c r="M66" i="3"/>
  <c r="AZ54" i="3"/>
  <c r="AL54" i="3"/>
  <c r="W102" i="3"/>
  <c r="BK29" i="3"/>
  <c r="BE29" i="3"/>
  <c r="BE14" i="3"/>
  <c r="BD15" i="3"/>
  <c r="BK14" i="3"/>
  <c r="BD77" i="3"/>
  <c r="BK76" i="3"/>
  <c r="BK30" i="3"/>
  <c r="BE30" i="3"/>
  <c r="BK34" i="3"/>
  <c r="BE34" i="3"/>
  <c r="BD112" i="3"/>
  <c r="BK111" i="3"/>
  <c r="AZ45" i="3"/>
  <c r="AK49" i="3"/>
  <c r="AL45" i="3"/>
  <c r="CG43" i="3"/>
  <c r="CP43" i="3"/>
  <c r="CQ43" i="3" s="1"/>
  <c r="AZ57" i="3"/>
  <c r="P12" i="3"/>
  <c r="AB12" i="3"/>
  <c r="AC12" i="3" s="1"/>
  <c r="U43" i="3"/>
  <c r="AP43" i="3"/>
  <c r="BI43" i="3"/>
  <c r="AI78" i="3"/>
  <c r="AI96" i="3"/>
  <c r="BD107" i="3"/>
  <c r="BK107" i="3" s="1"/>
  <c r="BK106" i="3"/>
  <c r="AZ73" i="3"/>
  <c r="AK77" i="3"/>
  <c r="BS32" i="3"/>
  <c r="BO44" i="3"/>
  <c r="BS44" i="3" s="1"/>
  <c r="P46" i="3"/>
  <c r="AB46" i="3"/>
  <c r="AC46" i="3" s="1"/>
  <c r="AB11" i="3"/>
  <c r="P11" i="3"/>
  <c r="O15" i="3"/>
  <c r="W108" i="3"/>
  <c r="CP55" i="3"/>
  <c r="CQ55" i="3" s="1"/>
  <c r="CG55" i="3"/>
  <c r="BY78" i="3"/>
  <c r="BZ78" i="3" s="1"/>
  <c r="BZ66" i="3"/>
  <c r="CS90" i="3"/>
  <c r="CT90" i="3" s="1"/>
  <c r="CN90" i="3"/>
  <c r="AZ64" i="3"/>
  <c r="CF27" i="3"/>
  <c r="CG15" i="3"/>
  <c r="CP15" i="3"/>
  <c r="CQ15" i="3" s="1"/>
  <c r="BI26" i="3"/>
  <c r="U26" i="3"/>
  <c r="AP26" i="3"/>
  <c r="BY44" i="3"/>
  <c r="BZ44" i="3" s="1"/>
  <c r="BZ32" i="3"/>
  <c r="CS107" i="3"/>
  <c r="CT107" i="3" s="1"/>
  <c r="CN107" i="3"/>
  <c r="AP21" i="3"/>
  <c r="U21" i="3"/>
  <c r="BI21" i="3"/>
  <c r="AB42" i="3"/>
  <c r="AC42" i="3" s="1"/>
  <c r="P42" i="3"/>
  <c r="AB108" i="3"/>
  <c r="AB112" i="3" s="1"/>
  <c r="O112" i="3"/>
  <c r="BK17" i="3"/>
  <c r="BE17" i="3"/>
  <c r="AL28" i="3"/>
  <c r="AK32" i="3"/>
  <c r="AZ28" i="3"/>
  <c r="AB13" i="3"/>
  <c r="AC13" i="3" s="1"/>
  <c r="P13" i="3"/>
  <c r="CS72" i="3"/>
  <c r="CT72" i="3" s="1"/>
  <c r="CN72" i="3"/>
  <c r="CS26" i="3"/>
  <c r="CT26" i="3" s="1"/>
  <c r="CN26" i="3"/>
  <c r="BK50" i="3"/>
  <c r="BE50" i="3"/>
  <c r="BK42" i="3"/>
  <c r="BE42" i="3"/>
  <c r="BD43" i="3"/>
  <c r="BK16" i="3"/>
  <c r="BE16" i="3"/>
  <c r="Z87" i="3"/>
  <c r="Z86" i="3"/>
  <c r="AZ13" i="3"/>
  <c r="AL13" i="3"/>
  <c r="AZ85" i="3"/>
  <c r="AK90" i="3"/>
  <c r="CP38" i="3"/>
  <c r="CQ38" i="3" s="1"/>
  <c r="CG38" i="3"/>
  <c r="AL22" i="3"/>
  <c r="AZ22" i="3"/>
  <c r="AK26" i="3"/>
  <c r="AL26" i="3" s="1"/>
  <c r="AL41" i="3"/>
  <c r="AZ41" i="3"/>
  <c r="AK84" i="3"/>
  <c r="AZ80" i="3"/>
  <c r="BS77" i="3"/>
  <c r="AB102" i="3"/>
  <c r="AB107" i="3" s="1"/>
  <c r="O107" i="3"/>
  <c r="AB30" i="3"/>
  <c r="AC30" i="3" s="1"/>
  <c r="P30" i="3"/>
  <c r="X55" i="3"/>
  <c r="W54" i="3"/>
  <c r="W55" i="3" s="1"/>
  <c r="BK18" i="3"/>
  <c r="BE18" i="3"/>
  <c r="BS101" i="3"/>
  <c r="BO113" i="3"/>
  <c r="U49" i="3"/>
  <c r="T61" i="3"/>
  <c r="AP61" i="3" s="1"/>
  <c r="BI49" i="3"/>
  <c r="X50" i="3"/>
  <c r="AP49" i="3"/>
  <c r="AQ49" i="3" s="1"/>
  <c r="X39" i="3"/>
  <c r="AP38" i="3"/>
  <c r="BI38" i="3"/>
  <c r="U38" i="3"/>
  <c r="AB14" i="3"/>
  <c r="AC14" i="3" s="1"/>
  <c r="P14" i="3"/>
  <c r="BY96" i="3"/>
  <c r="BZ96" i="3" s="1"/>
  <c r="BZ84" i="3"/>
  <c r="CN43" i="3"/>
  <c r="CS43" i="3"/>
  <c r="CT43" i="3" s="1"/>
  <c r="BD49" i="3"/>
  <c r="BE48" i="3"/>
  <c r="BK48" i="3"/>
  <c r="BE31" i="3"/>
  <c r="BD32" i="3"/>
  <c r="BK31" i="3"/>
  <c r="BK20" i="3"/>
  <c r="BE20" i="3"/>
  <c r="BD21" i="3"/>
  <c r="Z89" i="3"/>
  <c r="Z63" i="3"/>
  <c r="Z59" i="3"/>
  <c r="Z46" i="3"/>
  <c r="Z49" i="3" s="1"/>
  <c r="Z50" i="3"/>
  <c r="M55" i="3"/>
  <c r="AL20" i="3"/>
  <c r="AZ20" i="3"/>
  <c r="AZ102" i="3"/>
  <c r="AZ107" i="3" s="1"/>
  <c r="AK107" i="3"/>
  <c r="AZ11" i="3"/>
  <c r="AK15" i="3"/>
  <c r="AL11" i="3"/>
  <c r="AZ17" i="3"/>
  <c r="AL17" i="3"/>
  <c r="AZ29" i="3"/>
  <c r="AL29" i="3"/>
  <c r="BS72" i="3"/>
  <c r="BS49" i="3"/>
  <c r="BO61" i="3"/>
  <c r="BS61" i="3" s="1"/>
  <c r="O60" i="3"/>
  <c r="AB56" i="3"/>
  <c r="AB60" i="3" s="1"/>
  <c r="W59" i="3"/>
  <c r="W60" i="3" s="1"/>
  <c r="W61" i="3" s="1"/>
  <c r="X60" i="3"/>
  <c r="X61" i="3" s="1"/>
  <c r="AB80" i="3"/>
  <c r="AB84" i="3" s="1"/>
  <c r="O84" i="3"/>
  <c r="BK40" i="3"/>
  <c r="BE40" i="3"/>
  <c r="BK71" i="3"/>
  <c r="BD72" i="3"/>
  <c r="BK72" i="3" s="1"/>
  <c r="BD60" i="3"/>
  <c r="BK59" i="3"/>
  <c r="Z85" i="3"/>
  <c r="M90" i="3"/>
  <c r="AL40" i="3"/>
  <c r="AZ40" i="3"/>
  <c r="AB35" i="3"/>
  <c r="AC35" i="3" s="1"/>
  <c r="P35" i="3"/>
  <c r="BK23" i="3"/>
  <c r="BE23" i="3"/>
  <c r="Z53" i="3"/>
  <c r="CP112" i="3"/>
  <c r="CQ112" i="3" s="1"/>
  <c r="CG112" i="3"/>
  <c r="CG21" i="3"/>
  <c r="CP21" i="3"/>
  <c r="CQ21" i="3" s="1"/>
  <c r="CP101" i="3"/>
  <c r="CQ101" i="3" s="1"/>
  <c r="CG101" i="3"/>
  <c r="CF113" i="3"/>
  <c r="AL30" i="3"/>
  <c r="AZ30" i="3"/>
  <c r="AZ34" i="3"/>
  <c r="AL34" i="3"/>
  <c r="AL25" i="3"/>
  <c r="AZ25" i="3"/>
  <c r="BO78" i="3"/>
  <c r="BS66" i="3"/>
  <c r="BS38" i="3"/>
  <c r="AB41" i="3"/>
  <c r="AC41" i="3" s="1"/>
  <c r="P41" i="3"/>
  <c r="BI112" i="3"/>
  <c r="AP112" i="3"/>
  <c r="Q52" i="3"/>
  <c r="V52" i="3"/>
  <c r="L51" i="3"/>
  <c r="U51" i="3"/>
  <c r="BA51" i="3"/>
  <c r="BH51" i="3"/>
  <c r="O101" i="3"/>
  <c r="AB97" i="3"/>
  <c r="AB101" i="3" s="1"/>
  <c r="BQ78" i="3"/>
  <c r="AB36" i="3"/>
  <c r="AC36" i="3" s="1"/>
  <c r="P36" i="3"/>
  <c r="BI79" i="3"/>
  <c r="BI77" i="3"/>
  <c r="AP77" i="3"/>
  <c r="CS49" i="3"/>
  <c r="CT49" i="3" s="1"/>
  <c r="CN49" i="3"/>
  <c r="CM61" i="3"/>
  <c r="BK33" i="3"/>
  <c r="BE33" i="3"/>
  <c r="BD95" i="3"/>
  <c r="BK94" i="3"/>
  <c r="BD66" i="3"/>
  <c r="BK66" i="3" s="1"/>
  <c r="BK65" i="3"/>
  <c r="AZ58" i="3"/>
  <c r="CP72" i="3"/>
  <c r="CQ72" i="3" s="1"/>
  <c r="CG72" i="3"/>
  <c r="CP77" i="3"/>
  <c r="CQ77" i="3" s="1"/>
  <c r="CG77" i="3"/>
  <c r="AK12" i="5"/>
  <c r="AK17" i="5"/>
  <c r="AK34" i="5"/>
  <c r="X47" i="5"/>
  <c r="AK20" i="5"/>
  <c r="AK22" i="5"/>
  <c r="AK83" i="5"/>
  <c r="AK67" i="5"/>
  <c r="AK65" i="5"/>
  <c r="AK39" i="5"/>
  <c r="AK47" i="5"/>
  <c r="AK29" i="5"/>
  <c r="AK40" i="5"/>
  <c r="AK16" i="5"/>
  <c r="X46" i="5"/>
  <c r="AK18" i="5"/>
  <c r="AK13" i="5"/>
  <c r="AK30" i="5"/>
  <c r="AK14" i="5"/>
  <c r="AK23" i="5"/>
  <c r="AK36" i="5"/>
  <c r="AK28" i="5"/>
  <c r="AK42" i="5"/>
  <c r="AK24" i="5"/>
  <c r="AK46" i="5"/>
  <c r="AK35" i="5"/>
  <c r="AK74" i="5"/>
  <c r="AK56" i="5"/>
  <c r="AK33" i="5"/>
  <c r="AK37" i="5"/>
  <c r="AK59" i="5"/>
  <c r="AK58" i="5"/>
  <c r="AK52" i="5"/>
  <c r="AK69" i="5"/>
  <c r="AK57" i="5"/>
  <c r="AK53" i="5"/>
  <c r="AK51" i="5"/>
  <c r="AK45" i="5"/>
  <c r="AK62" i="5"/>
  <c r="AK63" i="5"/>
  <c r="AK88" i="5"/>
  <c r="AK76" i="5"/>
  <c r="AK103" i="5"/>
  <c r="AK54" i="5"/>
  <c r="AK93" i="5"/>
  <c r="AK108" i="5"/>
  <c r="AK98" i="5"/>
  <c r="AK86" i="5"/>
  <c r="AK75" i="5"/>
  <c r="AK109" i="5"/>
  <c r="AK99" i="5"/>
  <c r="AK82" i="5"/>
  <c r="AK104" i="5"/>
  <c r="AK81" i="5"/>
  <c r="AK110" i="5"/>
  <c r="AK100" i="5"/>
  <c r="AK89" i="5"/>
  <c r="AK68" i="5"/>
  <c r="AK70" i="5"/>
  <c r="AK92" i="5"/>
  <c r="AK102" i="5"/>
  <c r="AK87" i="5"/>
  <c r="AK73" i="5"/>
  <c r="AK105" i="5"/>
  <c r="AK94" i="5"/>
  <c r="AK106" i="5"/>
  <c r="AK80" i="5"/>
  <c r="AK85" i="5"/>
  <c r="AK97" i="5"/>
  <c r="AK91" i="5"/>
  <c r="AK111" i="5"/>
  <c r="CI47" i="5"/>
  <c r="K47" i="5"/>
  <c r="CK46" i="5"/>
  <c r="AJ47" i="5"/>
  <c r="BU47" i="5"/>
  <c r="AO47" i="5"/>
  <c r="AF47" i="5" s="1"/>
  <c r="G47" i="5"/>
  <c r="BW46" i="5"/>
  <c r="CD47" i="5"/>
  <c r="K46" i="5"/>
  <c r="G46" i="5"/>
  <c r="CB46" i="5"/>
  <c r="AT47" i="5"/>
  <c r="AJ46" i="5"/>
  <c r="CL46" i="5"/>
  <c r="I46" i="5"/>
  <c r="BU46" i="5"/>
  <c r="CD46" i="5"/>
  <c r="I47" i="5"/>
  <c r="BC47" i="5"/>
  <c r="CB47" i="5"/>
  <c r="J46" i="5"/>
  <c r="BC46" i="5"/>
  <c r="CA46" i="5"/>
  <c r="CE46" i="5"/>
  <c r="CY46" i="5"/>
  <c r="J47" i="5"/>
  <c r="S47" i="5"/>
  <c r="BT47" i="5"/>
  <c r="BX47" i="5"/>
  <c r="CH47" i="5"/>
  <c r="CL47" i="5"/>
  <c r="AT46" i="5"/>
  <c r="BX46" i="5"/>
  <c r="H47" i="5"/>
  <c r="CA47" i="5"/>
  <c r="CE47" i="5"/>
  <c r="H46" i="5"/>
  <c r="AO46" i="5"/>
  <c r="BT46" i="5"/>
  <c r="CH46" i="5"/>
  <c r="S46" i="5"/>
  <c r="CI46" i="5"/>
  <c r="BW47" i="5"/>
  <c r="CK47" i="5"/>
  <c r="K112" i="5"/>
  <c r="CL111" i="5"/>
  <c r="CK111" i="5"/>
  <c r="CH111" i="5"/>
  <c r="CB111" i="5"/>
  <c r="CA111" i="5"/>
  <c r="BW111" i="5"/>
  <c r="BU111" i="5"/>
  <c r="BP111" i="5"/>
  <c r="BL111" i="5"/>
  <c r="BG112" i="5"/>
  <c r="BG113" i="5" s="1"/>
  <c r="BC112" i="5"/>
  <c r="BC113" i="5" s="1"/>
  <c r="AS111" i="5"/>
  <c r="AO111" i="5"/>
  <c r="AF111" i="5" s="1"/>
  <c r="AJ111" i="5"/>
  <c r="AI111" i="5"/>
  <c r="S111" i="5"/>
  <c r="K111" i="5"/>
  <c r="J111" i="5"/>
  <c r="I111" i="5"/>
  <c r="H111" i="5"/>
  <c r="G111" i="5"/>
  <c r="CL110" i="5"/>
  <c r="CK110" i="5"/>
  <c r="CI110" i="5"/>
  <c r="CH110" i="5"/>
  <c r="CE110" i="5"/>
  <c r="CD110" i="5"/>
  <c r="CB110" i="5"/>
  <c r="CA110" i="5"/>
  <c r="BX110" i="5"/>
  <c r="BW110" i="5"/>
  <c r="BU110" i="5"/>
  <c r="BT110" i="5"/>
  <c r="BP110" i="5"/>
  <c r="BN110" i="5"/>
  <c r="BL110" i="5"/>
  <c r="BF110" i="5"/>
  <c r="AT110" i="5"/>
  <c r="AS110" i="5"/>
  <c r="AO110" i="5"/>
  <c r="AN110" i="5"/>
  <c r="AJ110" i="5"/>
  <c r="AI110" i="5"/>
  <c r="S110" i="5"/>
  <c r="R110" i="5"/>
  <c r="K110" i="5"/>
  <c r="J110" i="5"/>
  <c r="I110" i="5"/>
  <c r="H110" i="5"/>
  <c r="G110" i="5"/>
  <c r="CL109" i="5"/>
  <c r="CK109" i="5"/>
  <c r="CI109" i="5"/>
  <c r="CH109" i="5"/>
  <c r="CE109" i="5"/>
  <c r="CD109" i="5"/>
  <c r="CB109" i="5"/>
  <c r="CA109" i="5"/>
  <c r="BX109" i="5"/>
  <c r="BW109" i="5"/>
  <c r="BU109" i="5"/>
  <c r="BT109" i="5"/>
  <c r="BP109" i="5"/>
  <c r="BN109" i="5"/>
  <c r="BL109" i="5"/>
  <c r="BF109" i="5"/>
  <c r="AT109" i="5"/>
  <c r="AS109" i="5"/>
  <c r="AO109" i="5"/>
  <c r="AF109" i="5" s="1"/>
  <c r="AN109" i="5"/>
  <c r="AJ109" i="5"/>
  <c r="AI109" i="5"/>
  <c r="S109" i="5"/>
  <c r="R109" i="5"/>
  <c r="K109" i="5"/>
  <c r="J109" i="5"/>
  <c r="I109" i="5"/>
  <c r="H109" i="5"/>
  <c r="G109" i="5"/>
  <c r="CL108" i="5"/>
  <c r="CK108" i="5"/>
  <c r="CI108" i="5"/>
  <c r="CH108" i="5"/>
  <c r="CE108" i="5"/>
  <c r="CD108" i="5"/>
  <c r="CB108" i="5"/>
  <c r="CA108" i="5"/>
  <c r="BX108" i="5"/>
  <c r="BW108" i="5"/>
  <c r="BU108" i="5"/>
  <c r="BT108" i="5"/>
  <c r="BP108" i="5"/>
  <c r="BN108" i="5"/>
  <c r="BL108" i="5"/>
  <c r="BF108" i="5"/>
  <c r="AT108" i="5"/>
  <c r="AS108" i="5"/>
  <c r="AO108" i="5"/>
  <c r="AF108" i="5" s="1"/>
  <c r="AN108" i="5"/>
  <c r="AJ108" i="5"/>
  <c r="AI108" i="5"/>
  <c r="S108" i="5"/>
  <c r="R108" i="5"/>
  <c r="K108" i="5"/>
  <c r="J108" i="5"/>
  <c r="I108" i="5"/>
  <c r="H108" i="5"/>
  <c r="G108" i="5"/>
  <c r="CX107" i="5"/>
  <c r="CK106" i="5"/>
  <c r="CE106" i="5"/>
  <c r="BT106" i="5"/>
  <c r="BN106" i="5"/>
  <c r="BF106" i="5"/>
  <c r="BF107" i="5" s="1"/>
  <c r="AS106" i="5"/>
  <c r="S106" i="5"/>
  <c r="J106" i="5"/>
  <c r="CW105" i="5"/>
  <c r="CL105" i="5"/>
  <c r="CK105" i="5"/>
  <c r="CI105" i="5"/>
  <c r="CE105" i="5"/>
  <c r="CD105" i="5"/>
  <c r="CA105" i="5"/>
  <c r="BX105" i="5"/>
  <c r="BU105" i="5"/>
  <c r="BT105" i="5"/>
  <c r="BN105" i="5"/>
  <c r="BF105" i="5"/>
  <c r="AT105" i="5"/>
  <c r="AS105" i="5"/>
  <c r="AN105" i="5"/>
  <c r="AJ105" i="5"/>
  <c r="S105" i="5"/>
  <c r="K105" i="5"/>
  <c r="J105" i="5"/>
  <c r="I105" i="5"/>
  <c r="H105" i="5"/>
  <c r="G105" i="5"/>
  <c r="CW104" i="5"/>
  <c r="CL104" i="5"/>
  <c r="CK104" i="5"/>
  <c r="CI104" i="5"/>
  <c r="CH104" i="5"/>
  <c r="CE104" i="5"/>
  <c r="CD104" i="5"/>
  <c r="CB104" i="5"/>
  <c r="CA104" i="5"/>
  <c r="BX104" i="5"/>
  <c r="BW104" i="5"/>
  <c r="BU104" i="5"/>
  <c r="BT104" i="5"/>
  <c r="BP104" i="5"/>
  <c r="BN104" i="5"/>
  <c r="BL104" i="5"/>
  <c r="BF104" i="5"/>
  <c r="AT104" i="5"/>
  <c r="AS104" i="5"/>
  <c r="AO104" i="5"/>
  <c r="AF104" i="5" s="1"/>
  <c r="AN104" i="5"/>
  <c r="AJ104" i="5"/>
  <c r="AI104" i="5"/>
  <c r="S104" i="5"/>
  <c r="R104" i="5"/>
  <c r="K104" i="5"/>
  <c r="J104" i="5"/>
  <c r="I104" i="5"/>
  <c r="H104" i="5"/>
  <c r="G104" i="5"/>
  <c r="CL103" i="5"/>
  <c r="CK103" i="5"/>
  <c r="CI103" i="5"/>
  <c r="CH103" i="5"/>
  <c r="CE103" i="5"/>
  <c r="CD103" i="5"/>
  <c r="CB103" i="5"/>
  <c r="CA103" i="5"/>
  <c r="BX103" i="5"/>
  <c r="BW103" i="5"/>
  <c r="BU103" i="5"/>
  <c r="BT103" i="5"/>
  <c r="BP103" i="5"/>
  <c r="BN103" i="5"/>
  <c r="BL103" i="5"/>
  <c r="BF103" i="5"/>
  <c r="AT103" i="5"/>
  <c r="AS103" i="5"/>
  <c r="AO103" i="5"/>
  <c r="AF103" i="5" s="1"/>
  <c r="AN103" i="5"/>
  <c r="AJ103" i="5"/>
  <c r="AI103" i="5"/>
  <c r="S103" i="5"/>
  <c r="R103" i="5"/>
  <c r="K103" i="5"/>
  <c r="J103" i="5"/>
  <c r="I103" i="5"/>
  <c r="H103" i="5"/>
  <c r="G103" i="5"/>
  <c r="CL102" i="5"/>
  <c r="CK102" i="5"/>
  <c r="CI102" i="5"/>
  <c r="CH102" i="5"/>
  <c r="CE102" i="5"/>
  <c r="CD102" i="5"/>
  <c r="CB102" i="5"/>
  <c r="CA102" i="5"/>
  <c r="BX102" i="5"/>
  <c r="BW102" i="5"/>
  <c r="BU102" i="5"/>
  <c r="BT102" i="5"/>
  <c r="BP102" i="5"/>
  <c r="BN102" i="5"/>
  <c r="BL102" i="5"/>
  <c r="BF102" i="5"/>
  <c r="AT102" i="5"/>
  <c r="AS102" i="5"/>
  <c r="AO102" i="5"/>
  <c r="AF102" i="5" s="1"/>
  <c r="AN102" i="5"/>
  <c r="AJ102" i="5"/>
  <c r="AI102" i="5"/>
  <c r="S102" i="5"/>
  <c r="R102" i="5"/>
  <c r="K102" i="5"/>
  <c r="J102" i="5"/>
  <c r="I102" i="5"/>
  <c r="H102" i="5"/>
  <c r="G102" i="5"/>
  <c r="CW101" i="5"/>
  <c r="CL100" i="5"/>
  <c r="CK100" i="5"/>
  <c r="CI100" i="5"/>
  <c r="CH100" i="5"/>
  <c r="CE100" i="5"/>
  <c r="CD100" i="5"/>
  <c r="CB100" i="5"/>
  <c r="CA100" i="5"/>
  <c r="BX100" i="5"/>
  <c r="BW100" i="5"/>
  <c r="BU100" i="5"/>
  <c r="BT100" i="5"/>
  <c r="BP100" i="5"/>
  <c r="BN100" i="5"/>
  <c r="BL100" i="5"/>
  <c r="BG101" i="5"/>
  <c r="BF100" i="5"/>
  <c r="BF101" i="5" s="1"/>
  <c r="BC101" i="5"/>
  <c r="AT100" i="5"/>
  <c r="AS100" i="5"/>
  <c r="AG100" i="5"/>
  <c r="AO100" i="5"/>
  <c r="AF100" i="5" s="1"/>
  <c r="AN100" i="5"/>
  <c r="AJ100" i="5"/>
  <c r="AI100" i="5"/>
  <c r="S100" i="5"/>
  <c r="R100" i="5"/>
  <c r="K100" i="5"/>
  <c r="J100" i="5"/>
  <c r="I100" i="5"/>
  <c r="H100" i="5"/>
  <c r="G100" i="5"/>
  <c r="CL99" i="5"/>
  <c r="CK99" i="5"/>
  <c r="CI99" i="5"/>
  <c r="CH99" i="5"/>
  <c r="CE99" i="5"/>
  <c r="CD99" i="5"/>
  <c r="CB99" i="5"/>
  <c r="CA99" i="5"/>
  <c r="BX99" i="5"/>
  <c r="BW99" i="5"/>
  <c r="BU99" i="5"/>
  <c r="BT99" i="5"/>
  <c r="BP99" i="5"/>
  <c r="BN99" i="5"/>
  <c r="BL99" i="5"/>
  <c r="BF99" i="5"/>
  <c r="AT99" i="5"/>
  <c r="AS99" i="5"/>
  <c r="AG99" i="5"/>
  <c r="AO99" i="5"/>
  <c r="AF99" i="5" s="1"/>
  <c r="AN99" i="5"/>
  <c r="AJ99" i="5"/>
  <c r="AI99" i="5"/>
  <c r="S99" i="5"/>
  <c r="R99" i="5"/>
  <c r="K99" i="5"/>
  <c r="J99" i="5"/>
  <c r="I99" i="5"/>
  <c r="H99" i="5"/>
  <c r="G99" i="5"/>
  <c r="CL98" i="5"/>
  <c r="CK98" i="5"/>
  <c r="CI98" i="5"/>
  <c r="CH98" i="5"/>
  <c r="CE98" i="5"/>
  <c r="CD98" i="5"/>
  <c r="CB98" i="5"/>
  <c r="CA98" i="5"/>
  <c r="BX98" i="5"/>
  <c r="BW98" i="5"/>
  <c r="BU98" i="5"/>
  <c r="BT98" i="5"/>
  <c r="BP98" i="5"/>
  <c r="BN98" i="5"/>
  <c r="BL98" i="5"/>
  <c r="BF98" i="5"/>
  <c r="AT98" i="5"/>
  <c r="AS98" i="5"/>
  <c r="AG98" i="5"/>
  <c r="AO98" i="5"/>
  <c r="AF98" i="5" s="1"/>
  <c r="AN98" i="5"/>
  <c r="AJ98" i="5"/>
  <c r="AI98" i="5"/>
  <c r="S98" i="5"/>
  <c r="R98" i="5"/>
  <c r="K98" i="5"/>
  <c r="J98" i="5"/>
  <c r="I98" i="5"/>
  <c r="H98" i="5"/>
  <c r="G98" i="5"/>
  <c r="CL97" i="5"/>
  <c r="CK97" i="5"/>
  <c r="CI97" i="5"/>
  <c r="CH97" i="5"/>
  <c r="CE97" i="5"/>
  <c r="CD97" i="5"/>
  <c r="CB97" i="5"/>
  <c r="CA97" i="5"/>
  <c r="BX97" i="5"/>
  <c r="BW97" i="5"/>
  <c r="BU97" i="5"/>
  <c r="BT97" i="5"/>
  <c r="BP97" i="5"/>
  <c r="BN97" i="5"/>
  <c r="BL97" i="5"/>
  <c r="BF97" i="5"/>
  <c r="AT97" i="5"/>
  <c r="AS97" i="5"/>
  <c r="AO97" i="5"/>
  <c r="AF97" i="5" s="1"/>
  <c r="AN97" i="5"/>
  <c r="AJ97" i="5"/>
  <c r="AI97" i="5"/>
  <c r="S97" i="5"/>
  <c r="R97" i="5"/>
  <c r="K97" i="5"/>
  <c r="J97" i="5"/>
  <c r="I97" i="5"/>
  <c r="H97" i="5"/>
  <c r="G97" i="5"/>
  <c r="AX95" i="3" l="1"/>
  <c r="AX112" i="3"/>
  <c r="AX77" i="3"/>
  <c r="AX78" i="3" s="1"/>
  <c r="AG90" i="3"/>
  <c r="AU90" i="3" s="1"/>
  <c r="AG107" i="3"/>
  <c r="AU107" i="3" s="1"/>
  <c r="AG112" i="3"/>
  <c r="AU112" i="3" s="1"/>
  <c r="AI79" i="3"/>
  <c r="AZ49" i="3"/>
  <c r="BM79" i="3"/>
  <c r="AX113" i="3"/>
  <c r="O78" i="3"/>
  <c r="Z77" i="3"/>
  <c r="AE77" i="3" s="1"/>
  <c r="AS77" i="3" s="1"/>
  <c r="O96" i="3"/>
  <c r="Z84" i="3"/>
  <c r="AE84" i="3" s="1"/>
  <c r="AG95" i="3"/>
  <c r="AU95" i="3" s="1"/>
  <c r="AG77" i="3"/>
  <c r="AU77" i="3" s="1"/>
  <c r="AE95" i="3"/>
  <c r="AZ84" i="3"/>
  <c r="BQ79" i="3"/>
  <c r="AG101" i="3"/>
  <c r="AU101" i="3" s="1"/>
  <c r="AB113" i="3"/>
  <c r="AZ90" i="3"/>
  <c r="BD44" i="3"/>
  <c r="BK43" i="3"/>
  <c r="BE43" i="3"/>
  <c r="CP27" i="3"/>
  <c r="CQ27" i="3" s="1"/>
  <c r="CG27" i="3"/>
  <c r="CF79" i="3"/>
  <c r="BK77" i="3"/>
  <c r="BD78" i="3"/>
  <c r="P21" i="3"/>
  <c r="AZ72" i="3"/>
  <c r="CS61" i="3"/>
  <c r="CT61" i="3" s="1"/>
  <c r="CN61" i="3"/>
  <c r="BS78" i="3"/>
  <c r="BK60" i="3"/>
  <c r="BD61" i="3"/>
  <c r="BK61" i="3" s="1"/>
  <c r="AK27" i="3"/>
  <c r="AL15" i="3"/>
  <c r="AE49" i="3"/>
  <c r="BK21" i="3"/>
  <c r="BE21" i="3"/>
  <c r="BK32" i="3"/>
  <c r="BE32" i="3"/>
  <c r="BK49" i="3"/>
  <c r="BE49" i="3"/>
  <c r="AX55" i="3"/>
  <c r="BS113" i="3"/>
  <c r="AK96" i="3"/>
  <c r="AZ26" i="3"/>
  <c r="AQ26" i="3"/>
  <c r="O27" i="3"/>
  <c r="P15" i="3"/>
  <c r="AL49" i="3"/>
  <c r="AK61" i="3"/>
  <c r="Z66" i="3"/>
  <c r="AZ32" i="3"/>
  <c r="AQ32" i="3"/>
  <c r="AE72" i="3"/>
  <c r="AS72" i="3" s="1"/>
  <c r="AB21" i="3"/>
  <c r="AC16" i="3"/>
  <c r="CP61" i="3"/>
  <c r="CQ61" i="3" s="1"/>
  <c r="CG61" i="3"/>
  <c r="CS113" i="3"/>
  <c r="CT113" i="3" s="1"/>
  <c r="CN113" i="3"/>
  <c r="AZ66" i="3"/>
  <c r="T79" i="3"/>
  <c r="AP79" i="3" s="1"/>
  <c r="U27" i="3"/>
  <c r="AP27" i="3"/>
  <c r="BZ27" i="3"/>
  <c r="BY79" i="3"/>
  <c r="BZ79" i="3" s="1"/>
  <c r="AS95" i="3"/>
  <c r="P32" i="3"/>
  <c r="O44" i="3"/>
  <c r="P44" i="3" s="1"/>
  <c r="CP78" i="3"/>
  <c r="CQ78" i="3" s="1"/>
  <c r="CG78" i="3"/>
  <c r="BK38" i="3"/>
  <c r="BE38" i="3"/>
  <c r="L52" i="3"/>
  <c r="U52" i="3"/>
  <c r="V53" i="3"/>
  <c r="BH52" i="3"/>
  <c r="Q53" i="3"/>
  <c r="AQ38" i="3"/>
  <c r="AZ38" i="3"/>
  <c r="AL32" i="3"/>
  <c r="AK44" i="3"/>
  <c r="CN44" i="3"/>
  <c r="CS44" i="3"/>
  <c r="CT44" i="3" s="1"/>
  <c r="O113" i="3"/>
  <c r="Z90" i="3"/>
  <c r="AG60" i="3"/>
  <c r="AB15" i="3"/>
  <c r="AC11" i="3"/>
  <c r="P26" i="3"/>
  <c r="AS84" i="3"/>
  <c r="M96" i="3"/>
  <c r="AB38" i="3"/>
  <c r="AC33" i="3"/>
  <c r="AC45" i="3"/>
  <c r="AB49" i="3"/>
  <c r="CP96" i="3"/>
  <c r="CQ96" i="3" s="1"/>
  <c r="CG96" i="3"/>
  <c r="CN27" i="3"/>
  <c r="CS27" i="3"/>
  <c r="CT27" i="3" s="1"/>
  <c r="CM79" i="3"/>
  <c r="AG72" i="3"/>
  <c r="AU72" i="3" s="1"/>
  <c r="AX96" i="3"/>
  <c r="BS27" i="3"/>
  <c r="BO79" i="3"/>
  <c r="BD27" i="3"/>
  <c r="BK26" i="3"/>
  <c r="BE26" i="3"/>
  <c r="AX60" i="3"/>
  <c r="AB78" i="3"/>
  <c r="AG66" i="3"/>
  <c r="AU66" i="3" s="1"/>
  <c r="AS49" i="3"/>
  <c r="M61" i="3"/>
  <c r="AN49" i="3"/>
  <c r="BD96" i="3"/>
  <c r="BK96" i="3" s="1"/>
  <c r="BK95" i="3"/>
  <c r="BJ51" i="3"/>
  <c r="BE51" i="3"/>
  <c r="BB51" i="3"/>
  <c r="BA52" i="3"/>
  <c r="P51" i="3"/>
  <c r="Y51" i="3"/>
  <c r="CP113" i="3"/>
  <c r="CQ113" i="3" s="1"/>
  <c r="CG113" i="3"/>
  <c r="AB96" i="3"/>
  <c r="AG84" i="3"/>
  <c r="AU84" i="3" s="1"/>
  <c r="AU60" i="3"/>
  <c r="Z55" i="3"/>
  <c r="AE55" i="3" s="1"/>
  <c r="AS55" i="3" s="1"/>
  <c r="AQ21" i="3"/>
  <c r="AZ21" i="3"/>
  <c r="AQ43" i="3"/>
  <c r="AZ43" i="3"/>
  <c r="BK112" i="3"/>
  <c r="BD113" i="3"/>
  <c r="BK113" i="3" s="1"/>
  <c r="BK15" i="3"/>
  <c r="BE15" i="3"/>
  <c r="M78" i="3"/>
  <c r="AB26" i="3"/>
  <c r="AC22" i="3"/>
  <c r="AP44" i="3"/>
  <c r="AQ44" i="3" s="1"/>
  <c r="U44" i="3"/>
  <c r="AL44" i="3" s="1"/>
  <c r="P49" i="3"/>
  <c r="O61" i="3"/>
  <c r="CG44" i="3"/>
  <c r="CP44" i="3"/>
  <c r="CQ44" i="3" s="1"/>
  <c r="AB43" i="3"/>
  <c r="AC39" i="3"/>
  <c r="AB55" i="3"/>
  <c r="AG55" i="3" s="1"/>
  <c r="AU55" i="3" s="1"/>
  <c r="AC50" i="3"/>
  <c r="AK113" i="3"/>
  <c r="AZ113" i="3"/>
  <c r="AK78" i="3"/>
  <c r="CS78" i="3"/>
  <c r="CT78" i="3" s="1"/>
  <c r="CN78" i="3"/>
  <c r="AZ15" i="3"/>
  <c r="AQ15" i="3"/>
  <c r="CS96" i="3"/>
  <c r="CT96" i="3" s="1"/>
  <c r="CN96" i="3"/>
  <c r="AB32" i="3"/>
  <c r="AC28" i="3"/>
  <c r="Z60" i="3"/>
  <c r="AE60" i="3" s="1"/>
  <c r="AS60" i="3" s="1"/>
  <c r="AE99" i="5"/>
  <c r="AE103" i="5"/>
  <c r="AE98" i="5"/>
  <c r="F100" i="5"/>
  <c r="F108" i="5"/>
  <c r="F104" i="5"/>
  <c r="F111" i="5"/>
  <c r="F103" i="5"/>
  <c r="F110" i="5"/>
  <c r="F102" i="5"/>
  <c r="F105" i="5"/>
  <c r="F109" i="5"/>
  <c r="AE100" i="5"/>
  <c r="AE108" i="5"/>
  <c r="AE109" i="5"/>
  <c r="AE110" i="5"/>
  <c r="F97" i="5"/>
  <c r="AE97" i="5"/>
  <c r="F98" i="5"/>
  <c r="F99" i="5"/>
  <c r="N47" i="5"/>
  <c r="AA47" i="5" s="1"/>
  <c r="AY47" i="5"/>
  <c r="CP47" i="5"/>
  <c r="CQ47" i="5" s="1"/>
  <c r="AG46" i="5"/>
  <c r="BZ47" i="5"/>
  <c r="CO47" i="5"/>
  <c r="CS47" i="5"/>
  <c r="CP100" i="5"/>
  <c r="CQ100" i="5" s="1"/>
  <c r="BD103" i="5"/>
  <c r="BI103" i="5" s="1"/>
  <c r="O47" i="5"/>
  <c r="N46" i="5"/>
  <c r="BA47" i="5"/>
  <c r="BS47" i="5"/>
  <c r="BD46" i="5"/>
  <c r="BI46" i="5" s="1"/>
  <c r="CY47" i="5"/>
  <c r="BD47" i="5"/>
  <c r="BK47" i="5" s="1"/>
  <c r="CY100" i="5"/>
  <c r="AG108" i="5"/>
  <c r="O46" i="5"/>
  <c r="BS46" i="5"/>
  <c r="CE101" i="5"/>
  <c r="BS100" i="5"/>
  <c r="S101" i="5"/>
  <c r="AJ101" i="5" s="1"/>
  <c r="BN101" i="5"/>
  <c r="CN47" i="5"/>
  <c r="BR46" i="5"/>
  <c r="CS46" i="5"/>
  <c r="AZ47" i="5"/>
  <c r="CR46" i="5"/>
  <c r="CN46" i="5"/>
  <c r="AW46" i="5"/>
  <c r="J112" i="5"/>
  <c r="F47" i="5"/>
  <c r="AV46" i="5"/>
  <c r="AV47" i="5"/>
  <c r="AZ46" i="5"/>
  <c r="CG46" i="5"/>
  <c r="BL101" i="5"/>
  <c r="BP101" i="5"/>
  <c r="BW101" i="5"/>
  <c r="CB101" i="5"/>
  <c r="CH101" i="5"/>
  <c r="CM101" i="5"/>
  <c r="AL47" i="5"/>
  <c r="X98" i="5"/>
  <c r="W98" i="5" s="1"/>
  <c r="BD99" i="5"/>
  <c r="BK99" i="5" s="1"/>
  <c r="BS99" i="5"/>
  <c r="CC99" i="5"/>
  <c r="CG99" i="5" s="1"/>
  <c r="CP99" i="5"/>
  <c r="CQ99" i="5" s="1"/>
  <c r="N104" i="5"/>
  <c r="AA104" i="5" s="1"/>
  <c r="BV105" i="5"/>
  <c r="BZ105" i="5" s="1"/>
  <c r="AG110" i="5"/>
  <c r="AX110" i="5"/>
  <c r="CC100" i="5"/>
  <c r="CG100" i="5" s="1"/>
  <c r="S112" i="5"/>
  <c r="AO112" i="5" s="1"/>
  <c r="BV108" i="5"/>
  <c r="BZ108" i="5" s="1"/>
  <c r="D110" i="5"/>
  <c r="AF46" i="5"/>
  <c r="BR98" i="5"/>
  <c r="CS98" i="5"/>
  <c r="D99" i="5"/>
  <c r="AW47" i="5"/>
  <c r="F46" i="5"/>
  <c r="AL46" i="5"/>
  <c r="CY104" i="5"/>
  <c r="CY105" i="5"/>
  <c r="CH112" i="5"/>
  <c r="N110" i="5"/>
  <c r="BD110" i="5"/>
  <c r="BK110" i="5" s="1"/>
  <c r="D111" i="5"/>
  <c r="AY46" i="5"/>
  <c r="AQ46" i="5"/>
  <c r="M109" i="5"/>
  <c r="CO98" i="5"/>
  <c r="BD97" i="5"/>
  <c r="BK97" i="5" s="1"/>
  <c r="BO101" i="5"/>
  <c r="CA101" i="5"/>
  <c r="CP97" i="5"/>
  <c r="CQ97" i="5" s="1"/>
  <c r="CL101" i="5"/>
  <c r="BD98" i="5"/>
  <c r="BS98" i="5"/>
  <c r="CC98" i="5"/>
  <c r="CG98" i="5" s="1"/>
  <c r="BD102" i="5"/>
  <c r="BK102" i="5" s="1"/>
  <c r="CR102" i="5"/>
  <c r="CO103" i="5"/>
  <c r="BV104" i="5"/>
  <c r="BZ104" i="5" s="1"/>
  <c r="CC104" i="5"/>
  <c r="CG104" i="5" s="1"/>
  <c r="BW112" i="5"/>
  <c r="N109" i="5"/>
  <c r="AA109" i="5" s="1"/>
  <c r="AY109" i="5"/>
  <c r="CR109" i="5"/>
  <c r="AD46" i="5"/>
  <c r="CP46" i="5"/>
  <c r="CQ46" i="5" s="1"/>
  <c r="D47" i="5"/>
  <c r="AY97" i="5"/>
  <c r="N99" i="5"/>
  <c r="AA99" i="5" s="1"/>
  <c r="BR99" i="5"/>
  <c r="BR100" i="5"/>
  <c r="CS100" i="5"/>
  <c r="CJ102" i="5"/>
  <c r="CN102" i="5" s="1"/>
  <c r="N103" i="5"/>
  <c r="AA103" i="5" s="1"/>
  <c r="BV103" i="5"/>
  <c r="BZ103" i="5" s="1"/>
  <c r="AQ47" i="5"/>
  <c r="AD47" i="5"/>
  <c r="D46" i="5"/>
  <c r="CR47" i="5"/>
  <c r="G101" i="5"/>
  <c r="I101" i="5" s="1"/>
  <c r="M99" i="5"/>
  <c r="AG102" i="5"/>
  <c r="CY103" i="5"/>
  <c r="G112" i="5"/>
  <c r="I112" i="5" s="1"/>
  <c r="T112" i="5"/>
  <c r="AK112" i="5" s="1"/>
  <c r="BR109" i="5"/>
  <c r="CS110" i="5"/>
  <c r="AG111" i="5"/>
  <c r="BZ46" i="5"/>
  <c r="K101" i="5"/>
  <c r="AG97" i="5"/>
  <c r="CR97" i="5"/>
  <c r="CY97" i="5"/>
  <c r="N98" i="5"/>
  <c r="AA98" i="5" s="1"/>
  <c r="AZ98" i="5"/>
  <c r="AY99" i="5"/>
  <c r="CJ99" i="5"/>
  <c r="CN99" i="5" s="1"/>
  <c r="N100" i="5"/>
  <c r="AA100" i="5" s="1"/>
  <c r="AZ100" i="5"/>
  <c r="D103" i="5"/>
  <c r="CP103" i="5"/>
  <c r="CQ103" i="5" s="1"/>
  <c r="AG104" i="5"/>
  <c r="O108" i="5"/>
  <c r="BD108" i="5"/>
  <c r="BK108" i="5" s="1"/>
  <c r="BD109" i="5"/>
  <c r="BK109" i="5" s="1"/>
  <c r="BS110" i="5"/>
  <c r="BV110" i="5"/>
  <c r="BZ110" i="5" s="1"/>
  <c r="CP110" i="5"/>
  <c r="CQ110" i="5" s="1"/>
  <c r="CS106" i="5"/>
  <c r="BR47" i="5"/>
  <c r="BA46" i="5"/>
  <c r="CY98" i="5"/>
  <c r="CB112" i="5"/>
  <c r="CG47" i="5"/>
  <c r="CO46" i="5"/>
  <c r="AG47" i="5"/>
  <c r="BL112" i="5"/>
  <c r="BP112" i="5"/>
  <c r="CM112" i="5"/>
  <c r="AY110" i="5"/>
  <c r="BR110" i="5"/>
  <c r="CO110" i="5"/>
  <c r="AY111" i="5"/>
  <c r="BF111" i="5"/>
  <c r="BF112" i="5" s="1"/>
  <c r="BF113" i="5" s="1"/>
  <c r="BN111" i="5"/>
  <c r="BR111" i="5" s="1"/>
  <c r="BT111" i="5"/>
  <c r="BV111" i="5" s="1"/>
  <c r="CS111" i="5"/>
  <c r="CE111" i="5"/>
  <c r="CE112" i="5" s="1"/>
  <c r="AZ111" i="5"/>
  <c r="CC111" i="5"/>
  <c r="CG111" i="5" s="1"/>
  <c r="CL112" i="5"/>
  <c r="BU112" i="5"/>
  <c r="CA112" i="5"/>
  <c r="O110" i="5"/>
  <c r="CC110" i="5"/>
  <c r="CG110" i="5" s="1"/>
  <c r="CJ110" i="5"/>
  <c r="CN110" i="5" s="1"/>
  <c r="R111" i="5"/>
  <c r="AN111" i="5"/>
  <c r="AX111" i="5" s="1"/>
  <c r="AT111" i="5"/>
  <c r="BM112" i="5"/>
  <c r="BQ112" i="5"/>
  <c r="BX111" i="5"/>
  <c r="CD111" i="5"/>
  <c r="CD112" i="5" s="1"/>
  <c r="CI111" i="5"/>
  <c r="CJ111" i="5" s="1"/>
  <c r="CP108" i="5"/>
  <c r="CQ108" i="5" s="1"/>
  <c r="BS109" i="5"/>
  <c r="CP109" i="5"/>
  <c r="CQ109" i="5" s="1"/>
  <c r="CJ108" i="5"/>
  <c r="CN108" i="5" s="1"/>
  <c r="D109" i="5"/>
  <c r="AZ109" i="5"/>
  <c r="M108" i="5"/>
  <c r="AZ108" i="5"/>
  <c r="AY108" i="5"/>
  <c r="BO112" i="5"/>
  <c r="CK112" i="5"/>
  <c r="AG109" i="5"/>
  <c r="CS109" i="5"/>
  <c r="CC108" i="5"/>
  <c r="CG108" i="5" s="1"/>
  <c r="CF112" i="5"/>
  <c r="O109" i="5"/>
  <c r="CO109" i="5"/>
  <c r="CJ109" i="5"/>
  <c r="CN109" i="5" s="1"/>
  <c r="CS105" i="5"/>
  <c r="CE107" i="5"/>
  <c r="CK107" i="5"/>
  <c r="CO105" i="5"/>
  <c r="I106" i="5"/>
  <c r="R106" i="5"/>
  <c r="AJ106" i="5"/>
  <c r="AZ106" i="5"/>
  <c r="BC107" i="5"/>
  <c r="BM107" i="5"/>
  <c r="BQ107" i="5"/>
  <c r="BX106" i="5"/>
  <c r="CO106" i="5" s="1"/>
  <c r="CD106" i="5"/>
  <c r="CD107" i="5" s="1"/>
  <c r="CI106" i="5"/>
  <c r="CI107" i="5" s="1"/>
  <c r="CW106" i="5"/>
  <c r="CW107" i="5" s="1"/>
  <c r="CY107" i="5" s="1"/>
  <c r="G106" i="5"/>
  <c r="G107" i="5" s="1"/>
  <c r="K106" i="5"/>
  <c r="K107" i="5" s="1"/>
  <c r="T107" i="5"/>
  <c r="AN106" i="5"/>
  <c r="AE106" i="5" s="1"/>
  <c r="AT106" i="5"/>
  <c r="BD106" i="5"/>
  <c r="BD107" i="5" s="1"/>
  <c r="BO107" i="5"/>
  <c r="BU106" i="5"/>
  <c r="BV106" i="5" s="1"/>
  <c r="BZ106" i="5" s="1"/>
  <c r="CA106" i="5"/>
  <c r="CA107" i="5" s="1"/>
  <c r="CP106" i="5"/>
  <c r="CL106" i="5"/>
  <c r="CM107" i="5"/>
  <c r="S107" i="5"/>
  <c r="AO107" i="5" s="1"/>
  <c r="BD104" i="5"/>
  <c r="BK104" i="5" s="1"/>
  <c r="CJ104" i="5"/>
  <c r="CN104" i="5" s="1"/>
  <c r="R105" i="5"/>
  <c r="AI105" i="5"/>
  <c r="AX105" i="5" s="1"/>
  <c r="AO105" i="5"/>
  <c r="AF105" i="5" s="1"/>
  <c r="AG105" i="5"/>
  <c r="BL105" i="5"/>
  <c r="BP105" i="5"/>
  <c r="BR105" i="5" s="1"/>
  <c r="BW105" i="5"/>
  <c r="CB105" i="5"/>
  <c r="CC105" i="5" s="1"/>
  <c r="CG105" i="5" s="1"/>
  <c r="CH105" i="5"/>
  <c r="CJ105" i="5" s="1"/>
  <c r="CN105" i="5" s="1"/>
  <c r="H106" i="5"/>
  <c r="AI106" i="5"/>
  <c r="AO106" i="5"/>
  <c r="AF106" i="5" s="1"/>
  <c r="BL106" i="5"/>
  <c r="BP106" i="5"/>
  <c r="BW106" i="5"/>
  <c r="CB106" i="5"/>
  <c r="CH106" i="5"/>
  <c r="AY103" i="5"/>
  <c r="AZ104" i="5"/>
  <c r="CO104" i="5"/>
  <c r="CP105" i="5"/>
  <c r="CQ105" i="5" s="1"/>
  <c r="CC103" i="5"/>
  <c r="CG103" i="5" s="1"/>
  <c r="CJ103" i="5"/>
  <c r="CN103" i="5" s="1"/>
  <c r="X104" i="5"/>
  <c r="W104" i="5" s="1"/>
  <c r="CR104" i="5"/>
  <c r="D105" i="5"/>
  <c r="AZ105" i="5"/>
  <c r="BD105" i="5"/>
  <c r="BK105" i="5" s="1"/>
  <c r="BR103" i="5"/>
  <c r="AX103" i="5"/>
  <c r="BS103" i="5"/>
  <c r="CS103" i="5"/>
  <c r="AY104" i="5"/>
  <c r="BR104" i="5"/>
  <c r="CP104" i="5"/>
  <c r="CQ104" i="5" s="1"/>
  <c r="BS105" i="5"/>
  <c r="AZ102" i="5"/>
  <c r="CY102" i="5"/>
  <c r="N102" i="5"/>
  <c r="AA102" i="5" s="1"/>
  <c r="M100" i="5"/>
  <c r="O100" i="5"/>
  <c r="AB100" i="5" s="1"/>
  <c r="BV100" i="5"/>
  <c r="BZ100" i="5" s="1"/>
  <c r="X102" i="5"/>
  <c r="W102" i="5" s="1"/>
  <c r="D100" i="5"/>
  <c r="AX100" i="5"/>
  <c r="CJ100" i="5"/>
  <c r="CN100" i="5" s="1"/>
  <c r="BV99" i="5"/>
  <c r="BZ99" i="5" s="1"/>
  <c r="CO99" i="5"/>
  <c r="O99" i="5"/>
  <c r="AB99" i="5" s="1"/>
  <c r="AZ99" i="5"/>
  <c r="CS99" i="5"/>
  <c r="AX99" i="5"/>
  <c r="CR99" i="5"/>
  <c r="CY99" i="5"/>
  <c r="M98" i="5"/>
  <c r="CR98" i="5"/>
  <c r="R101" i="5"/>
  <c r="CD101" i="5"/>
  <c r="CI101" i="5"/>
  <c r="O98" i="5"/>
  <c r="AB98" i="5" s="1"/>
  <c r="CJ98" i="5"/>
  <c r="CN98" i="5" s="1"/>
  <c r="X99" i="5"/>
  <c r="W99" i="5" s="1"/>
  <c r="J101" i="5"/>
  <c r="D98" i="5"/>
  <c r="AX98" i="5"/>
  <c r="BV98" i="5"/>
  <c r="BZ98" i="5" s="1"/>
  <c r="AZ97" i="5"/>
  <c r="M97" i="5"/>
  <c r="O97" i="5"/>
  <c r="BV97" i="5"/>
  <c r="BZ97" i="5" s="1"/>
  <c r="BX101" i="5"/>
  <c r="T101" i="5"/>
  <c r="AK101" i="5" s="1"/>
  <c r="AX97" i="5"/>
  <c r="CF101" i="5"/>
  <c r="AE102" i="5"/>
  <c r="AX102" i="5"/>
  <c r="BT107" i="5"/>
  <c r="BV102" i="5"/>
  <c r="D97" i="5"/>
  <c r="CJ97" i="5"/>
  <c r="CP98" i="5"/>
  <c r="CQ98" i="5" s="1"/>
  <c r="CR100" i="5"/>
  <c r="D102" i="5"/>
  <c r="O102" i="5"/>
  <c r="X103" i="5"/>
  <c r="W103" i="5" s="1"/>
  <c r="AY102" i="5"/>
  <c r="CP102" i="5"/>
  <c r="CQ102" i="5" s="1"/>
  <c r="AG103" i="5"/>
  <c r="AZ103" i="5"/>
  <c r="AE104" i="5"/>
  <c r="AX104" i="5"/>
  <c r="CS104" i="5"/>
  <c r="BS97" i="5"/>
  <c r="CX101" i="5"/>
  <c r="CY101" i="5" s="1"/>
  <c r="BM101" i="5"/>
  <c r="BQ101" i="5"/>
  <c r="BU101" i="5"/>
  <c r="BY101" i="5"/>
  <c r="CC97" i="5"/>
  <c r="CK101" i="5"/>
  <c r="CO97" i="5"/>
  <c r="CS97" i="5"/>
  <c r="AY98" i="5"/>
  <c r="AY100" i="5"/>
  <c r="BT101" i="5"/>
  <c r="J107" i="5"/>
  <c r="CC102" i="5"/>
  <c r="CR103" i="5"/>
  <c r="O104" i="5"/>
  <c r="X105" i="5"/>
  <c r="BS104" i="5"/>
  <c r="N97" i="5"/>
  <c r="BR97" i="5"/>
  <c r="X100" i="5"/>
  <c r="BD100" i="5"/>
  <c r="BI100" i="5" s="1"/>
  <c r="CO100" i="5"/>
  <c r="CO102" i="5"/>
  <c r="M103" i="5"/>
  <c r="D104" i="5"/>
  <c r="M102" i="5"/>
  <c r="BY107" i="5"/>
  <c r="CS102" i="5"/>
  <c r="O103" i="5"/>
  <c r="M104" i="5"/>
  <c r="BN107" i="5"/>
  <c r="BR102" i="5"/>
  <c r="AE105" i="5"/>
  <c r="BS102" i="5"/>
  <c r="O105" i="5"/>
  <c r="CO108" i="5"/>
  <c r="CS108" i="5"/>
  <c r="AX109" i="5"/>
  <c r="CR105" i="5"/>
  <c r="N108" i="5"/>
  <c r="AX108" i="5"/>
  <c r="BR108" i="5"/>
  <c r="X110" i="5"/>
  <c r="W110" i="5" s="1"/>
  <c r="X109" i="5"/>
  <c r="W109" i="5" s="1"/>
  <c r="BS108" i="5"/>
  <c r="BV109" i="5"/>
  <c r="BZ109" i="5" s="1"/>
  <c r="D108" i="5"/>
  <c r="CR108" i="5"/>
  <c r="AF110" i="5"/>
  <c r="AZ110" i="5"/>
  <c r="CR110" i="5"/>
  <c r="N111" i="5"/>
  <c r="AA111" i="5" s="1"/>
  <c r="M110" i="5"/>
  <c r="O111" i="5"/>
  <c r="X111" i="5"/>
  <c r="CC109" i="5"/>
  <c r="CG109" i="5" s="1"/>
  <c r="BS79" i="3" l="1"/>
  <c r="AG78" i="3"/>
  <c r="AU78" i="3" s="1"/>
  <c r="AG96" i="3"/>
  <c r="AU96" i="3" s="1"/>
  <c r="AZ77" i="3"/>
  <c r="AG43" i="3"/>
  <c r="AU43" i="3" s="1"/>
  <c r="AV43" i="3" s="1"/>
  <c r="AC43" i="3"/>
  <c r="AG26" i="3"/>
  <c r="AU26" i="3" s="1"/>
  <c r="AV26" i="3" s="1"/>
  <c r="AC26" i="3"/>
  <c r="AN61" i="3"/>
  <c r="M79" i="3"/>
  <c r="AN79" i="3" s="1"/>
  <c r="AX61" i="3"/>
  <c r="AX79" i="3" s="1"/>
  <c r="CS79" i="3"/>
  <c r="CT79" i="3" s="1"/>
  <c r="CN79" i="3"/>
  <c r="AG38" i="3"/>
  <c r="AU38" i="3" s="1"/>
  <c r="AV38" i="3" s="1"/>
  <c r="AC38" i="3"/>
  <c r="Z96" i="3"/>
  <c r="AE96" i="3" s="1"/>
  <c r="AE90" i="3"/>
  <c r="AS90" i="3" s="1"/>
  <c r="AZ27" i="3"/>
  <c r="AQ27" i="3"/>
  <c r="AE66" i="3"/>
  <c r="AS66" i="3" s="1"/>
  <c r="Z78" i="3"/>
  <c r="AE78" i="3" s="1"/>
  <c r="AS78" i="3" s="1"/>
  <c r="O79" i="3"/>
  <c r="P27" i="3"/>
  <c r="BK44" i="3"/>
  <c r="BE44" i="3"/>
  <c r="AC51" i="3"/>
  <c r="AG49" i="3"/>
  <c r="AU49" i="3" s="1"/>
  <c r="AV49" i="3" s="1"/>
  <c r="AC49" i="3"/>
  <c r="AB61" i="3"/>
  <c r="AG61" i="3" s="1"/>
  <c r="AU61" i="3" s="1"/>
  <c r="Z61" i="3"/>
  <c r="AB27" i="3"/>
  <c r="AG15" i="3"/>
  <c r="AU15" i="3" s="1"/>
  <c r="AV15" i="3" s="1"/>
  <c r="AC15" i="3"/>
  <c r="AZ55" i="3"/>
  <c r="AZ44" i="3"/>
  <c r="BH53" i="3"/>
  <c r="L53" i="3"/>
  <c r="Q54" i="3"/>
  <c r="V54" i="3"/>
  <c r="V55" i="3" s="1"/>
  <c r="AW55" i="3" s="1"/>
  <c r="U53" i="3"/>
  <c r="Y52" i="3"/>
  <c r="AC52" i="3" s="1"/>
  <c r="P52" i="3"/>
  <c r="AL27" i="3"/>
  <c r="AG113" i="3"/>
  <c r="AU113" i="3" s="1"/>
  <c r="BA53" i="3"/>
  <c r="BB52" i="3"/>
  <c r="BE52" i="3"/>
  <c r="BJ52" i="3"/>
  <c r="AS96" i="3"/>
  <c r="BD79" i="3"/>
  <c r="BK79" i="3" s="1"/>
  <c r="BK78" i="3"/>
  <c r="AG32" i="3"/>
  <c r="AU32" i="3" s="1"/>
  <c r="AV32" i="3" s="1"/>
  <c r="AC32" i="3"/>
  <c r="AB44" i="3"/>
  <c r="BK27" i="3"/>
  <c r="BE27" i="3"/>
  <c r="AZ60" i="3"/>
  <c r="AG21" i="3"/>
  <c r="AU21" i="3" s="1"/>
  <c r="AV21" i="3" s="1"/>
  <c r="AC21" i="3"/>
  <c r="AK79" i="3"/>
  <c r="CP79" i="3"/>
  <c r="CQ79" i="3" s="1"/>
  <c r="CG79" i="3"/>
  <c r="Z98" i="5"/>
  <c r="Z103" i="5"/>
  <c r="Z99" i="5"/>
  <c r="W105" i="5"/>
  <c r="E111" i="5"/>
  <c r="E100" i="5"/>
  <c r="E103" i="5"/>
  <c r="X101" i="5"/>
  <c r="W100" i="5"/>
  <c r="X112" i="5"/>
  <c r="X113" i="5" s="1"/>
  <c r="W111" i="5"/>
  <c r="E104" i="5"/>
  <c r="F106" i="5"/>
  <c r="E110" i="5"/>
  <c r="E109" i="5"/>
  <c r="E105" i="5"/>
  <c r="E99" i="5"/>
  <c r="R112" i="5"/>
  <c r="AI112" i="5" s="1"/>
  <c r="E98" i="5"/>
  <c r="Z100" i="5"/>
  <c r="Z110" i="5"/>
  <c r="Z108" i="5"/>
  <c r="Z109" i="5"/>
  <c r="AB109" i="5"/>
  <c r="CT109" i="5"/>
  <c r="CC106" i="5"/>
  <c r="CC107" i="5" s="1"/>
  <c r="BI99" i="5"/>
  <c r="BI110" i="5"/>
  <c r="BI97" i="5"/>
  <c r="BK98" i="5"/>
  <c r="BI98" i="5"/>
  <c r="AB46" i="5"/>
  <c r="BB47" i="5"/>
  <c r="BB46" i="5"/>
  <c r="BI105" i="5"/>
  <c r="BI102" i="5"/>
  <c r="BK103" i="5"/>
  <c r="BI47" i="5"/>
  <c r="AA110" i="5"/>
  <c r="AJ112" i="5"/>
  <c r="AB47" i="5"/>
  <c r="CT47" i="5"/>
  <c r="K113" i="5"/>
  <c r="CT98" i="5"/>
  <c r="BR101" i="5"/>
  <c r="BK46" i="5"/>
  <c r="AB104" i="5"/>
  <c r="CP111" i="5"/>
  <c r="CQ111" i="5" s="1"/>
  <c r="CT103" i="5"/>
  <c r="AA46" i="5"/>
  <c r="BI109" i="5"/>
  <c r="AE111" i="5"/>
  <c r="BJ47" i="5"/>
  <c r="AB108" i="5"/>
  <c r="BE47" i="5"/>
  <c r="AO101" i="5"/>
  <c r="CS107" i="5"/>
  <c r="E46" i="5"/>
  <c r="AB111" i="5"/>
  <c r="CT100" i="5"/>
  <c r="CT46" i="5"/>
  <c r="AB110" i="5"/>
  <c r="BP107" i="5"/>
  <c r="BP113" i="5" s="1"/>
  <c r="E47" i="5"/>
  <c r="R107" i="5"/>
  <c r="BG107" i="5"/>
  <c r="CF107" i="5"/>
  <c r="CF113" i="5" s="1"/>
  <c r="CY106" i="5"/>
  <c r="CT106" i="5"/>
  <c r="CT105" i="5"/>
  <c r="CO111" i="5"/>
  <c r="CT111" i="5" s="1"/>
  <c r="CT110" i="5"/>
  <c r="BU107" i="5"/>
  <c r="BU113" i="5" s="1"/>
  <c r="CT104" i="5"/>
  <c r="CM113" i="5"/>
  <c r="CR106" i="5"/>
  <c r="BO113" i="5"/>
  <c r="BY112" i="5"/>
  <c r="CS112" i="5" s="1"/>
  <c r="BT112" i="5"/>
  <c r="BT113" i="5" s="1"/>
  <c r="AI101" i="5"/>
  <c r="BR106" i="5"/>
  <c r="X106" i="5"/>
  <c r="BX107" i="5"/>
  <c r="CO107" i="5" s="1"/>
  <c r="CT99" i="5"/>
  <c r="BS106" i="5"/>
  <c r="BI108" i="5"/>
  <c r="AY105" i="5"/>
  <c r="BK106" i="5"/>
  <c r="CL107" i="5"/>
  <c r="CL113" i="5" s="1"/>
  <c r="AB105" i="5"/>
  <c r="CK113" i="5"/>
  <c r="BV101" i="5"/>
  <c r="BZ101" i="5" s="1"/>
  <c r="M101" i="5"/>
  <c r="AN101" i="5" s="1"/>
  <c r="AG106" i="5"/>
  <c r="BL107" i="5"/>
  <c r="BL113" i="5" s="1"/>
  <c r="CA113" i="5"/>
  <c r="G113" i="5"/>
  <c r="M111" i="5"/>
  <c r="Z97" i="5"/>
  <c r="M106" i="5"/>
  <c r="Z106" i="5" s="1"/>
  <c r="CR111" i="5"/>
  <c r="BI107" i="5"/>
  <c r="BW107" i="5"/>
  <c r="BW113" i="5" s="1"/>
  <c r="AY106" i="5"/>
  <c r="AX106" i="5"/>
  <c r="BI104" i="5"/>
  <c r="J113" i="5"/>
  <c r="O101" i="5"/>
  <c r="AP101" i="5" s="1"/>
  <c r="CJ106" i="5"/>
  <c r="CN106" i="5" s="1"/>
  <c r="BN112" i="5"/>
  <c r="BR112" i="5" s="1"/>
  <c r="BZ111" i="5"/>
  <c r="BE46" i="5"/>
  <c r="BJ46" i="5"/>
  <c r="CE113" i="5"/>
  <c r="CN111" i="5"/>
  <c r="CJ112" i="5"/>
  <c r="CN112" i="5" s="1"/>
  <c r="BS111" i="5"/>
  <c r="CD113" i="5"/>
  <c r="CX112" i="5"/>
  <c r="CX113" i="5" s="1"/>
  <c r="BD111" i="5"/>
  <c r="BI111" i="5" s="1"/>
  <c r="BS112" i="5"/>
  <c r="CI112" i="5"/>
  <c r="CI113" i="5" s="1"/>
  <c r="BX112" i="5"/>
  <c r="CR112" i="5" s="1"/>
  <c r="M105" i="5"/>
  <c r="Z105" i="5" s="1"/>
  <c r="AJ107" i="5"/>
  <c r="X108" i="5"/>
  <c r="O106" i="5"/>
  <c r="CQ106" i="5"/>
  <c r="BS107" i="5"/>
  <c r="CH107" i="5"/>
  <c r="CH113" i="5" s="1"/>
  <c r="BI106" i="5"/>
  <c r="N106" i="5"/>
  <c r="AA106" i="5" s="1"/>
  <c r="AK107" i="5"/>
  <c r="S113" i="5"/>
  <c r="AO113" i="5" s="1"/>
  <c r="CB107" i="5"/>
  <c r="CB113" i="5" s="1"/>
  <c r="D106" i="5"/>
  <c r="N105" i="5"/>
  <c r="BM113" i="5"/>
  <c r="Z104" i="5"/>
  <c r="T113" i="5"/>
  <c r="I107" i="5"/>
  <c r="CR101" i="5"/>
  <c r="CO101" i="5"/>
  <c r="AB97" i="5"/>
  <c r="AB101" i="5" s="1"/>
  <c r="CG102" i="5"/>
  <c r="O112" i="5"/>
  <c r="AP112" i="5" s="1"/>
  <c r="BD101" i="5"/>
  <c r="BI101" i="5" s="1"/>
  <c r="BK100" i="5"/>
  <c r="CC101" i="5"/>
  <c r="CG97" i="5"/>
  <c r="BV107" i="5"/>
  <c r="BZ107" i="5" s="1"/>
  <c r="BZ102" i="5"/>
  <c r="CP101" i="5"/>
  <c r="CQ101" i="5" s="1"/>
  <c r="BV112" i="5"/>
  <c r="E102" i="5"/>
  <c r="AB103" i="5"/>
  <c r="CT97" i="5"/>
  <c r="CS101" i="5"/>
  <c r="E97" i="5"/>
  <c r="D101" i="5"/>
  <c r="N112" i="5"/>
  <c r="AA108" i="5"/>
  <c r="Z102" i="5"/>
  <c r="AA97" i="5"/>
  <c r="AA101" i="5" s="1"/>
  <c r="N101" i="5"/>
  <c r="D112" i="5"/>
  <c r="H112" i="5" s="1"/>
  <c r="F112" i="5" s="1"/>
  <c r="E108" i="5"/>
  <c r="CT108" i="5"/>
  <c r="CT102" i="5"/>
  <c r="CC112" i="5"/>
  <c r="CG112" i="5" s="1"/>
  <c r="BQ113" i="5"/>
  <c r="BS101" i="5"/>
  <c r="AB102" i="5"/>
  <c r="CJ101" i="5"/>
  <c r="CN97" i="5"/>
  <c r="C7" i="3"/>
  <c r="AZ96" i="3" l="1"/>
  <c r="BE53" i="3"/>
  <c r="BB53" i="3"/>
  <c r="BJ53" i="3"/>
  <c r="BA54" i="3"/>
  <c r="Q55" i="3"/>
  <c r="AH55" i="3" s="1"/>
  <c r="AH56" i="3" s="1"/>
  <c r="L54" i="3"/>
  <c r="V56" i="3"/>
  <c r="U54" i="3"/>
  <c r="Q56" i="3"/>
  <c r="BH54" i="3"/>
  <c r="Y53" i="3"/>
  <c r="P53" i="3"/>
  <c r="AZ78" i="3"/>
  <c r="AG27" i="3"/>
  <c r="AU27" i="3" s="1"/>
  <c r="AV27" i="3" s="1"/>
  <c r="AC27" i="3"/>
  <c r="AB79" i="3"/>
  <c r="AG79" i="3" s="1"/>
  <c r="AU79" i="3" s="1"/>
  <c r="AG44" i="3"/>
  <c r="AU44" i="3" s="1"/>
  <c r="AV44" i="3" s="1"/>
  <c r="AC44" i="3"/>
  <c r="AZ61" i="3"/>
  <c r="AE61" i="3"/>
  <c r="AS61" i="3" s="1"/>
  <c r="Z79" i="3"/>
  <c r="AE79" i="3" s="1"/>
  <c r="AS79" i="3" s="1"/>
  <c r="W112" i="5"/>
  <c r="W113" i="5" s="1"/>
  <c r="W101" i="5"/>
  <c r="AX112" i="5"/>
  <c r="W108" i="5"/>
  <c r="X107" i="5"/>
  <c r="AX107" i="5" s="1"/>
  <c r="W106" i="5"/>
  <c r="E106" i="5"/>
  <c r="E107" i="5" s="1"/>
  <c r="E112" i="5"/>
  <c r="E101" i="5"/>
  <c r="Z101" i="5"/>
  <c r="AZ101" i="5" s="1"/>
  <c r="BK107" i="5"/>
  <c r="CG106" i="5"/>
  <c r="AA112" i="5"/>
  <c r="AF112" i="5" s="1"/>
  <c r="AT112" i="5" s="1"/>
  <c r="Z111" i="5"/>
  <c r="Z112" i="5" s="1"/>
  <c r="AB112" i="5"/>
  <c r="AG112" i="5" s="1"/>
  <c r="AU112" i="5" s="1"/>
  <c r="AB106" i="5"/>
  <c r="AB107" i="5" s="1"/>
  <c r="M112" i="5"/>
  <c r="AN112" i="5" s="1"/>
  <c r="BR107" i="5"/>
  <c r="CP107" i="5"/>
  <c r="CQ107" i="5" s="1"/>
  <c r="R113" i="5"/>
  <c r="CG107" i="5"/>
  <c r="AG101" i="5"/>
  <c r="AU101" i="5" s="1"/>
  <c r="CJ107" i="5"/>
  <c r="CN107" i="5" s="1"/>
  <c r="CT107" i="5"/>
  <c r="BS113" i="5"/>
  <c r="AI107" i="5"/>
  <c r="CR107" i="5"/>
  <c r="I113" i="5"/>
  <c r="BZ112" i="5"/>
  <c r="BY113" i="5"/>
  <c r="CS113" i="5" s="1"/>
  <c r="CP112" i="5"/>
  <c r="CQ112" i="5" s="1"/>
  <c r="BN113" i="5"/>
  <c r="BR113" i="5" s="1"/>
  <c r="M107" i="5"/>
  <c r="AN107" i="5" s="1"/>
  <c r="CT101" i="5"/>
  <c r="Z107" i="5"/>
  <c r="AZ107" i="5" s="1"/>
  <c r="BK101" i="5"/>
  <c r="CO112" i="5"/>
  <c r="CT112" i="5" s="1"/>
  <c r="BK111" i="5"/>
  <c r="BD112" i="5"/>
  <c r="BI112" i="5" s="1"/>
  <c r="BX113" i="5"/>
  <c r="CO113" i="5" s="1"/>
  <c r="AJ113" i="5"/>
  <c r="D107" i="5"/>
  <c r="H107" i="5" s="1"/>
  <c r="F107" i="5" s="1"/>
  <c r="N107" i="5"/>
  <c r="N113" i="5" s="1"/>
  <c r="AA105" i="5"/>
  <c r="AA107" i="5" s="1"/>
  <c r="O107" i="5"/>
  <c r="AP107" i="5" s="1"/>
  <c r="AK113" i="5"/>
  <c r="BV113" i="5"/>
  <c r="H101" i="5"/>
  <c r="F101" i="5" s="1"/>
  <c r="CC113" i="5"/>
  <c r="CG113" i="5" s="1"/>
  <c r="CG101" i="5"/>
  <c r="CN101" i="5"/>
  <c r="AF101" i="5"/>
  <c r="AT101" i="5" s="1"/>
  <c r="R94" i="5"/>
  <c r="R93" i="5"/>
  <c r="R92" i="5"/>
  <c r="R91" i="5"/>
  <c r="R89" i="5"/>
  <c r="R88" i="5"/>
  <c r="R87" i="5"/>
  <c r="R86" i="5"/>
  <c r="R85" i="5"/>
  <c r="R83" i="5"/>
  <c r="R82" i="5"/>
  <c r="R81" i="5"/>
  <c r="R76" i="5"/>
  <c r="W80" i="5" s="1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AH57" i="3" l="1"/>
  <c r="AL56" i="3"/>
  <c r="AZ79" i="3"/>
  <c r="Q57" i="3"/>
  <c r="V57" i="3"/>
  <c r="CW56" i="3"/>
  <c r="BH56" i="3"/>
  <c r="U56" i="3"/>
  <c r="AC53" i="3"/>
  <c r="BJ54" i="3"/>
  <c r="BB54" i="3"/>
  <c r="BB55" i="3" s="1"/>
  <c r="BA55" i="3"/>
  <c r="BE54" i="3"/>
  <c r="AL55" i="3"/>
  <c r="P54" i="3"/>
  <c r="Y54" i="3"/>
  <c r="L55" i="3"/>
  <c r="AM55" i="3"/>
  <c r="U55" i="3"/>
  <c r="BH55" i="3"/>
  <c r="W107" i="5"/>
  <c r="AE101" i="5"/>
  <c r="AS101" i="5" s="1"/>
  <c r="E113" i="5"/>
  <c r="AZ112" i="5"/>
  <c r="AB113" i="5"/>
  <c r="AI113" i="5"/>
  <c r="AE112" i="5"/>
  <c r="AS112" i="5" s="1"/>
  <c r="M113" i="5"/>
  <c r="AN113" i="5" s="1"/>
  <c r="CJ113" i="5"/>
  <c r="CN113" i="5" s="1"/>
  <c r="BZ113" i="5"/>
  <c r="CP113" i="5"/>
  <c r="CQ113" i="5" s="1"/>
  <c r="CT113" i="5"/>
  <c r="Z113" i="5"/>
  <c r="AG107" i="5"/>
  <c r="AU107" i="5" s="1"/>
  <c r="AF107" i="5"/>
  <c r="AT107" i="5" s="1"/>
  <c r="D113" i="5"/>
  <c r="H113" i="5" s="1"/>
  <c r="F113" i="5" s="1"/>
  <c r="O113" i="5"/>
  <c r="AP113" i="5" s="1"/>
  <c r="AE107" i="5"/>
  <c r="AS107" i="5" s="1"/>
  <c r="CR113" i="5"/>
  <c r="BK112" i="5"/>
  <c r="BD113" i="5"/>
  <c r="AA113" i="5"/>
  <c r="AF113" i="5" s="1"/>
  <c r="AT113" i="5" s="1"/>
  <c r="R66" i="8"/>
  <c r="Q66" i="8"/>
  <c r="R171" i="8"/>
  <c r="Q171" i="8"/>
  <c r="R139" i="8"/>
  <c r="Q139" i="8"/>
  <c r="Q140" i="8"/>
  <c r="R140" i="8"/>
  <c r="AQ55" i="3" l="1"/>
  <c r="AM56" i="3"/>
  <c r="AH58" i="3"/>
  <c r="AL57" i="3"/>
  <c r="P55" i="3"/>
  <c r="BA56" i="3"/>
  <c r="BJ55" i="3"/>
  <c r="BE55" i="3"/>
  <c r="BH57" i="3"/>
  <c r="V58" i="3"/>
  <c r="Q58" i="3"/>
  <c r="U57" i="3"/>
  <c r="CW57" i="3"/>
  <c r="CY56" i="3"/>
  <c r="AC54" i="3"/>
  <c r="Y55" i="3"/>
  <c r="AZ113" i="5"/>
  <c r="AE113" i="5"/>
  <c r="AS113" i="5" s="1"/>
  <c r="AG113" i="5"/>
  <c r="AU113" i="5" s="1"/>
  <c r="BK113" i="5"/>
  <c r="BI113" i="5"/>
  <c r="AI45" i="5"/>
  <c r="CB45" i="5"/>
  <c r="AS45" i="5"/>
  <c r="AH59" i="3" l="1"/>
  <c r="AL59" i="3" s="1"/>
  <c r="AL58" i="3"/>
  <c r="AM57" i="3"/>
  <c r="AD56" i="3"/>
  <c r="AQ56" i="3"/>
  <c r="AW56" i="3"/>
  <c r="L56" i="3"/>
  <c r="AC55" i="3"/>
  <c r="AD55" i="3"/>
  <c r="AR55" i="3" s="1"/>
  <c r="AY55" i="3"/>
  <c r="CY57" i="3"/>
  <c r="CW58" i="3"/>
  <c r="BA57" i="3"/>
  <c r="BJ56" i="3"/>
  <c r="BB56" i="3"/>
  <c r="BE56" i="3"/>
  <c r="V59" i="3"/>
  <c r="V60" i="3" s="1"/>
  <c r="V61" i="3" s="1"/>
  <c r="BH58" i="3"/>
  <c r="Q59" i="3"/>
  <c r="U58" i="3"/>
  <c r="J45" i="5"/>
  <c r="BC45" i="5"/>
  <c r="S45" i="5"/>
  <c r="CK45" i="5"/>
  <c r="AN45" i="5"/>
  <c r="AE45" i="5" s="1"/>
  <c r="BW45" i="5"/>
  <c r="CH45" i="5"/>
  <c r="CL45" i="5"/>
  <c r="G45" i="5"/>
  <c r="AJ45" i="5"/>
  <c r="AT45" i="5"/>
  <c r="BX45" i="5"/>
  <c r="BD45" i="5"/>
  <c r="K45" i="5"/>
  <c r="AO45" i="5"/>
  <c r="BT45" i="5"/>
  <c r="H45" i="5"/>
  <c r="BU45" i="5"/>
  <c r="CD45" i="5"/>
  <c r="CI45" i="5"/>
  <c r="I45" i="5"/>
  <c r="CA45" i="5"/>
  <c r="CE45" i="5"/>
  <c r="AM58" i="3" l="1"/>
  <c r="AD57" i="3"/>
  <c r="AW57" i="3"/>
  <c r="AQ57" i="3"/>
  <c r="L57" i="3"/>
  <c r="P56" i="3"/>
  <c r="Y56" i="3"/>
  <c r="AC56" i="3" s="1"/>
  <c r="AV55" i="3"/>
  <c r="AR56" i="3"/>
  <c r="BE57" i="3"/>
  <c r="BB57" i="3"/>
  <c r="BA58" i="3"/>
  <c r="BJ57" i="3"/>
  <c r="Q60" i="3"/>
  <c r="U59" i="3"/>
  <c r="Q62" i="3"/>
  <c r="V62" i="3"/>
  <c r="BH61" i="3"/>
  <c r="BH59" i="3"/>
  <c r="CW59" i="3"/>
  <c r="CY58" i="3"/>
  <c r="AL45" i="5"/>
  <c r="AX45" i="5"/>
  <c r="BA45" i="5"/>
  <c r="BB45" i="5" s="1"/>
  <c r="BZ45" i="5"/>
  <c r="AW45" i="5"/>
  <c r="N45" i="5"/>
  <c r="CR45" i="5"/>
  <c r="AF45" i="5"/>
  <c r="CP45" i="5"/>
  <c r="CQ45" i="5" s="1"/>
  <c r="F45" i="5"/>
  <c r="BS45" i="5"/>
  <c r="CG45" i="5"/>
  <c r="AQ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AR57" i="3" l="1"/>
  <c r="AV56" i="3"/>
  <c r="Y57" i="3"/>
  <c r="AC57" i="3" s="1"/>
  <c r="P57" i="3"/>
  <c r="AM59" i="3"/>
  <c r="AD58" i="3"/>
  <c r="AW58" i="3"/>
  <c r="AQ58" i="3"/>
  <c r="L58" i="3"/>
  <c r="BA59" i="3"/>
  <c r="BE58" i="3"/>
  <c r="BB58" i="3"/>
  <c r="BJ58" i="3"/>
  <c r="CY59" i="3"/>
  <c r="CW60" i="3"/>
  <c r="U60" i="3"/>
  <c r="BH60" i="3"/>
  <c r="AM60" i="3"/>
  <c r="AQ60" i="3" s="1"/>
  <c r="Q61" i="3"/>
  <c r="AH60" i="3"/>
  <c r="BH62" i="3"/>
  <c r="Q63" i="3"/>
  <c r="U62" i="3"/>
  <c r="V63" i="3"/>
  <c r="BE45" i="5"/>
  <c r="BJ45" i="5"/>
  <c r="E45" i="5"/>
  <c r="AA45" i="5"/>
  <c r="AB45" i="5"/>
  <c r="CT45" i="5"/>
  <c r="CI41" i="5"/>
  <c r="AI42" i="5"/>
  <c r="I40" i="5"/>
  <c r="AN41" i="5"/>
  <c r="CE42" i="5"/>
  <c r="CK42" i="5"/>
  <c r="CA42" i="5"/>
  <c r="CD41" i="5"/>
  <c r="AI41" i="5"/>
  <c r="AS42" i="5"/>
  <c r="CE40" i="5"/>
  <c r="I42" i="5"/>
  <c r="AN42" i="5"/>
  <c r="BU41" i="5"/>
  <c r="AS41" i="5"/>
  <c r="J41" i="5"/>
  <c r="CA40" i="5"/>
  <c r="S40" i="5"/>
  <c r="AN40" i="5"/>
  <c r="CB40" i="5"/>
  <c r="CK40" i="5"/>
  <c r="K41" i="5"/>
  <c r="AO41" i="5"/>
  <c r="AF41" i="5" s="1"/>
  <c r="BC41" i="5"/>
  <c r="S42" i="5"/>
  <c r="AT42" i="5"/>
  <c r="H40" i="5"/>
  <c r="BU40" i="5"/>
  <c r="CD40" i="5"/>
  <c r="CI40" i="5"/>
  <c r="I41" i="5"/>
  <c r="BT41" i="5"/>
  <c r="BX41" i="5"/>
  <c r="CH41" i="5"/>
  <c r="CL41" i="5"/>
  <c r="H42" i="5"/>
  <c r="BU42" i="5"/>
  <c r="CD42" i="5"/>
  <c r="CI42" i="5"/>
  <c r="J40" i="5"/>
  <c r="BC40" i="5"/>
  <c r="CE41" i="5"/>
  <c r="AO42" i="5"/>
  <c r="AF42" i="5" s="1"/>
  <c r="CB42" i="5"/>
  <c r="AI40" i="5"/>
  <c r="AS40" i="5"/>
  <c r="BW40" i="5"/>
  <c r="G41" i="5"/>
  <c r="S41" i="5"/>
  <c r="AJ41" i="5"/>
  <c r="AT41" i="5"/>
  <c r="CA41" i="5"/>
  <c r="J42" i="5"/>
  <c r="AJ42" i="5"/>
  <c r="BC42" i="5"/>
  <c r="BW42" i="5"/>
  <c r="G40" i="5"/>
  <c r="K40" i="5"/>
  <c r="AJ40" i="5"/>
  <c r="AO40" i="5"/>
  <c r="AF40" i="5" s="1"/>
  <c r="AT40" i="5"/>
  <c r="BT40" i="5"/>
  <c r="BX40" i="5"/>
  <c r="CH40" i="5"/>
  <c r="CL40" i="5"/>
  <c r="H41" i="5"/>
  <c r="BW41" i="5"/>
  <c r="CB41" i="5"/>
  <c r="CK41" i="5"/>
  <c r="G42" i="5"/>
  <c r="K42" i="5"/>
  <c r="X45" i="5"/>
  <c r="BT42" i="5"/>
  <c r="BX42" i="5"/>
  <c r="CH42" i="5"/>
  <c r="CL42" i="5"/>
  <c r="CK39" i="5"/>
  <c r="CE39" i="5"/>
  <c r="CA39" i="5"/>
  <c r="J39" i="5"/>
  <c r="Y58" i="3" l="1"/>
  <c r="AC58" i="3" s="1"/>
  <c r="P58" i="3"/>
  <c r="AD59" i="3"/>
  <c r="AW59" i="3"/>
  <c r="AW60" i="3" s="1"/>
  <c r="AW61" i="3" s="1"/>
  <c r="AQ59" i="3"/>
  <c r="L59" i="3"/>
  <c r="L60" i="3" s="1"/>
  <c r="AV57" i="3"/>
  <c r="AR58" i="3"/>
  <c r="AL60" i="3"/>
  <c r="AH61" i="3"/>
  <c r="AH62" i="3" s="1"/>
  <c r="U63" i="3"/>
  <c r="BH63" i="3"/>
  <c r="Q64" i="3"/>
  <c r="V64" i="3"/>
  <c r="U61" i="3"/>
  <c r="BA60" i="3"/>
  <c r="BE59" i="3"/>
  <c r="BJ59" i="3"/>
  <c r="BB59" i="3"/>
  <c r="BB60" i="3" s="1"/>
  <c r="BB61" i="3" s="1"/>
  <c r="CY60" i="3"/>
  <c r="CW61" i="3"/>
  <c r="CY61" i="3" s="1"/>
  <c r="BZ41" i="5"/>
  <c r="CS42" i="5"/>
  <c r="AG40" i="5"/>
  <c r="AX42" i="5"/>
  <c r="AD40" i="5"/>
  <c r="F42" i="5"/>
  <c r="CO41" i="5"/>
  <c r="BZ40" i="5"/>
  <c r="AV40" i="5"/>
  <c r="D40" i="5"/>
  <c r="AL40" i="5"/>
  <c r="CN42" i="5"/>
  <c r="CN40" i="5"/>
  <c r="CO42" i="5"/>
  <c r="X41" i="5"/>
  <c r="AZ40" i="5"/>
  <c r="AG42" i="5"/>
  <c r="O40" i="5"/>
  <c r="CY42" i="5"/>
  <c r="CP40" i="5"/>
  <c r="CQ40" i="5" s="1"/>
  <c r="F40" i="5"/>
  <c r="CY40" i="5"/>
  <c r="AD42" i="5"/>
  <c r="AD41" i="5"/>
  <c r="BR42" i="5"/>
  <c r="AY42" i="5"/>
  <c r="AE41" i="5"/>
  <c r="N40" i="5"/>
  <c r="AA40" i="5" s="1"/>
  <c r="BR40" i="5"/>
  <c r="CS41" i="5"/>
  <c r="BA42" i="5"/>
  <c r="BB42" i="5" s="1"/>
  <c r="CP41" i="5"/>
  <c r="CQ41" i="5" s="1"/>
  <c r="BA40" i="5"/>
  <c r="BZ42" i="5"/>
  <c r="AW40" i="5"/>
  <c r="CR42" i="5"/>
  <c r="D42" i="5"/>
  <c r="AV41" i="5"/>
  <c r="F41" i="5"/>
  <c r="AW42" i="5"/>
  <c r="AW41" i="5"/>
  <c r="BS41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CG41" i="5"/>
  <c r="BD40" i="5"/>
  <c r="AG41" i="5"/>
  <c r="AZ41" i="5"/>
  <c r="AY40" i="5"/>
  <c r="N41" i="5"/>
  <c r="AA41" i="5" s="1"/>
  <c r="AV42" i="5"/>
  <c r="CR41" i="5"/>
  <c r="CS40" i="5"/>
  <c r="AW39" i="5"/>
  <c r="I39" i="5"/>
  <c r="AL39" i="5"/>
  <c r="AQ39" i="5"/>
  <c r="AV39" i="5"/>
  <c r="BU39" i="5"/>
  <c r="CD39" i="5"/>
  <c r="CI39" i="5"/>
  <c r="CN39" i="5"/>
  <c r="G39" i="5"/>
  <c r="AN39" i="5"/>
  <c r="CB39" i="5"/>
  <c r="CY39" i="5"/>
  <c r="K39" i="5"/>
  <c r="S39" i="5"/>
  <c r="AI39" i="5"/>
  <c r="AS39" i="5"/>
  <c r="BC39" i="5"/>
  <c r="BW39" i="5"/>
  <c r="H39" i="5"/>
  <c r="X40" i="5"/>
  <c r="AJ39" i="5"/>
  <c r="AO39" i="5"/>
  <c r="AF39" i="5" s="1"/>
  <c r="AT39" i="5"/>
  <c r="BA39" i="5"/>
  <c r="BR39" i="5"/>
  <c r="BT39" i="5"/>
  <c r="BX39" i="5"/>
  <c r="CO39" i="5" s="1"/>
  <c r="CH39" i="5"/>
  <c r="CL39" i="5"/>
  <c r="AD39" i="5"/>
  <c r="P60" i="3" l="1"/>
  <c r="L61" i="3"/>
  <c r="AL61" i="3"/>
  <c r="P59" i="3"/>
  <c r="Y59" i="3"/>
  <c r="AR59" i="3"/>
  <c r="AV59" i="3" s="1"/>
  <c r="AV58" i="3"/>
  <c r="AH63" i="3"/>
  <c r="AL62" i="3"/>
  <c r="BE60" i="3"/>
  <c r="BJ60" i="3"/>
  <c r="BA61" i="3"/>
  <c r="AM61" i="3"/>
  <c r="P61" i="3"/>
  <c r="V65" i="3"/>
  <c r="V66" i="3" s="1"/>
  <c r="U64" i="3"/>
  <c r="BH64" i="3"/>
  <c r="Q65" i="3"/>
  <c r="AB40" i="5"/>
  <c r="CT42" i="5"/>
  <c r="AB42" i="5"/>
  <c r="BJ42" i="5"/>
  <c r="BJ40" i="5"/>
  <c r="BI42" i="5"/>
  <c r="AB41" i="5"/>
  <c r="BB40" i="5"/>
  <c r="CT41" i="5"/>
  <c r="E40" i="5"/>
  <c r="E42" i="5"/>
  <c r="CR39" i="5"/>
  <c r="E41" i="5"/>
  <c r="AZ39" i="5"/>
  <c r="CT40" i="5"/>
  <c r="O39" i="5"/>
  <c r="CS39" i="5"/>
  <c r="CT39" i="5" s="1"/>
  <c r="BJ39" i="5"/>
  <c r="BB39" i="5"/>
  <c r="BK41" i="5"/>
  <c r="BI41" i="5"/>
  <c r="CG39" i="5"/>
  <c r="AX39" i="5"/>
  <c r="BJ41" i="5"/>
  <c r="BE41" i="5"/>
  <c r="D39" i="5"/>
  <c r="BK40" i="5"/>
  <c r="BI40" i="5"/>
  <c r="BE40" i="5"/>
  <c r="BE42" i="5"/>
  <c r="CP39" i="5"/>
  <c r="CQ39" i="5" s="1"/>
  <c r="AG39" i="5"/>
  <c r="BZ39" i="5"/>
  <c r="AY39" i="5"/>
  <c r="N39" i="5"/>
  <c r="AA39" i="5" s="1"/>
  <c r="BD39" i="5"/>
  <c r="BE39" i="5" s="1"/>
  <c r="AE39" i="5"/>
  <c r="F39" i="5"/>
  <c r="BS39" i="5"/>
  <c r="C18" i="8"/>
  <c r="AQ61" i="3" l="1"/>
  <c r="AM62" i="3"/>
  <c r="AC59" i="3"/>
  <c r="Y60" i="3"/>
  <c r="AH64" i="3"/>
  <c r="AL63" i="3"/>
  <c r="Q66" i="3"/>
  <c r="Q67" i="3"/>
  <c r="U65" i="3"/>
  <c r="V67" i="3"/>
  <c r="BH65" i="3"/>
  <c r="BJ61" i="3"/>
  <c r="BE61" i="3"/>
  <c r="BA62" i="3"/>
  <c r="AB39" i="5"/>
  <c r="E39" i="5"/>
  <c r="BK39" i="5"/>
  <c r="BI39" i="5"/>
  <c r="CL37" i="5"/>
  <c r="CK37" i="5"/>
  <c r="CI37" i="5"/>
  <c r="CH37" i="5"/>
  <c r="CE37" i="5"/>
  <c r="CD37" i="5"/>
  <c r="CB37" i="5"/>
  <c r="CA37" i="5"/>
  <c r="BX37" i="5"/>
  <c r="BW37" i="5"/>
  <c r="BU37" i="5"/>
  <c r="BT37" i="5"/>
  <c r="BC37" i="5"/>
  <c r="AT37" i="5"/>
  <c r="AS37" i="5"/>
  <c r="AG37" i="5"/>
  <c r="AO37" i="5"/>
  <c r="AF37" i="5" s="1"/>
  <c r="AN37" i="5"/>
  <c r="AJ37" i="5"/>
  <c r="AI37" i="5"/>
  <c r="S37" i="5"/>
  <c r="R37" i="5"/>
  <c r="K37" i="5"/>
  <c r="J37" i="5"/>
  <c r="I37" i="5"/>
  <c r="H37" i="5"/>
  <c r="G37" i="5"/>
  <c r="CL36" i="5"/>
  <c r="CK36" i="5"/>
  <c r="CI36" i="5"/>
  <c r="CH36" i="5"/>
  <c r="CE36" i="5"/>
  <c r="CD36" i="5"/>
  <c r="CB36" i="5"/>
  <c r="CA36" i="5"/>
  <c r="BX36" i="5"/>
  <c r="BW36" i="5"/>
  <c r="BU36" i="5"/>
  <c r="BT36" i="5"/>
  <c r="BC36" i="5"/>
  <c r="AT36" i="5"/>
  <c r="AS36" i="5"/>
  <c r="AO36" i="5"/>
  <c r="AF36" i="5" s="1"/>
  <c r="AN36" i="5"/>
  <c r="AJ36" i="5"/>
  <c r="AI36" i="5"/>
  <c r="S36" i="5"/>
  <c r="R36" i="5"/>
  <c r="K36" i="5"/>
  <c r="J36" i="5"/>
  <c r="I36" i="5"/>
  <c r="H36" i="5"/>
  <c r="G36" i="5"/>
  <c r="AD60" i="3" l="1"/>
  <c r="AR60" i="3" s="1"/>
  <c r="AV60" i="3" s="1"/>
  <c r="Y61" i="3"/>
  <c r="AY60" i="3"/>
  <c r="AC60" i="3"/>
  <c r="AH65" i="3"/>
  <c r="AL65" i="3" s="1"/>
  <c r="AL64" i="3"/>
  <c r="AM63" i="3"/>
  <c r="AD62" i="3"/>
  <c r="AW62" i="3"/>
  <c r="AQ62" i="3"/>
  <c r="L62" i="3"/>
  <c r="BE62" i="3"/>
  <c r="BB62" i="3"/>
  <c r="BA63" i="3"/>
  <c r="BJ62" i="3"/>
  <c r="V68" i="3"/>
  <c r="U67" i="3"/>
  <c r="Q68" i="3"/>
  <c r="BH67" i="3"/>
  <c r="AM66" i="3"/>
  <c r="BH66" i="3"/>
  <c r="U66" i="3"/>
  <c r="AE36" i="5"/>
  <c r="AW37" i="5"/>
  <c r="CS37" i="5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Z36" i="5" s="1"/>
  <c r="AW36" i="5"/>
  <c r="O37" i="5"/>
  <c r="AB37" i="5" s="1"/>
  <c r="AE37" i="5"/>
  <c r="AX36" i="5"/>
  <c r="X37" i="5"/>
  <c r="CR37" i="5"/>
  <c r="AH66" i="3" l="1"/>
  <c r="P62" i="3"/>
  <c r="Y62" i="3"/>
  <c r="AC62" i="3" s="1"/>
  <c r="AM64" i="3"/>
  <c r="AW63" i="3"/>
  <c r="AD63" i="3"/>
  <c r="AQ63" i="3"/>
  <c r="L63" i="3"/>
  <c r="AY61" i="3"/>
  <c r="AQ66" i="3"/>
  <c r="AM67" i="3"/>
  <c r="AC61" i="3"/>
  <c r="AD61" i="3"/>
  <c r="AR61" i="3" s="1"/>
  <c r="BB63" i="3"/>
  <c r="BA64" i="3"/>
  <c r="BJ63" i="3"/>
  <c r="BE63" i="3"/>
  <c r="V69" i="3"/>
  <c r="U68" i="3"/>
  <c r="Q69" i="3"/>
  <c r="BH68" i="3"/>
  <c r="CT37" i="5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V36" i="5"/>
  <c r="AH67" i="3" l="1"/>
  <c r="AW67" i="3" s="1"/>
  <c r="AL66" i="3"/>
  <c r="AM65" i="3"/>
  <c r="AD64" i="3"/>
  <c r="AW64" i="3"/>
  <c r="AQ64" i="3"/>
  <c r="L64" i="3"/>
  <c r="AV61" i="3"/>
  <c r="AR62" i="3"/>
  <c r="AM68" i="3"/>
  <c r="AD67" i="3"/>
  <c r="AQ67" i="3"/>
  <c r="L67" i="3"/>
  <c r="P63" i="3"/>
  <c r="Y63" i="3"/>
  <c r="U69" i="3"/>
  <c r="Q70" i="3"/>
  <c r="BH69" i="3"/>
  <c r="V70" i="3"/>
  <c r="BE64" i="3"/>
  <c r="BA65" i="3"/>
  <c r="BJ64" i="3"/>
  <c r="BB64" i="3"/>
  <c r="AC36" i="5"/>
  <c r="AN35" i="5"/>
  <c r="AS35" i="5"/>
  <c r="BC35" i="5"/>
  <c r="BX35" i="5"/>
  <c r="S35" i="5"/>
  <c r="CL35" i="5"/>
  <c r="BT35" i="5"/>
  <c r="CB35" i="5"/>
  <c r="J35" i="5"/>
  <c r="X36" i="5"/>
  <c r="AT35" i="5"/>
  <c r="AI35" i="5"/>
  <c r="BW35" i="5"/>
  <c r="R35" i="5"/>
  <c r="W36" i="5" s="1"/>
  <c r="CE35" i="5"/>
  <c r="BU35" i="5"/>
  <c r="AO35" i="5"/>
  <c r="AF35" i="5" s="1"/>
  <c r="K35" i="5"/>
  <c r="CD35" i="5"/>
  <c r="CA35" i="5"/>
  <c r="H35" i="5"/>
  <c r="CH35" i="5"/>
  <c r="G35" i="5"/>
  <c r="AJ35" i="5"/>
  <c r="CI35" i="5"/>
  <c r="I35" i="5"/>
  <c r="CK35" i="5"/>
  <c r="AH68" i="3" l="1"/>
  <c r="AW68" i="3" s="1"/>
  <c r="AL67" i="3"/>
  <c r="AR63" i="3"/>
  <c r="AV62" i="3"/>
  <c r="P64" i="3"/>
  <c r="Y64" i="3"/>
  <c r="AC64" i="3" s="1"/>
  <c r="AC63" i="3"/>
  <c r="P67" i="3"/>
  <c r="Y67" i="3"/>
  <c r="AC67" i="3" s="1"/>
  <c r="AM69" i="3"/>
  <c r="AQ68" i="3"/>
  <c r="AD68" i="3"/>
  <c r="L68" i="3"/>
  <c r="AW65" i="3"/>
  <c r="AW66" i="3" s="1"/>
  <c r="AD65" i="3"/>
  <c r="AQ65" i="3"/>
  <c r="L65" i="3"/>
  <c r="Q71" i="3"/>
  <c r="BH70" i="3"/>
  <c r="V71" i="3"/>
  <c r="V72" i="3" s="1"/>
  <c r="U70" i="3"/>
  <c r="BA66" i="3"/>
  <c r="BB65" i="3"/>
  <c r="BB66" i="3" s="1"/>
  <c r="BJ65" i="3"/>
  <c r="BE65" i="3"/>
  <c r="Q72" i="3"/>
  <c r="CP35" i="5"/>
  <c r="CQ35" i="5" s="1"/>
  <c r="BD35" i="5"/>
  <c r="BK35" i="5" s="1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S94" i="5"/>
  <c r="CK93" i="5"/>
  <c r="X97" i="5"/>
  <c r="W97" i="5" s="1"/>
  <c r="CB92" i="5"/>
  <c r="BX91" i="5"/>
  <c r="BW91" i="5"/>
  <c r="AT91" i="5"/>
  <c r="CE89" i="5"/>
  <c r="CD89" i="5"/>
  <c r="CL88" i="5"/>
  <c r="CK88" i="5"/>
  <c r="BU88" i="5"/>
  <c r="BL88" i="5"/>
  <c r="AO88" i="5"/>
  <c r="BW87" i="5"/>
  <c r="AO87" i="5"/>
  <c r="CI86" i="5"/>
  <c r="CH86" i="5"/>
  <c r="BW85" i="5"/>
  <c r="AO85" i="5"/>
  <c r="BP83" i="5"/>
  <c r="AT83" i="5"/>
  <c r="CH82" i="5"/>
  <c r="BU82" i="5"/>
  <c r="BN82" i="5"/>
  <c r="CL81" i="5"/>
  <c r="CK81" i="5"/>
  <c r="BX81" i="5"/>
  <c r="BP81" i="5"/>
  <c r="BT80" i="5"/>
  <c r="CI76" i="5"/>
  <c r="CD76" i="5"/>
  <c r="CB76" i="5"/>
  <c r="BF76" i="5"/>
  <c r="BF77" i="5" s="1"/>
  <c r="BF78" i="5" s="1"/>
  <c r="BF79" i="5" s="1"/>
  <c r="BC77" i="5"/>
  <c r="BC78" i="5" s="1"/>
  <c r="BC79" i="5" s="1"/>
  <c r="AO76" i="5"/>
  <c r="AJ76" i="5"/>
  <c r="CE75" i="5"/>
  <c r="BU75" i="5"/>
  <c r="BN75" i="5"/>
  <c r="AO75" i="5"/>
  <c r="AF75" i="5" s="1"/>
  <c r="CA74" i="5"/>
  <c r="BP74" i="5"/>
  <c r="BL74" i="5"/>
  <c r="AT74" i="5"/>
  <c r="AO74" i="5"/>
  <c r="S74" i="5"/>
  <c r="CA73" i="5"/>
  <c r="BP73" i="5"/>
  <c r="S73" i="5"/>
  <c r="CB71" i="5"/>
  <c r="BX71" i="5"/>
  <c r="BU71" i="5"/>
  <c r="BL71" i="5"/>
  <c r="BF71" i="5"/>
  <c r="BF72" i="5" s="1"/>
  <c r="AJ71" i="5"/>
  <c r="CL70" i="5"/>
  <c r="CB70" i="5"/>
  <c r="BW70" i="5"/>
  <c r="AJ70" i="5"/>
  <c r="CL69" i="5"/>
  <c r="BF69" i="5"/>
  <c r="CD68" i="5"/>
  <c r="BT68" i="5"/>
  <c r="BP68" i="5"/>
  <c r="AT68" i="5"/>
  <c r="CK67" i="5"/>
  <c r="CD67" i="5"/>
  <c r="BN67" i="5"/>
  <c r="BL67" i="5"/>
  <c r="AO67" i="5"/>
  <c r="AF67" i="5" s="1"/>
  <c r="S67" i="5"/>
  <c r="CI65" i="5"/>
  <c r="BW65" i="5"/>
  <c r="BT65" i="5"/>
  <c r="BF65" i="5"/>
  <c r="BF66" i="5" s="1"/>
  <c r="AT65" i="5"/>
  <c r="AJ65" i="5"/>
  <c r="CI64" i="5"/>
  <c r="CE64" i="5"/>
  <c r="CD64" i="5"/>
  <c r="BT64" i="5"/>
  <c r="BN64" i="5"/>
  <c r="BL64" i="5"/>
  <c r="AJ64" i="5"/>
  <c r="CI63" i="5"/>
  <c r="CE63" i="5"/>
  <c r="CD63" i="5"/>
  <c r="BT63" i="5"/>
  <c r="BN63" i="5"/>
  <c r="CA62" i="5"/>
  <c r="BL62" i="5"/>
  <c r="CD59" i="5"/>
  <c r="BU59" i="5"/>
  <c r="AO59" i="5"/>
  <c r="AF59" i="5" s="1"/>
  <c r="CD58" i="5"/>
  <c r="BW58" i="5"/>
  <c r="BP58" i="5"/>
  <c r="BN58" i="5"/>
  <c r="BF58" i="5"/>
  <c r="AO58" i="5"/>
  <c r="AF58" i="5" s="1"/>
  <c r="CK57" i="5"/>
  <c r="BW57" i="5"/>
  <c r="BU57" i="5"/>
  <c r="BN57" i="5"/>
  <c r="BF57" i="5"/>
  <c r="AT57" i="5"/>
  <c r="AO57" i="5"/>
  <c r="S57" i="5"/>
  <c r="CK56" i="5"/>
  <c r="CI56" i="5"/>
  <c r="CB56" i="5"/>
  <c r="CA56" i="5"/>
  <c r="BW56" i="5"/>
  <c r="BU56" i="5"/>
  <c r="BN56" i="5"/>
  <c r="BL56" i="5"/>
  <c r="BF56" i="5"/>
  <c r="AT56" i="5"/>
  <c r="S56" i="5"/>
  <c r="CK54" i="5"/>
  <c r="CD54" i="5"/>
  <c r="BX54" i="5"/>
  <c r="BN54" i="5"/>
  <c r="AT54" i="5"/>
  <c r="CK53" i="5"/>
  <c r="CI53" i="5"/>
  <c r="CB53" i="5"/>
  <c r="BW53" i="5"/>
  <c r="BP53" i="5"/>
  <c r="BL53" i="5"/>
  <c r="AT53" i="5"/>
  <c r="AO53" i="5"/>
  <c r="AF53" i="5" s="1"/>
  <c r="AJ53" i="5"/>
  <c r="CI52" i="5"/>
  <c r="CH52" i="5"/>
  <c r="CE52" i="5"/>
  <c r="CD52" i="5"/>
  <c r="BW52" i="5"/>
  <c r="BU52" i="5"/>
  <c r="BP52" i="5"/>
  <c r="BL52" i="5"/>
  <c r="CL51" i="5"/>
  <c r="CE51" i="5"/>
  <c r="CB51" i="5"/>
  <c r="CA51" i="5"/>
  <c r="BU51" i="5"/>
  <c r="BL51" i="5"/>
  <c r="BF51" i="5"/>
  <c r="S51" i="5"/>
  <c r="BC49" i="5"/>
  <c r="BG38" i="5"/>
  <c r="BC38" i="5"/>
  <c r="CK34" i="5"/>
  <c r="CH34" i="5"/>
  <c r="CB34" i="5"/>
  <c r="BX34" i="5"/>
  <c r="BT34" i="5"/>
  <c r="BC34" i="5"/>
  <c r="AN34" i="5"/>
  <c r="X35" i="5"/>
  <c r="S34" i="5"/>
  <c r="CK33" i="5"/>
  <c r="CE33" i="5"/>
  <c r="CD33" i="5"/>
  <c r="CB33" i="5"/>
  <c r="CA33" i="5"/>
  <c r="BU33" i="5"/>
  <c r="BC33" i="5"/>
  <c r="AO33" i="5"/>
  <c r="S33" i="5"/>
  <c r="CI31" i="5"/>
  <c r="CB31" i="5"/>
  <c r="CA31" i="5"/>
  <c r="BX31" i="5"/>
  <c r="BW31" i="5"/>
  <c r="BF32" i="5"/>
  <c r="AT31" i="5"/>
  <c r="AO31" i="5"/>
  <c r="AN31" i="5"/>
  <c r="AJ31" i="5"/>
  <c r="S31" i="5"/>
  <c r="CI30" i="5"/>
  <c r="CH30" i="5"/>
  <c r="CE30" i="5"/>
  <c r="CD30" i="5"/>
  <c r="BW30" i="5"/>
  <c r="BC30" i="5"/>
  <c r="AS30" i="5"/>
  <c r="AO30" i="5"/>
  <c r="AF30" i="5" s="1"/>
  <c r="AJ30" i="5"/>
  <c r="S30" i="5"/>
  <c r="R30" i="5"/>
  <c r="CL29" i="5"/>
  <c r="CK29" i="5"/>
  <c r="CI29" i="5"/>
  <c r="CH29" i="5"/>
  <c r="CD29" i="5"/>
  <c r="CA29" i="5"/>
  <c r="BW29" i="5"/>
  <c r="BU29" i="5"/>
  <c r="BT29" i="5"/>
  <c r="AS29" i="5"/>
  <c r="AO29" i="5"/>
  <c r="AF29" i="5" s="1"/>
  <c r="AJ29" i="5"/>
  <c r="AI29" i="5"/>
  <c r="S29" i="5"/>
  <c r="CL28" i="5"/>
  <c r="CH28" i="5"/>
  <c r="CD28" i="5"/>
  <c r="CA28" i="5"/>
  <c r="BX28" i="5"/>
  <c r="BW28" i="5"/>
  <c r="BU28" i="5"/>
  <c r="BT28" i="5"/>
  <c r="BC28" i="5"/>
  <c r="AT28" i="5"/>
  <c r="AS28" i="5"/>
  <c r="AN28" i="5"/>
  <c r="AJ28" i="5"/>
  <c r="AI28" i="5"/>
  <c r="S28" i="5"/>
  <c r="V29" i="5"/>
  <c r="CL25" i="5"/>
  <c r="CI25" i="5"/>
  <c r="CD25" i="5"/>
  <c r="CA25" i="5"/>
  <c r="BX25" i="5"/>
  <c r="BU25" i="5"/>
  <c r="BG26" i="5"/>
  <c r="BG27" i="5" s="1"/>
  <c r="BC25" i="5"/>
  <c r="BC26" i="5" s="1"/>
  <c r="BC27" i="5" s="1"/>
  <c r="AT25" i="5"/>
  <c r="AO25" i="5"/>
  <c r="AN25" i="5"/>
  <c r="AJ25" i="5"/>
  <c r="S25" i="5"/>
  <c r="CL24" i="5"/>
  <c r="CK24" i="5"/>
  <c r="CI24" i="5"/>
  <c r="CD24" i="5"/>
  <c r="CA24" i="5"/>
  <c r="BX24" i="5"/>
  <c r="BW24" i="5"/>
  <c r="BU24" i="5"/>
  <c r="BT24" i="5"/>
  <c r="AS24" i="5"/>
  <c r="AO24" i="5"/>
  <c r="AF24" i="5" s="1"/>
  <c r="AI24" i="5"/>
  <c r="S24" i="5"/>
  <c r="CL23" i="5"/>
  <c r="CI23" i="5"/>
  <c r="CE23" i="5"/>
  <c r="CD23" i="5"/>
  <c r="CB23" i="5"/>
  <c r="CA23" i="5"/>
  <c r="BX23" i="5"/>
  <c r="BU23" i="5"/>
  <c r="BC23" i="5"/>
  <c r="AT23" i="5"/>
  <c r="AN23" i="5"/>
  <c r="AJ23" i="5"/>
  <c r="S23" i="5"/>
  <c r="R23" i="5"/>
  <c r="CK22" i="5"/>
  <c r="CH22" i="5"/>
  <c r="CE22" i="5"/>
  <c r="CD22" i="5"/>
  <c r="CB22" i="5"/>
  <c r="CA22" i="5"/>
  <c r="BX22" i="5"/>
  <c r="BW22" i="5"/>
  <c r="BU22" i="5"/>
  <c r="BC22" i="5"/>
  <c r="AT22" i="5"/>
  <c r="AS22" i="5"/>
  <c r="AN22" i="5"/>
  <c r="AJ22" i="5"/>
  <c r="S22" i="5"/>
  <c r="R22" i="5"/>
  <c r="W23" i="5" s="1"/>
  <c r="CL20" i="5"/>
  <c r="CK20" i="5"/>
  <c r="CH20" i="5"/>
  <c r="CD20" i="5"/>
  <c r="CB20" i="5"/>
  <c r="CA20" i="5"/>
  <c r="BX20" i="5"/>
  <c r="BW20" i="5"/>
  <c r="BU20" i="5"/>
  <c r="BT20" i="5"/>
  <c r="BG21" i="5"/>
  <c r="BF21" i="5"/>
  <c r="AT20" i="5"/>
  <c r="AS20" i="5"/>
  <c r="AO20" i="5"/>
  <c r="AJ20" i="5"/>
  <c r="AI20" i="5"/>
  <c r="S20" i="5"/>
  <c r="R20" i="5"/>
  <c r="CK19" i="5"/>
  <c r="CI19" i="5"/>
  <c r="CH19" i="5"/>
  <c r="CE19" i="5"/>
  <c r="CD19" i="5"/>
  <c r="CB19" i="5"/>
  <c r="CA19" i="5"/>
  <c r="BX19" i="5"/>
  <c r="BU19" i="5"/>
  <c r="BC19" i="5"/>
  <c r="AT19" i="5"/>
  <c r="AO19" i="5"/>
  <c r="AF19" i="5" s="1"/>
  <c r="AN19" i="5"/>
  <c r="AJ19" i="5"/>
  <c r="S19" i="5"/>
  <c r="R19" i="5"/>
  <c r="CL18" i="5"/>
  <c r="CK18" i="5"/>
  <c r="CI18" i="5"/>
  <c r="CH18" i="5"/>
  <c r="CE18" i="5"/>
  <c r="CD18" i="5"/>
  <c r="CB18" i="5"/>
  <c r="BX18" i="5"/>
  <c r="BU18" i="5"/>
  <c r="BT18" i="5"/>
  <c r="AT18" i="5"/>
  <c r="AS18" i="5"/>
  <c r="AO18" i="5"/>
  <c r="AF18" i="5" s="1"/>
  <c r="AN18" i="5"/>
  <c r="AJ18" i="5"/>
  <c r="AI18" i="5"/>
  <c r="S18" i="5"/>
  <c r="R18" i="5"/>
  <c r="CL17" i="5"/>
  <c r="CK17" i="5"/>
  <c r="CI17" i="5"/>
  <c r="CE17" i="5"/>
  <c r="CD17" i="5"/>
  <c r="CB17" i="5"/>
  <c r="CA17" i="5"/>
  <c r="BW17" i="5"/>
  <c r="BU17" i="5"/>
  <c r="BT17" i="5"/>
  <c r="AT17" i="5"/>
  <c r="AS17" i="5"/>
  <c r="AO17" i="5"/>
  <c r="AF17" i="5" s="1"/>
  <c r="AN17" i="5"/>
  <c r="AJ17" i="5"/>
  <c r="AI17" i="5"/>
  <c r="S17" i="5"/>
  <c r="R17" i="5"/>
  <c r="CL16" i="5"/>
  <c r="CK16" i="5"/>
  <c r="CH16" i="5"/>
  <c r="CE16" i="5"/>
  <c r="CD16" i="5"/>
  <c r="CB16" i="5"/>
  <c r="CA16" i="5"/>
  <c r="BX16" i="5"/>
  <c r="BW16" i="5"/>
  <c r="BU16" i="5"/>
  <c r="BT16" i="5"/>
  <c r="BC16" i="5"/>
  <c r="AT16" i="5"/>
  <c r="AS16" i="5"/>
  <c r="AO16" i="5"/>
  <c r="AF16" i="5" s="1"/>
  <c r="AN16" i="5"/>
  <c r="AJ16" i="5"/>
  <c r="AI16" i="5"/>
  <c r="R16" i="5"/>
  <c r="CL14" i="5"/>
  <c r="CK14" i="5"/>
  <c r="CH14" i="5"/>
  <c r="CE14" i="5"/>
  <c r="CD14" i="5"/>
  <c r="CB14" i="5"/>
  <c r="CA14" i="5"/>
  <c r="BX14" i="5"/>
  <c r="BW14" i="5"/>
  <c r="BU14" i="5"/>
  <c r="BT14" i="5"/>
  <c r="BF15" i="5"/>
  <c r="AT14" i="5"/>
  <c r="AS14" i="5"/>
  <c r="AO14" i="5"/>
  <c r="AF14" i="5" s="1"/>
  <c r="AJ14" i="5"/>
  <c r="AI14" i="5"/>
  <c r="S14" i="5"/>
  <c r="R14" i="5"/>
  <c r="CL13" i="5"/>
  <c r="CK13" i="5"/>
  <c r="CI13" i="5"/>
  <c r="CH13" i="5"/>
  <c r="CE13" i="5"/>
  <c r="CD13" i="5"/>
  <c r="CB13" i="5"/>
  <c r="CA13" i="5"/>
  <c r="BX13" i="5"/>
  <c r="BU13" i="5"/>
  <c r="BT13" i="5"/>
  <c r="BC13" i="5"/>
  <c r="AT13" i="5"/>
  <c r="AS13" i="5"/>
  <c r="AO13" i="5"/>
  <c r="AJ13" i="5"/>
  <c r="AI13" i="5"/>
  <c r="S13" i="5"/>
  <c r="R13" i="5"/>
  <c r="CL12" i="5"/>
  <c r="CK12" i="5"/>
  <c r="CI12" i="5"/>
  <c r="CH12" i="5"/>
  <c r="CE12" i="5"/>
  <c r="CD12" i="5"/>
  <c r="CB12" i="5"/>
  <c r="BX12" i="5"/>
  <c r="BW12" i="5"/>
  <c r="BU12" i="5"/>
  <c r="BT12" i="5"/>
  <c r="BC12" i="5"/>
  <c r="AT12" i="5"/>
  <c r="AS12" i="5"/>
  <c r="AN12" i="5"/>
  <c r="AJ12" i="5"/>
  <c r="AI12" i="5"/>
  <c r="S12" i="5"/>
  <c r="R12" i="5"/>
  <c r="CL11" i="5"/>
  <c r="CK11" i="5"/>
  <c r="CI11" i="5"/>
  <c r="CH11" i="5"/>
  <c r="CD11" i="5"/>
  <c r="CB11" i="5"/>
  <c r="CA11" i="5"/>
  <c r="BX11" i="5"/>
  <c r="BW11" i="5"/>
  <c r="BU11" i="5"/>
  <c r="BT11" i="5"/>
  <c r="BC11" i="5"/>
  <c r="AT11" i="5"/>
  <c r="AO11" i="5"/>
  <c r="AF11" i="5" s="1"/>
  <c r="AN11" i="5"/>
  <c r="AJ11" i="5"/>
  <c r="AI11" i="5"/>
  <c r="S11" i="5"/>
  <c r="R11" i="5"/>
  <c r="CW70" i="5"/>
  <c r="CW54" i="5"/>
  <c r="CW38" i="5"/>
  <c r="CW26" i="5"/>
  <c r="CW21" i="5"/>
  <c r="CW15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AH69" i="3" l="1"/>
  <c r="AW69" i="3" s="1"/>
  <c r="AL68" i="3"/>
  <c r="Y68" i="3"/>
  <c r="AC68" i="3" s="1"/>
  <c r="P68" i="3"/>
  <c r="AM70" i="3"/>
  <c r="AD69" i="3"/>
  <c r="AQ69" i="3"/>
  <c r="L69" i="3"/>
  <c r="Y65" i="3"/>
  <c r="P65" i="3"/>
  <c r="L66" i="3"/>
  <c r="P66" i="3" s="1"/>
  <c r="AR64" i="3"/>
  <c r="AV63" i="3"/>
  <c r="Q73" i="3"/>
  <c r="U71" i="3"/>
  <c r="V73" i="3"/>
  <c r="BH71" i="3"/>
  <c r="U72" i="3"/>
  <c r="AM72" i="3"/>
  <c r="BH72" i="3"/>
  <c r="BE66" i="3"/>
  <c r="BJ66" i="3"/>
  <c r="BA67" i="3"/>
  <c r="AX101" i="5"/>
  <c r="AX113" i="5" s="1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W64" i="5" s="1"/>
  <c r="X25" i="5"/>
  <c r="X26" i="5" s="1"/>
  <c r="X27" i="5" s="1"/>
  <c r="BI35" i="5"/>
  <c r="BE35" i="5"/>
  <c r="X28" i="5"/>
  <c r="X65" i="5"/>
  <c r="W65" i="5" s="1"/>
  <c r="V18" i="5"/>
  <c r="V28" i="5"/>
  <c r="X33" i="5"/>
  <c r="X51" i="5"/>
  <c r="W51" i="5" s="1"/>
  <c r="Q51" i="5" s="1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13" i="5"/>
  <c r="BD93" i="5"/>
  <c r="BK93" i="5" s="1"/>
  <c r="D76" i="5"/>
  <c r="N14" i="5"/>
  <c r="AA14" i="5" s="1"/>
  <c r="BS31" i="5"/>
  <c r="L16" i="5"/>
  <c r="AL13" i="5"/>
  <c r="CG14" i="5"/>
  <c r="BD17" i="5"/>
  <c r="BK17" i="5" s="1"/>
  <c r="CO19" i="5"/>
  <c r="BA17" i="5"/>
  <c r="BB17" i="5" s="1"/>
  <c r="CR12" i="5"/>
  <c r="AX28" i="5"/>
  <c r="AG56" i="5"/>
  <c r="N18" i="5"/>
  <c r="AA18" i="5" s="1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D91" i="5"/>
  <c r="D80" i="5"/>
  <c r="D52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J52" i="5"/>
  <c r="AG57" i="5"/>
  <c r="CA57" i="5"/>
  <c r="CE58" i="5"/>
  <c r="CL59" i="5"/>
  <c r="AT62" i="5"/>
  <c r="CI62" i="5"/>
  <c r="CI66" i="5" s="1"/>
  <c r="CK63" i="5"/>
  <c r="AG67" i="5"/>
  <c r="CL68" i="5"/>
  <c r="AT69" i="5"/>
  <c r="CE69" i="5"/>
  <c r="CD71" i="5"/>
  <c r="AT73" i="5"/>
  <c r="CI73" i="5"/>
  <c r="AG74" i="5"/>
  <c r="CH74" i="5"/>
  <c r="BS76" i="5"/>
  <c r="CB80" i="5"/>
  <c r="BW82" i="5"/>
  <c r="CI85" i="5"/>
  <c r="BU86" i="5"/>
  <c r="AJ89" i="5"/>
  <c r="CI91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CS65" i="5"/>
  <c r="BU67" i="5"/>
  <c r="AJ68" i="5"/>
  <c r="BP69" i="5"/>
  <c r="BN70" i="5"/>
  <c r="BN71" i="5"/>
  <c r="BT73" i="5"/>
  <c r="BT74" i="5"/>
  <c r="BW75" i="5"/>
  <c r="CL76" i="5"/>
  <c r="CA81" i="5"/>
  <c r="CB83" i="5"/>
  <c r="BF85" i="5"/>
  <c r="AO86" i="5"/>
  <c r="AF86" i="5" s="1"/>
  <c r="S87" i="5"/>
  <c r="N87" i="5" s="1"/>
  <c r="AO93" i="5"/>
  <c r="AX11" i="5"/>
  <c r="AD13" i="5"/>
  <c r="AV13" i="5"/>
  <c r="CO13" i="5"/>
  <c r="BR16" i="5"/>
  <c r="CG16" i="5"/>
  <c r="BZ18" i="5"/>
  <c r="AL22" i="5"/>
  <c r="AY25" i="5"/>
  <c r="CR25" i="5"/>
  <c r="CS30" i="5"/>
  <c r="CC51" i="5"/>
  <c r="CG51" i="5" s="1"/>
  <c r="AF74" i="5"/>
  <c r="AF87" i="5"/>
  <c r="BF93" i="5"/>
  <c r="D74" i="5"/>
  <c r="D19" i="5"/>
  <c r="CX26" i="5"/>
  <c r="CX27" i="5" s="1"/>
  <c r="BD25" i="5"/>
  <c r="BK25" i="5" s="1"/>
  <c r="CN11" i="5"/>
  <c r="BS12" i="5"/>
  <c r="AL14" i="5"/>
  <c r="BU21" i="5"/>
  <c r="CS19" i="5"/>
  <c r="BD51" i="5"/>
  <c r="BK51" i="5" s="1"/>
  <c r="O56" i="5"/>
  <c r="CR81" i="5"/>
  <c r="CK94" i="5"/>
  <c r="CA94" i="5"/>
  <c r="CC94" i="5" s="1"/>
  <c r="BP94" i="5"/>
  <c r="CL93" i="5"/>
  <c r="CB93" i="5"/>
  <c r="CE92" i="5"/>
  <c r="BT92" i="5"/>
  <c r="CL91" i="5"/>
  <c r="CA91" i="5"/>
  <c r="BP91" i="5"/>
  <c r="S91" i="5"/>
  <c r="BF89" i="5"/>
  <c r="BF90" i="5" s="1"/>
  <c r="CD88" i="5"/>
  <c r="BT88" i="5"/>
  <c r="BV88" i="5" s="1"/>
  <c r="BF88" i="5"/>
  <c r="CI87" i="5"/>
  <c r="BX87" i="5"/>
  <c r="CB86" i="5"/>
  <c r="BT86" i="5"/>
  <c r="BL86" i="5"/>
  <c r="AT86" i="5"/>
  <c r="CL85" i="5"/>
  <c r="CA85" i="5"/>
  <c r="BP85" i="5"/>
  <c r="CD94" i="5"/>
  <c r="BT94" i="5"/>
  <c r="BU93" i="5"/>
  <c r="BL93" i="5"/>
  <c r="AT93" i="5"/>
  <c r="S93" i="5"/>
  <c r="CI92" i="5"/>
  <c r="BX92" i="5"/>
  <c r="BN92" i="5"/>
  <c r="AT92" i="5"/>
  <c r="AJ92" i="5"/>
  <c r="CE91" i="5"/>
  <c r="CO91" i="5" s="1"/>
  <c r="BU91" i="5"/>
  <c r="AZ91" i="5"/>
  <c r="BW89" i="5"/>
  <c r="BL89" i="5"/>
  <c r="S89" i="5"/>
  <c r="CH88" i="5"/>
  <c r="BX88" i="5"/>
  <c r="CR88" i="5" s="1"/>
  <c r="CL87" i="5"/>
  <c r="CB87" i="5"/>
  <c r="BF87" i="5"/>
  <c r="BW86" i="5"/>
  <c r="CE85" i="5"/>
  <c r="BU85" i="5"/>
  <c r="AT85" i="5"/>
  <c r="CS83" i="5"/>
  <c r="CD83" i="5"/>
  <c r="BF83" i="5"/>
  <c r="BF84" i="5" s="1"/>
  <c r="CH94" i="5"/>
  <c r="BU94" i="5"/>
  <c r="BC95" i="5"/>
  <c r="BC96" i="5" s="1"/>
  <c r="AJ94" i="5"/>
  <c r="CD93" i="5"/>
  <c r="CL92" i="5"/>
  <c r="BL92" i="5"/>
  <c r="CB91" i="5"/>
  <c r="BN91" i="5"/>
  <c r="CK89" i="5"/>
  <c r="BX89" i="5"/>
  <c r="CO89" i="5" s="1"/>
  <c r="BG90" i="5"/>
  <c r="CE88" i="5"/>
  <c r="BP88" i="5"/>
  <c r="CD87" i="5"/>
  <c r="BP87" i="5"/>
  <c r="AG87" i="5"/>
  <c r="BP86" i="5"/>
  <c r="CB85" i="5"/>
  <c r="BN85" i="5"/>
  <c r="CI83" i="5"/>
  <c r="BW83" i="5"/>
  <c r="BL83" i="5"/>
  <c r="CL82" i="5"/>
  <c r="CA82" i="5"/>
  <c r="BF82" i="5"/>
  <c r="BU81" i="5"/>
  <c r="BL81" i="5"/>
  <c r="AT81" i="5"/>
  <c r="AZ81" i="5"/>
  <c r="CH80" i="5"/>
  <c r="BW80" i="5"/>
  <c r="BW76" i="5"/>
  <c r="BM77" i="5"/>
  <c r="CK75" i="5"/>
  <c r="CA75" i="5"/>
  <c r="BF75" i="5"/>
  <c r="AG75" i="5"/>
  <c r="CL74" i="5"/>
  <c r="CD74" i="5"/>
  <c r="BU74" i="5"/>
  <c r="AZ74" i="5"/>
  <c r="CH73" i="5"/>
  <c r="BX73" i="5"/>
  <c r="BN73" i="5"/>
  <c r="BR73" i="5" s="1"/>
  <c r="CH71" i="5"/>
  <c r="BW71" i="5"/>
  <c r="S71" i="5"/>
  <c r="CK70" i="5"/>
  <c r="CA70" i="5"/>
  <c r="CC70" i="5" s="1"/>
  <c r="BF70" i="5"/>
  <c r="CP69" i="5"/>
  <c r="CQ69" i="5" s="1"/>
  <c r="BX69" i="5"/>
  <c r="CR69" i="5" s="1"/>
  <c r="BN69" i="5"/>
  <c r="AO69" i="5"/>
  <c r="CH68" i="5"/>
  <c r="BW68" i="5"/>
  <c r="BN68" i="5"/>
  <c r="BR68" i="5" s="1"/>
  <c r="CL67" i="5"/>
  <c r="CA67" i="5"/>
  <c r="CH65" i="5"/>
  <c r="CJ65" i="5" s="1"/>
  <c r="CN65" i="5" s="1"/>
  <c r="BX65" i="5"/>
  <c r="BS65" i="5"/>
  <c r="S65" i="5"/>
  <c r="CH64" i="5"/>
  <c r="CJ64" i="5" s="1"/>
  <c r="BX64" i="5"/>
  <c r="CO64" i="5" s="1"/>
  <c r="AO64" i="5"/>
  <c r="CL63" i="5"/>
  <c r="CB63" i="5"/>
  <c r="BQ66" i="5"/>
  <c r="CD62" i="5"/>
  <c r="BT62" i="5"/>
  <c r="BT66" i="5" s="1"/>
  <c r="BF62" i="5"/>
  <c r="CK59" i="5"/>
  <c r="CA59" i="5"/>
  <c r="BP59" i="5"/>
  <c r="CI58" i="5"/>
  <c r="BX58" i="5"/>
  <c r="S58" i="5"/>
  <c r="N58" i="5" s="1"/>
  <c r="AA58" i="5" s="1"/>
  <c r="CI57" i="5"/>
  <c r="CA93" i="5"/>
  <c r="BN93" i="5"/>
  <c r="CK92" i="5"/>
  <c r="BW92" i="5"/>
  <c r="BF92" i="5"/>
  <c r="AO91" i="5"/>
  <c r="CI89" i="5"/>
  <c r="BU89" i="5"/>
  <c r="AO89" i="5"/>
  <c r="AF89" i="5" s="1"/>
  <c r="AJ88" i="5"/>
  <c r="AY88" i="5" s="1"/>
  <c r="CA87" i="5"/>
  <c r="BN87" i="5"/>
  <c r="AT87" i="5"/>
  <c r="CL86" i="5"/>
  <c r="BN86" i="5"/>
  <c r="CH83" i="5"/>
  <c r="BU83" i="5"/>
  <c r="BG84" i="5"/>
  <c r="AO83" i="5"/>
  <c r="CK82" i="5"/>
  <c r="BS82" i="5"/>
  <c r="AO82" i="5"/>
  <c r="AF82" i="5" s="1"/>
  <c r="CE81" i="5"/>
  <c r="CO81" i="5" s="1"/>
  <c r="BT81" i="5"/>
  <c r="AJ81" i="5"/>
  <c r="S81" i="5"/>
  <c r="CP80" i="5"/>
  <c r="BL80" i="5"/>
  <c r="AT80" i="5"/>
  <c r="CF77" i="5"/>
  <c r="BL76" i="5"/>
  <c r="AT76" i="5"/>
  <c r="CI75" i="5"/>
  <c r="BP75" i="5"/>
  <c r="BR75" i="5" s="1"/>
  <c r="CE94" i="5"/>
  <c r="AT94" i="5"/>
  <c r="BU92" i="5"/>
  <c r="CP91" i="5"/>
  <c r="BL91" i="5"/>
  <c r="CH89" i="5"/>
  <c r="BT89" i="5"/>
  <c r="BC90" i="5"/>
  <c r="CB88" i="5"/>
  <c r="BN88" i="5"/>
  <c r="AT88" i="5"/>
  <c r="CP87" i="5"/>
  <c r="CK86" i="5"/>
  <c r="BX86" i="5"/>
  <c r="BX85" i="5"/>
  <c r="BL85" i="5"/>
  <c r="CP83" i="5"/>
  <c r="BT83" i="5"/>
  <c r="BC84" i="5"/>
  <c r="S83" i="5"/>
  <c r="CI82" i="5"/>
  <c r="CJ82" i="5" s="1"/>
  <c r="CP82" i="5"/>
  <c r="BP82" i="5"/>
  <c r="BR82" i="5" s="1"/>
  <c r="CD81" i="5"/>
  <c r="CE80" i="5"/>
  <c r="BU80" i="5"/>
  <c r="BV80" i="5" s="1"/>
  <c r="BZ80" i="5" s="1"/>
  <c r="AJ80" i="5"/>
  <c r="CE76" i="5"/>
  <c r="BU76" i="5"/>
  <c r="BG77" i="5"/>
  <c r="BG78" i="5" s="1"/>
  <c r="BG79" i="5" s="1"/>
  <c r="S76" i="5"/>
  <c r="N76" i="5" s="1"/>
  <c r="CH75" i="5"/>
  <c r="CP75" i="5"/>
  <c r="CB74" i="5"/>
  <c r="CE73" i="5"/>
  <c r="BL73" i="5"/>
  <c r="CE71" i="5"/>
  <c r="CO71" i="5" s="1"/>
  <c r="BT71" i="5"/>
  <c r="BV71" i="5" s="1"/>
  <c r="CH70" i="5"/>
  <c r="BX70" i="5"/>
  <c r="CR70" i="5" s="1"/>
  <c r="AO70" i="5"/>
  <c r="AY70" i="5" s="1"/>
  <c r="CS69" i="5"/>
  <c r="CD69" i="5"/>
  <c r="BU69" i="5"/>
  <c r="BL69" i="5"/>
  <c r="AG69" i="5"/>
  <c r="CE68" i="5"/>
  <c r="BU68" i="5"/>
  <c r="BV68" i="5" s="1"/>
  <c r="BL68" i="5"/>
  <c r="X69" i="5"/>
  <c r="W69" i="5" s="1"/>
  <c r="CI67" i="5"/>
  <c r="BX67" i="5"/>
  <c r="AT67" i="5"/>
  <c r="X67" i="5"/>
  <c r="W67" i="5" s="1"/>
  <c r="CE65" i="5"/>
  <c r="BU64" i="5"/>
  <c r="BV64" i="5" s="1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P58" i="5"/>
  <c r="AT58" i="5"/>
  <c r="AJ58" i="5"/>
  <c r="AY58" i="5" s="1"/>
  <c r="CP57" i="5"/>
  <c r="X57" i="5"/>
  <c r="W57" i="5" s="1"/>
  <c r="CD56" i="5"/>
  <c r="CL54" i="5"/>
  <c r="CB54" i="5"/>
  <c r="BT54" i="5"/>
  <c r="AJ54" i="5"/>
  <c r="BX53" i="5"/>
  <c r="BS53" i="5"/>
  <c r="AZ53" i="5"/>
  <c r="CB52" i="5"/>
  <c r="BQ55" i="5"/>
  <c r="AO94" i="5"/>
  <c r="AF94" i="5" s="1"/>
  <c r="X94" i="5"/>
  <c r="CI93" i="5"/>
  <c r="BT93" i="5"/>
  <c r="CD92" i="5"/>
  <c r="BP92" i="5"/>
  <c r="CH91" i="5"/>
  <c r="BT91" i="5"/>
  <c r="AJ91" i="5"/>
  <c r="CB89" i="5"/>
  <c r="BN89" i="5"/>
  <c r="BW88" i="5"/>
  <c r="CH87" i="5"/>
  <c r="BU87" i="5"/>
  <c r="CE86" i="5"/>
  <c r="BF86" i="5"/>
  <c r="S86" i="5"/>
  <c r="CH85" i="5"/>
  <c r="BT85" i="5"/>
  <c r="S85" i="5"/>
  <c r="CL83" i="5"/>
  <c r="CA83" i="5"/>
  <c r="BS83" i="5"/>
  <c r="AJ83" i="5"/>
  <c r="CE82" i="5"/>
  <c r="AT82" i="5"/>
  <c r="S82" i="5"/>
  <c r="BS81" i="5"/>
  <c r="AO81" i="5"/>
  <c r="AF81" i="5" s="1"/>
  <c r="CL80" i="5"/>
  <c r="CA80" i="5"/>
  <c r="BP80" i="5"/>
  <c r="CK76" i="5"/>
  <c r="CA76" i="5"/>
  <c r="CC76" i="5" s="1"/>
  <c r="BP76" i="5"/>
  <c r="CD75" i="5"/>
  <c r="BL75" i="5"/>
  <c r="AT75" i="5"/>
  <c r="AJ75" i="5"/>
  <c r="AY75" i="5" s="1"/>
  <c r="BX74" i="5"/>
  <c r="BN74" i="5"/>
  <c r="CK73" i="5"/>
  <c r="CB73" i="5"/>
  <c r="CC73" i="5" s="1"/>
  <c r="AO73" i="5"/>
  <c r="N73" i="5" s="1"/>
  <c r="CL71" i="5"/>
  <c r="CR71" i="5" s="1"/>
  <c r="CA71" i="5"/>
  <c r="CC71" i="5" s="1"/>
  <c r="BP71" i="5"/>
  <c r="BC72" i="5"/>
  <c r="AO71" i="5"/>
  <c r="CD70" i="5"/>
  <c r="BU70" i="5"/>
  <c r="BL70" i="5"/>
  <c r="AG70" i="5"/>
  <c r="AZ70" i="5"/>
  <c r="S70" i="5"/>
  <c r="CI69" i="5"/>
  <c r="CA69" i="5"/>
  <c r="BS69" i="5"/>
  <c r="AJ69" i="5"/>
  <c r="S69" i="5"/>
  <c r="CK68" i="5"/>
  <c r="CA68" i="5"/>
  <c r="BS68" i="5"/>
  <c r="CE67" i="5"/>
  <c r="BT67" i="5"/>
  <c r="BF67" i="5"/>
  <c r="CL65" i="5"/>
  <c r="CB65" i="5"/>
  <c r="CK64" i="5"/>
  <c r="CB64" i="5"/>
  <c r="BP64" i="5"/>
  <c r="BR64" i="5" s="1"/>
  <c r="BU63" i="5"/>
  <c r="BV63" i="5" s="1"/>
  <c r="BL63" i="5"/>
  <c r="AG63" i="5"/>
  <c r="AZ63" i="5"/>
  <c r="S63" i="5"/>
  <c r="CH62" i="5"/>
  <c r="BX62" i="5"/>
  <c r="CE59" i="5"/>
  <c r="BT59" i="5"/>
  <c r="BV59" i="5" s="1"/>
  <c r="BG60" i="5"/>
  <c r="BG61" i="5" s="1"/>
  <c r="CS58" i="5"/>
  <c r="CB58" i="5"/>
  <c r="AZ58" i="5"/>
  <c r="CL57" i="5"/>
  <c r="CB57" i="5"/>
  <c r="AJ57" i="5"/>
  <c r="AY57" i="5" s="1"/>
  <c r="BP56" i="5"/>
  <c r="BR56" i="5" s="1"/>
  <c r="AO56" i="5"/>
  <c r="N56" i="5" s="1"/>
  <c r="CH54" i="5"/>
  <c r="CS54" i="5"/>
  <c r="BP54" i="5"/>
  <c r="BR54" i="5" s="1"/>
  <c r="BC55" i="5"/>
  <c r="CS53" i="5"/>
  <c r="CD53" i="5"/>
  <c r="BU53" i="5"/>
  <c r="BX94" i="5"/>
  <c r="CR94" i="5" s="1"/>
  <c r="CH93" i="5"/>
  <c r="X93" i="5"/>
  <c r="W93" i="5" s="1"/>
  <c r="CA89" i="5"/>
  <c r="AT89" i="5"/>
  <c r="CI88" i="5"/>
  <c r="BT87" i="5"/>
  <c r="AZ87" i="5"/>
  <c r="CD86" i="5"/>
  <c r="CK83" i="5"/>
  <c r="BN83" i="5"/>
  <c r="BR83" i="5" s="1"/>
  <c r="CD82" i="5"/>
  <c r="BL82" i="5"/>
  <c r="AJ82" i="5"/>
  <c r="CI81" i="5"/>
  <c r="BN81" i="5"/>
  <c r="CK80" i="5"/>
  <c r="BS80" i="5"/>
  <c r="AO80" i="5"/>
  <c r="CP74" i="5"/>
  <c r="BF74" i="5"/>
  <c r="BF73" i="5"/>
  <c r="AJ73" i="5"/>
  <c r="CK71" i="5"/>
  <c r="CI70" i="5"/>
  <c r="BT70" i="5"/>
  <c r="CK69" i="5"/>
  <c r="BW69" i="5"/>
  <c r="CB68" i="5"/>
  <c r="S68" i="5"/>
  <c r="CB67" i="5"/>
  <c r="CD65" i="5"/>
  <c r="BP65" i="5"/>
  <c r="CA64" i="5"/>
  <c r="S64" i="5"/>
  <c r="CA63" i="5"/>
  <c r="CP62" i="5"/>
  <c r="CB59" i="5"/>
  <c r="BL59" i="5"/>
  <c r="CL58" i="5"/>
  <c r="BU58" i="5"/>
  <c r="BU60" i="5" s="1"/>
  <c r="CH57" i="5"/>
  <c r="BT57" i="5"/>
  <c r="BV57" i="5" s="1"/>
  <c r="BZ57" i="5" s="1"/>
  <c r="CH56" i="5"/>
  <c r="BT56" i="5"/>
  <c r="CI54" i="5"/>
  <c r="BW54" i="5"/>
  <c r="BL54" i="5"/>
  <c r="X56" i="5"/>
  <c r="W56" i="5" s="1"/>
  <c r="CH53" i="5"/>
  <c r="CJ53" i="5" s="1"/>
  <c r="CA52" i="5"/>
  <c r="AG52" i="5"/>
  <c r="CK51" i="5"/>
  <c r="CP51" i="5"/>
  <c r="CQ51" i="5" s="1"/>
  <c r="BP51" i="5"/>
  <c r="BQ49" i="5"/>
  <c r="BF43" i="5"/>
  <c r="BF44" i="5" s="1"/>
  <c r="BL43" i="5"/>
  <c r="BW34" i="5"/>
  <c r="AV34" i="5"/>
  <c r="AZ34" i="5"/>
  <c r="R34" i="5"/>
  <c r="W35" i="5" s="1"/>
  <c r="CI33" i="5"/>
  <c r="CS33" i="5"/>
  <c r="AT33" i="5"/>
  <c r="AJ33" i="5"/>
  <c r="AY33" i="5" s="1"/>
  <c r="R33" i="5"/>
  <c r="CN31" i="5"/>
  <c r="CE31" i="5"/>
  <c r="CO31" i="5" s="1"/>
  <c r="AS31" i="5"/>
  <c r="AE31" i="5" s="1"/>
  <c r="AI31" i="5"/>
  <c r="AX31" i="5" s="1"/>
  <c r="R31" i="5"/>
  <c r="W31" i="5" s="1"/>
  <c r="W32" i="5" s="1"/>
  <c r="CL30" i="5"/>
  <c r="BU30" i="5"/>
  <c r="AN30" i="5"/>
  <c r="BX29" i="5"/>
  <c r="CR29" i="5" s="1"/>
  <c r="BR29" i="5"/>
  <c r="AN29" i="5"/>
  <c r="CK28" i="5"/>
  <c r="CB28" i="5"/>
  <c r="AD28" i="5"/>
  <c r="AW28" i="5"/>
  <c r="CH25" i="5"/>
  <c r="BQ26" i="5"/>
  <c r="AS25" i="5"/>
  <c r="AE25" i="5" s="1"/>
  <c r="AI25" i="5"/>
  <c r="AX25" i="5" s="1"/>
  <c r="R25" i="5"/>
  <c r="CJ26" i="5"/>
  <c r="CB24" i="5"/>
  <c r="BA24" i="5"/>
  <c r="BJ24" i="5" s="1"/>
  <c r="CH23" i="5"/>
  <c r="CS23" i="5"/>
  <c r="AO23" i="5"/>
  <c r="N23" i="5" s="1"/>
  <c r="BW94" i="5"/>
  <c r="CE93" i="5"/>
  <c r="S92" i="5"/>
  <c r="S88" i="5"/>
  <c r="N88" i="5" s="1"/>
  <c r="AJ87" i="5"/>
  <c r="AY87" i="5" s="1"/>
  <c r="CA86" i="5"/>
  <c r="AJ85" i="5"/>
  <c r="AY85" i="5" s="1"/>
  <c r="CB82" i="5"/>
  <c r="CH81" i="5"/>
  <c r="CI80" i="5"/>
  <c r="BN80" i="5"/>
  <c r="BX76" i="5"/>
  <c r="CB75" i="5"/>
  <c r="CK74" i="5"/>
  <c r="BW74" i="5"/>
  <c r="CL73" i="5"/>
  <c r="BW73" i="5"/>
  <c r="CI71" i="5"/>
  <c r="AT71" i="5"/>
  <c r="CH69" i="5"/>
  <c r="BT69" i="5"/>
  <c r="AZ69" i="5"/>
  <c r="CP68" i="5"/>
  <c r="AO68" i="5"/>
  <c r="CP67" i="5"/>
  <c r="BN65" i="5"/>
  <c r="O65" i="5"/>
  <c r="BF64" i="5"/>
  <c r="BX63" i="5"/>
  <c r="CO63" i="5" s="1"/>
  <c r="BF63" i="5"/>
  <c r="BW62" i="5"/>
  <c r="AJ62" i="5"/>
  <c r="CP59" i="5"/>
  <c r="BF59" i="5"/>
  <c r="BF60" i="5" s="1"/>
  <c r="BF61" i="5" s="1"/>
  <c r="CK58" i="5"/>
  <c r="BT58" i="5"/>
  <c r="CE57" i="5"/>
  <c r="BS57" i="5"/>
  <c r="AO54" i="5"/>
  <c r="AF54" i="5" s="1"/>
  <c r="S54" i="5"/>
  <c r="CP53" i="5"/>
  <c r="BT53" i="5"/>
  <c r="BF53" i="5"/>
  <c r="CL52" i="5"/>
  <c r="BN52" i="5"/>
  <c r="BR52" i="5" s="1"/>
  <c r="AT52" i="5"/>
  <c r="X53" i="5"/>
  <c r="W53" i="5" s="1"/>
  <c r="CI51" i="5"/>
  <c r="BX51" i="5"/>
  <c r="AO51" i="5"/>
  <c r="BG49" i="5"/>
  <c r="CD49" i="5"/>
  <c r="X49" i="5"/>
  <c r="CB43" i="5"/>
  <c r="BC43" i="5"/>
  <c r="BC44" i="5" s="1"/>
  <c r="CI43" i="5"/>
  <c r="BX43" i="5"/>
  <c r="CN34" i="5"/>
  <c r="CE34" i="5"/>
  <c r="AT34" i="5"/>
  <c r="AJ34" i="5"/>
  <c r="V35" i="5"/>
  <c r="CH33" i="5"/>
  <c r="BX33" i="5"/>
  <c r="CO33" i="5" s="1"/>
  <c r="AS33" i="5"/>
  <c r="AI33" i="5"/>
  <c r="CL31" i="5"/>
  <c r="CD31" i="5"/>
  <c r="CD32" i="5" s="1"/>
  <c r="BU31" i="5"/>
  <c r="AV31" i="5"/>
  <c r="CK30" i="5"/>
  <c r="CB30" i="5"/>
  <c r="BT30" i="5"/>
  <c r="BD30" i="5"/>
  <c r="AG30" i="5"/>
  <c r="AD30" i="5"/>
  <c r="CG29" i="5"/>
  <c r="BX93" i="5"/>
  <c r="O93" i="5"/>
  <c r="CH92" i="5"/>
  <c r="CK91" i="5"/>
  <c r="BF91" i="5"/>
  <c r="BP89" i="5"/>
  <c r="CA88" i="5"/>
  <c r="CK87" i="5"/>
  <c r="BL87" i="5"/>
  <c r="CK85" i="5"/>
  <c r="CE83" i="5"/>
  <c r="BX82" i="5"/>
  <c r="CB81" i="5"/>
  <c r="BF81" i="5"/>
  <c r="CD80" i="5"/>
  <c r="BF80" i="5"/>
  <c r="BT76" i="5"/>
  <c r="BX75" i="5"/>
  <c r="CI74" i="5"/>
  <c r="AJ74" i="5"/>
  <c r="AY74" i="5" s="1"/>
  <c r="BU73" i="5"/>
  <c r="CE70" i="5"/>
  <c r="BP70" i="5"/>
  <c r="AT70" i="5"/>
  <c r="BX68" i="5"/>
  <c r="BF68" i="5"/>
  <c r="BW67" i="5"/>
  <c r="AJ67" i="5"/>
  <c r="AY67" i="5" s="1"/>
  <c r="CA65" i="5"/>
  <c r="BL65" i="5"/>
  <c r="AO65" i="5"/>
  <c r="AY65" i="5" s="1"/>
  <c r="CL64" i="5"/>
  <c r="BW64" i="5"/>
  <c r="BW63" i="5"/>
  <c r="AJ63" i="5"/>
  <c r="CK62" i="5"/>
  <c r="BU62" i="5"/>
  <c r="BW59" i="5"/>
  <c r="BW60" i="5" s="1"/>
  <c r="BC60" i="5"/>
  <c r="BC61" i="5" s="1"/>
  <c r="CH58" i="5"/>
  <c r="CD57" i="5"/>
  <c r="BP57" i="5"/>
  <c r="BR57" i="5" s="1"/>
  <c r="AZ57" i="5"/>
  <c r="CE56" i="5"/>
  <c r="AJ56" i="5"/>
  <c r="CE54" i="5"/>
  <c r="CO54" i="5" s="1"/>
  <c r="BU54" i="5"/>
  <c r="BF54" i="5"/>
  <c r="BF55" i="5" s="1"/>
  <c r="CE53" i="5"/>
  <c r="CK52" i="5"/>
  <c r="BX52" i="5"/>
  <c r="BM55" i="5"/>
  <c r="AJ52" i="5"/>
  <c r="S52" i="5"/>
  <c r="CH51" i="5"/>
  <c r="BW51" i="5"/>
  <c r="BN51" i="5"/>
  <c r="BF49" i="5"/>
  <c r="CM49" i="5"/>
  <c r="CK43" i="5"/>
  <c r="CL34" i="5"/>
  <c r="CR34" i="5" s="1"/>
  <c r="CD34" i="5"/>
  <c r="CD38" i="5" s="1"/>
  <c r="BU34" i="5"/>
  <c r="BU38" i="5" s="1"/>
  <c r="AS34" i="5"/>
  <c r="AE34" i="5" s="1"/>
  <c r="AI34" i="5"/>
  <c r="AX34" i="5" s="1"/>
  <c r="BW33" i="5"/>
  <c r="AD33" i="5"/>
  <c r="AL33" i="5"/>
  <c r="CK31" i="5"/>
  <c r="CG31" i="5"/>
  <c r="BT31" i="5"/>
  <c r="BG32" i="5"/>
  <c r="O31" i="5"/>
  <c r="CN30" i="5"/>
  <c r="CA30" i="5"/>
  <c r="CA32" i="5" s="1"/>
  <c r="BS30" i="5"/>
  <c r="AT30" i="5"/>
  <c r="CS29" i="5"/>
  <c r="CE29" i="5"/>
  <c r="BZ29" i="5"/>
  <c r="AT29" i="5"/>
  <c r="AZ29" i="5"/>
  <c r="R29" i="5"/>
  <c r="W30" i="5" s="1"/>
  <c r="CI28" i="5"/>
  <c r="CI32" i="5" s="1"/>
  <c r="CS28" i="5"/>
  <c r="BR28" i="5"/>
  <c r="BA28" i="5"/>
  <c r="AO28" i="5"/>
  <c r="AF28" i="5" s="1"/>
  <c r="CE25" i="5"/>
  <c r="CO25" i="5" s="1"/>
  <c r="BW25" i="5"/>
  <c r="BO26" i="5"/>
  <c r="O25" i="5"/>
  <c r="CH24" i="5"/>
  <c r="CP24" i="5"/>
  <c r="CQ24" i="5" s="1"/>
  <c r="BR24" i="5"/>
  <c r="BC24" i="5"/>
  <c r="AN24" i="5"/>
  <c r="CF26" i="5"/>
  <c r="BW23" i="5"/>
  <c r="AQ23" i="5"/>
  <c r="CL22" i="5"/>
  <c r="CR22" i="5" s="1"/>
  <c r="CG22" i="5"/>
  <c r="BT22" i="5"/>
  <c r="AI22" i="5"/>
  <c r="AX22" i="5" s="1"/>
  <c r="CI20" i="5"/>
  <c r="CS20" i="5"/>
  <c r="BS20" i="5"/>
  <c r="BC20" i="5"/>
  <c r="BC21" i="5" s="1"/>
  <c r="AL20" i="5"/>
  <c r="BW19" i="5"/>
  <c r="AD19" i="5"/>
  <c r="X19" i="5"/>
  <c r="CA18" i="5"/>
  <c r="CA21" i="5" s="1"/>
  <c r="BR18" i="5"/>
  <c r="BC18" i="5"/>
  <c r="AL18" i="5"/>
  <c r="CI94" i="5"/>
  <c r="BF94" i="5"/>
  <c r="BF95" i="5" s="1"/>
  <c r="BF96" i="5" s="1"/>
  <c r="BP93" i="5"/>
  <c r="AJ93" i="5"/>
  <c r="CA92" i="5"/>
  <c r="AO92" i="5"/>
  <c r="AF92" i="5" s="1"/>
  <c r="CD91" i="5"/>
  <c r="CL89" i="5"/>
  <c r="CE87" i="5"/>
  <c r="AJ86" i="5"/>
  <c r="CD85" i="5"/>
  <c r="BX83" i="5"/>
  <c r="BT82" i="5"/>
  <c r="BV82" i="5" s="1"/>
  <c r="BW81" i="5"/>
  <c r="AG81" i="5"/>
  <c r="BX80" i="5"/>
  <c r="CH76" i="5"/>
  <c r="CJ76" i="5" s="1"/>
  <c r="BN76" i="5"/>
  <c r="CL75" i="5"/>
  <c r="BT75" i="5"/>
  <c r="BV75" i="5" s="1"/>
  <c r="S75" i="5"/>
  <c r="CE74" i="5"/>
  <c r="CD73" i="5"/>
  <c r="BG72" i="5"/>
  <c r="CS70" i="5"/>
  <c r="CB69" i="5"/>
  <c r="CI68" i="5"/>
  <c r="CH67" i="5"/>
  <c r="BP67" i="5"/>
  <c r="BR67" i="5" s="1"/>
  <c r="CK65" i="5"/>
  <c r="BU65" i="5"/>
  <c r="BV65" i="5" s="1"/>
  <c r="BZ65" i="5" s="1"/>
  <c r="BC66" i="5"/>
  <c r="BS64" i="5"/>
  <c r="AT64" i="5"/>
  <c r="CH63" i="5"/>
  <c r="CJ63" i="5" s="1"/>
  <c r="BP63" i="5"/>
  <c r="BR63" i="5" s="1"/>
  <c r="AT63" i="5"/>
  <c r="CE62" i="5"/>
  <c r="BN62" i="5"/>
  <c r="S62" i="5"/>
  <c r="CH59" i="5"/>
  <c r="BS59" i="5"/>
  <c r="S59" i="5"/>
  <c r="N59" i="5" s="1"/>
  <c r="AA59" i="5" s="1"/>
  <c r="CA58" i="5"/>
  <c r="BL58" i="5"/>
  <c r="CS57" i="5"/>
  <c r="BX57" i="5"/>
  <c r="BL57" i="5"/>
  <c r="CL56" i="5"/>
  <c r="BX56" i="5"/>
  <c r="CA54" i="5"/>
  <c r="BS54" i="5"/>
  <c r="CL53" i="5"/>
  <c r="CA53" i="5"/>
  <c r="CC53" i="5" s="1"/>
  <c r="BN53" i="5"/>
  <c r="BR53" i="5" s="1"/>
  <c r="S53" i="5"/>
  <c r="N53" i="5" s="1"/>
  <c r="AA53" i="5" s="1"/>
  <c r="BT52" i="5"/>
  <c r="BV52" i="5" s="1"/>
  <c r="BF52" i="5"/>
  <c r="AO52" i="5"/>
  <c r="AF52" i="5" s="1"/>
  <c r="CD51" i="5"/>
  <c r="BT51" i="5"/>
  <c r="AT51" i="5"/>
  <c r="AJ51" i="5"/>
  <c r="BF38" i="5"/>
  <c r="CI34" i="5"/>
  <c r="CA34" i="5"/>
  <c r="AO34" i="5"/>
  <c r="CL33" i="5"/>
  <c r="BT33" i="5"/>
  <c r="AN33" i="5"/>
  <c r="CH31" i="5"/>
  <c r="CH32" i="5" s="1"/>
  <c r="CP31" i="5"/>
  <c r="BC31" i="5"/>
  <c r="BC32" i="5" s="1"/>
  <c r="CP30" i="5"/>
  <c r="BX30" i="5"/>
  <c r="AI30" i="5"/>
  <c r="V30" i="5"/>
  <c r="CB29" i="5"/>
  <c r="BS29" i="5"/>
  <c r="BC29" i="5"/>
  <c r="CE28" i="5"/>
  <c r="CO28" i="5" s="1"/>
  <c r="AG28" i="5"/>
  <c r="AZ28" i="5"/>
  <c r="R28" i="5"/>
  <c r="CK25" i="5"/>
  <c r="CB25" i="5"/>
  <c r="BT25" i="5"/>
  <c r="BL26" i="5"/>
  <c r="CE24" i="5"/>
  <c r="CO24" i="5" s="1"/>
  <c r="BV26" i="5"/>
  <c r="BM26" i="5"/>
  <c r="AT24" i="5"/>
  <c r="AJ24" i="5"/>
  <c r="AY24" i="5" s="1"/>
  <c r="R24" i="5"/>
  <c r="CK23" i="5"/>
  <c r="BT23" i="5"/>
  <c r="AS23" i="5"/>
  <c r="AE23" i="5" s="1"/>
  <c r="AI23" i="5"/>
  <c r="AX23" i="5" s="1"/>
  <c r="V24" i="5"/>
  <c r="CI22" i="5"/>
  <c r="CI26" i="5" s="1"/>
  <c r="CS22" i="5"/>
  <c r="AO22" i="5"/>
  <c r="CE20" i="5"/>
  <c r="CE21" i="5" s="1"/>
  <c r="BV21" i="5"/>
  <c r="BL21" i="5"/>
  <c r="AN20" i="5"/>
  <c r="AE20" i="5" s="1"/>
  <c r="CL19" i="5"/>
  <c r="CR19" i="5" s="1"/>
  <c r="CC21" i="5"/>
  <c r="BT19" i="5"/>
  <c r="BT21" i="5" s="1"/>
  <c r="BD19" i="5"/>
  <c r="AS19" i="5"/>
  <c r="AE19" i="5" s="1"/>
  <c r="AI19" i="5"/>
  <c r="AX19" i="5" s="1"/>
  <c r="BW18" i="5"/>
  <c r="AV18" i="5"/>
  <c r="CH17" i="5"/>
  <c r="CH21" i="5" s="1"/>
  <c r="BX17" i="5"/>
  <c r="CR17" i="5" s="1"/>
  <c r="BR17" i="5"/>
  <c r="BC17" i="5"/>
  <c r="AL17" i="5"/>
  <c r="CI16" i="5"/>
  <c r="AZ16" i="5"/>
  <c r="S16" i="5"/>
  <c r="N16" i="5" s="1"/>
  <c r="CI14" i="5"/>
  <c r="CI15" i="5" s="1"/>
  <c r="BO15" i="5"/>
  <c r="BC14" i="5"/>
  <c r="BC15" i="5" s="1"/>
  <c r="AN14" i="5"/>
  <c r="CP13" i="5"/>
  <c r="CQ13" i="5" s="1"/>
  <c r="BW13" i="5"/>
  <c r="BW15" i="5" s="1"/>
  <c r="BM15" i="5"/>
  <c r="AN13" i="5"/>
  <c r="AX13" i="5" s="1"/>
  <c r="CJ15" i="5"/>
  <c r="CA12" i="5"/>
  <c r="CA15" i="5" s="1"/>
  <c r="AO12" i="5"/>
  <c r="CE11" i="5"/>
  <c r="CO11" i="5" s="1"/>
  <c r="BV15" i="5"/>
  <c r="BL15" i="5"/>
  <c r="AS11" i="5"/>
  <c r="AE11" i="5" s="1"/>
  <c r="BD28" i="5"/>
  <c r="BD20" i="5"/>
  <c r="BD21" i="5" s="1"/>
  <c r="BD14" i="5"/>
  <c r="J11" i="5"/>
  <c r="H14" i="5"/>
  <c r="D14" i="5" s="1"/>
  <c r="G18" i="5"/>
  <c r="D18" i="5" s="1"/>
  <c r="I20" i="5"/>
  <c r="F20" i="5" s="1"/>
  <c r="I24" i="5"/>
  <c r="J28" i="5"/>
  <c r="J30" i="5"/>
  <c r="J33" i="5"/>
  <c r="AQ14" i="5"/>
  <c r="CK15" i="5"/>
  <c r="O12" i="5"/>
  <c r="CC15" i="5"/>
  <c r="CG11" i="5"/>
  <c r="BX26" i="5"/>
  <c r="CO22" i="5"/>
  <c r="AL23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V12" i="5"/>
  <c r="AQ17" i="5"/>
  <c r="AW22" i="5"/>
  <c r="CR28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Y53" i="5"/>
  <c r="AF57" i="5"/>
  <c r="CC56" i="5"/>
  <c r="O63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D65" i="5"/>
  <c r="D29" i="5"/>
  <c r="F92" i="5"/>
  <c r="F82" i="5"/>
  <c r="F89" i="5"/>
  <c r="F74" i="5"/>
  <c r="D70" i="5"/>
  <c r="F87" i="5"/>
  <c r="D22" i="5"/>
  <c r="J84" i="5"/>
  <c r="G66" i="5"/>
  <c r="I66" i="5" s="1"/>
  <c r="D89" i="5"/>
  <c r="F62" i="5"/>
  <c r="K49" i="5"/>
  <c r="F22" i="5"/>
  <c r="CW89" i="5"/>
  <c r="CW69" i="5"/>
  <c r="CX66" i="5"/>
  <c r="CW87" i="5"/>
  <c r="BD88" i="5"/>
  <c r="CX95" i="5"/>
  <c r="CX96" i="5" s="1"/>
  <c r="CW88" i="5"/>
  <c r="BD62" i="5"/>
  <c r="CW53" i="5"/>
  <c r="CW52" i="5"/>
  <c r="CY52" i="5" s="1"/>
  <c r="BD70" i="5"/>
  <c r="BD23" i="5"/>
  <c r="BD13" i="5"/>
  <c r="CY12" i="5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BD33" i="5"/>
  <c r="BK33" i="5" s="1"/>
  <c r="BD11" i="5"/>
  <c r="H13" i="5"/>
  <c r="F13" i="5" s="1"/>
  <c r="K14" i="5"/>
  <c r="H17" i="5"/>
  <c r="F17" i="5" s="1"/>
  <c r="J18" i="5"/>
  <c r="J19" i="5"/>
  <c r="K20" i="5"/>
  <c r="K22" i="5"/>
  <c r="H24" i="5"/>
  <c r="BD86" i="5"/>
  <c r="CW71" i="5"/>
  <c r="BD69" i="5"/>
  <c r="CW49" i="5"/>
  <c r="CY51" i="5"/>
  <c r="BD38" i="5"/>
  <c r="BD29" i="5"/>
  <c r="BA19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49" i="5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F31" i="5"/>
  <c r="F57" i="5"/>
  <c r="K55" i="5"/>
  <c r="D57" i="5"/>
  <c r="AL69" i="3" l="1"/>
  <c r="AH70" i="3"/>
  <c r="AW70" i="3" s="1"/>
  <c r="AQ72" i="3"/>
  <c r="AM73" i="3"/>
  <c r="L73" i="3" s="1"/>
  <c r="AC65" i="3"/>
  <c r="Y66" i="3"/>
  <c r="AY66" i="3" s="1"/>
  <c r="AR65" i="3"/>
  <c r="AV65" i="3" s="1"/>
  <c r="AV64" i="3"/>
  <c r="Y69" i="3"/>
  <c r="AC69" i="3" s="1"/>
  <c r="P69" i="3"/>
  <c r="AM71" i="3"/>
  <c r="AD70" i="3"/>
  <c r="AQ70" i="3"/>
  <c r="L70" i="3"/>
  <c r="BB67" i="3"/>
  <c r="BA68" i="3"/>
  <c r="BJ67" i="3"/>
  <c r="BE67" i="3"/>
  <c r="BH73" i="3"/>
  <c r="V74" i="3"/>
  <c r="CW73" i="3"/>
  <c r="Q74" i="3"/>
  <c r="U73" i="3"/>
  <c r="X95" i="5"/>
  <c r="X96" i="5" s="1"/>
  <c r="W94" i="5"/>
  <c r="W95" i="5" s="1"/>
  <c r="W96" i="5" s="1"/>
  <c r="CQ74" i="5"/>
  <c r="X66" i="5"/>
  <c r="BS70" i="5"/>
  <c r="CO88" i="5"/>
  <c r="BS74" i="5"/>
  <c r="BI25" i="5"/>
  <c r="X73" i="5"/>
  <c r="W73" i="5" s="1"/>
  <c r="BW55" i="5"/>
  <c r="W28" i="5"/>
  <c r="X82" i="5"/>
  <c r="W82" i="5" s="1"/>
  <c r="W25" i="5"/>
  <c r="W26" i="5" s="1"/>
  <c r="W27" i="5" s="1"/>
  <c r="W24" i="5"/>
  <c r="X59" i="5"/>
  <c r="X88" i="5"/>
  <c r="W88" i="5" s="1"/>
  <c r="X62" i="5"/>
  <c r="W62" i="5" s="1"/>
  <c r="X54" i="5"/>
  <c r="BI17" i="5"/>
  <c r="BH14" i="5"/>
  <c r="X81" i="5"/>
  <c r="W81" i="5" s="1"/>
  <c r="X91" i="5"/>
  <c r="W91" i="5" s="1"/>
  <c r="U31" i="5"/>
  <c r="V33" i="5"/>
  <c r="X87" i="5"/>
  <c r="W87" i="5" s="1"/>
  <c r="W34" i="5"/>
  <c r="X76" i="5"/>
  <c r="O91" i="5"/>
  <c r="X92" i="5"/>
  <c r="W92" i="5" s="1"/>
  <c r="BZ23" i="5"/>
  <c r="X75" i="5"/>
  <c r="W75" i="5" s="1"/>
  <c r="T26" i="5"/>
  <c r="AK26" i="5" s="1"/>
  <c r="X24" i="5"/>
  <c r="O29" i="5"/>
  <c r="AB29" i="5" s="1"/>
  <c r="X30" i="5"/>
  <c r="W33" i="5"/>
  <c r="W38" i="5"/>
  <c r="T66" i="5"/>
  <c r="AK66" i="5" s="1"/>
  <c r="X63" i="5"/>
  <c r="W63" i="5" s="1"/>
  <c r="X85" i="5"/>
  <c r="W85" i="5" s="1"/>
  <c r="X74" i="5"/>
  <c r="W74" i="5" s="1"/>
  <c r="X71" i="5"/>
  <c r="AC35" i="5"/>
  <c r="X52" i="5"/>
  <c r="W52" i="5" s="1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68" i="5" s="1"/>
  <c r="O57" i="5"/>
  <c r="AB57" i="5" s="1"/>
  <c r="X58" i="5"/>
  <c r="W58" i="5" s="1"/>
  <c r="X86" i="5"/>
  <c r="W86" i="5" s="1"/>
  <c r="V20" i="5"/>
  <c r="V21" i="5" s="1"/>
  <c r="V31" i="5"/>
  <c r="V32" i="5" s="1"/>
  <c r="U22" i="5"/>
  <c r="V23" i="5"/>
  <c r="V34" i="5"/>
  <c r="X89" i="5"/>
  <c r="X83" i="5"/>
  <c r="X38" i="5"/>
  <c r="X70" i="5"/>
  <c r="W70" i="5" s="1"/>
  <c r="X23" i="5"/>
  <c r="V19" i="5"/>
  <c r="AF73" i="5"/>
  <c r="AA73" i="5" s="1"/>
  <c r="BX49" i="5"/>
  <c r="Y11" i="5"/>
  <c r="AG34" i="5"/>
  <c r="AB34" i="5" s="1"/>
  <c r="BI24" i="5"/>
  <c r="BI20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BI93" i="5"/>
  <c r="BH17" i="5"/>
  <c r="BK86" i="5"/>
  <c r="BR62" i="5"/>
  <c r="BA15" i="5"/>
  <c r="CJ51" i="5"/>
  <c r="CN51" i="5" s="1"/>
  <c r="BK23" i="5"/>
  <c r="AF65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CT13" i="5"/>
  <c r="AY68" i="5"/>
  <c r="BD76" i="5"/>
  <c r="BD77" i="5" s="1"/>
  <c r="CS59" i="5"/>
  <c r="AY73" i="5"/>
  <c r="CQ53" i="5"/>
  <c r="CJ59" i="5"/>
  <c r="CN59" i="5" s="1"/>
  <c r="O85" i="5"/>
  <c r="D49" i="5"/>
  <c r="E52" i="5"/>
  <c r="BD59" i="5"/>
  <c r="BI59" i="5" s="1"/>
  <c r="BD57" i="5"/>
  <c r="BK57" i="5" s="1"/>
  <c r="AB22" i="5"/>
  <c r="E76" i="5"/>
  <c r="AA57" i="5"/>
  <c r="BV58" i="5"/>
  <c r="BZ58" i="5" s="1"/>
  <c r="AI21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BJ17" i="5"/>
  <c r="CO59" i="5"/>
  <c r="AZ76" i="5"/>
  <c r="CR80" i="5"/>
  <c r="BB29" i="5"/>
  <c r="CJ92" i="5"/>
  <c r="CN92" i="5" s="1"/>
  <c r="CO68" i="5"/>
  <c r="CQ82" i="5"/>
  <c r="AB11" i="5"/>
  <c r="BD83" i="5"/>
  <c r="BI83" i="5" s="1"/>
  <c r="BZ22" i="5"/>
  <c r="AB20" i="5"/>
  <c r="BE14" i="5"/>
  <c r="CC89" i="5"/>
  <c r="CG89" i="5" s="1"/>
  <c r="AG91" i="5"/>
  <c r="CP54" i="5"/>
  <c r="CQ54" i="5" s="1"/>
  <c r="Z18" i="5"/>
  <c r="BE17" i="5"/>
  <c r="CJ32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Y29" i="5"/>
  <c r="E94" i="5"/>
  <c r="O43" i="5"/>
  <c r="AP43" i="5" s="1"/>
  <c r="BU90" i="5"/>
  <c r="BS73" i="5"/>
  <c r="CE55" i="5"/>
  <c r="BR80" i="5"/>
  <c r="CY27" i="5"/>
  <c r="BK88" i="5"/>
  <c r="E86" i="5"/>
  <c r="CY14" i="5"/>
  <c r="BY72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AZ85" i="5"/>
  <c r="O81" i="5"/>
  <c r="AB81" i="5" s="1"/>
  <c r="BY84" i="5"/>
  <c r="AF70" i="5"/>
  <c r="AY81" i="5"/>
  <c r="CN15" i="5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BP95" i="5"/>
  <c r="CK66" i="5"/>
  <c r="CO57" i="5"/>
  <c r="CT57" i="5" s="1"/>
  <c r="BW66" i="5"/>
  <c r="BL66" i="5"/>
  <c r="CS94" i="5"/>
  <c r="BD56" i="5"/>
  <c r="CA72" i="5"/>
  <c r="BL90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CA38" i="5"/>
  <c r="CO29" i="5"/>
  <c r="CT29" i="5" s="1"/>
  <c r="CK49" i="5"/>
  <c r="BO90" i="5"/>
  <c r="CA66" i="5"/>
  <c r="BV87" i="5"/>
  <c r="BZ87" i="5" s="1"/>
  <c r="AZ59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BK19" i="5"/>
  <c r="S66" i="5"/>
  <c r="AJ66" i="5" s="1"/>
  <c r="D33" i="5"/>
  <c r="E33" i="5" s="1"/>
  <c r="BH18" i="5"/>
  <c r="BI19" i="5"/>
  <c r="AG51" i="5"/>
  <c r="M13" i="5"/>
  <c r="AL16" i="5"/>
  <c r="CK26" i="5"/>
  <c r="CK27" i="5" s="1"/>
  <c r="BM32" i="5"/>
  <c r="CR73" i="5"/>
  <c r="AZ68" i="5"/>
  <c r="AZ65" i="5"/>
  <c r="O73" i="5"/>
  <c r="BJ20" i="5"/>
  <c r="CM38" i="5"/>
  <c r="O51" i="5"/>
  <c r="AZ51" i="5"/>
  <c r="BB24" i="5"/>
  <c r="Z19" i="5"/>
  <c r="BY43" i="5"/>
  <c r="BM43" i="5"/>
  <c r="AY52" i="5"/>
  <c r="CC86" i="5"/>
  <c r="CG86" i="5" s="1"/>
  <c r="BS52" i="5"/>
  <c r="BD67" i="5"/>
  <c r="BK67" i="5" s="1"/>
  <c r="CJ70" i="5"/>
  <c r="CN70" i="5" s="1"/>
  <c r="BS75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T60" i="5"/>
  <c r="AK60" i="5" s="1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CG53" i="5"/>
  <c r="BX60" i="5"/>
  <c r="CC58" i="5"/>
  <c r="CG58" i="5" s="1"/>
  <c r="CA95" i="5"/>
  <c r="BW43" i="5"/>
  <c r="BX77" i="5"/>
  <c r="CC81" i="5"/>
  <c r="CG81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O86" i="5"/>
  <c r="BI86" i="5"/>
  <c r="T90" i="5"/>
  <c r="AK90" i="5" s="1"/>
  <c r="BS87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BX55" i="5"/>
  <c r="CO52" i="5"/>
  <c r="BU66" i="5"/>
  <c r="O71" i="5"/>
  <c r="CD84" i="5"/>
  <c r="BZ34" i="5"/>
  <c r="BV38" i="5"/>
  <c r="CE43" i="5"/>
  <c r="CO43" i="5" s="1"/>
  <c r="BO49" i="5"/>
  <c r="BS49" i="5" s="1"/>
  <c r="T49" i="5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X24" i="5"/>
  <c r="AE24" i="5"/>
  <c r="BR51" i="5"/>
  <c r="BN55" i="5"/>
  <c r="AG24" i="5"/>
  <c r="AZ24" i="5"/>
  <c r="AQ24" i="5"/>
  <c r="AX29" i="5"/>
  <c r="M29" i="5"/>
  <c r="CL49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O62" i="5"/>
  <c r="CE66" i="5"/>
  <c r="AF80" i="5"/>
  <c r="AY80" i="5"/>
  <c r="AY56" i="5"/>
  <c r="AF56" i="5"/>
  <c r="AA56" i="5" s="1"/>
  <c r="BR74" i="5"/>
  <c r="BN77" i="5"/>
  <c r="CA60" i="5"/>
  <c r="BA23" i="5"/>
  <c r="CY23" i="5"/>
  <c r="D24" i="5"/>
  <c r="CL84" i="5"/>
  <c r="BL38" i="5"/>
  <c r="N93" i="5"/>
  <c r="S95" i="5"/>
  <c r="AO95" i="5" s="1"/>
  <c r="CR93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BR86" i="5"/>
  <c r="BS88" i="5"/>
  <c r="BS58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CN76" i="5"/>
  <c r="BM38" i="5"/>
  <c r="BK30" i="5"/>
  <c r="CH38" i="5"/>
  <c r="O52" i="5"/>
  <c r="AB52" i="5" s="1"/>
  <c r="CF60" i="5"/>
  <c r="CP56" i="5"/>
  <c r="CQ56" i="5" s="1"/>
  <c r="CP70" i="5"/>
  <c r="CQ70" i="5" s="1"/>
  <c r="CP34" i="5"/>
  <c r="CQ34" i="5" s="1"/>
  <c r="CG34" i="5"/>
  <c r="CK8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CP86" i="5"/>
  <c r="CQ86" i="5" s="1"/>
  <c r="CI95" i="5"/>
  <c r="BD94" i="5"/>
  <c r="BG95" i="5"/>
  <c r="BG96" i="5" s="1"/>
  <c r="CR85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AH71" i="3" l="1"/>
  <c r="AL71" i="3" s="1"/>
  <c r="AL70" i="3"/>
  <c r="AM74" i="3"/>
  <c r="L74" i="3" s="1"/>
  <c r="AQ73" i="3"/>
  <c r="AD73" i="3"/>
  <c r="Y73" i="3" s="1"/>
  <c r="AD66" i="3"/>
  <c r="AR66" i="3" s="1"/>
  <c r="AC66" i="3"/>
  <c r="P70" i="3"/>
  <c r="Y70" i="3"/>
  <c r="AC70" i="3" s="1"/>
  <c r="AD71" i="3"/>
  <c r="AQ71" i="3"/>
  <c r="L71" i="3"/>
  <c r="P73" i="3"/>
  <c r="BA69" i="3"/>
  <c r="BB68" i="3"/>
  <c r="BE68" i="3"/>
  <c r="BJ68" i="3"/>
  <c r="BH74" i="3"/>
  <c r="Q75" i="3"/>
  <c r="U74" i="3"/>
  <c r="V75" i="3"/>
  <c r="CW74" i="3"/>
  <c r="CY73" i="3"/>
  <c r="AK49" i="5"/>
  <c r="X50" i="5"/>
  <c r="AA80" i="5"/>
  <c r="AB80" i="5"/>
  <c r="X84" i="5"/>
  <c r="W83" i="5"/>
  <c r="X55" i="5"/>
  <c r="W54" i="5"/>
  <c r="X72" i="5"/>
  <c r="W71" i="5"/>
  <c r="X77" i="5"/>
  <c r="X78" i="5" s="1"/>
  <c r="X79" i="5" s="1"/>
  <c r="W76" i="5"/>
  <c r="X60" i="5"/>
  <c r="X61" i="5" s="1"/>
  <c r="W59" i="5"/>
  <c r="X90" i="5"/>
  <c r="W89" i="5"/>
  <c r="W90" i="5" s="1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AC29" i="5"/>
  <c r="CL44" i="5"/>
  <c r="AB82" i="5"/>
  <c r="BS43" i="5"/>
  <c r="AB68" i="5"/>
  <c r="AJ49" i="5"/>
  <c r="AA64" i="5"/>
  <c r="BD84" i="5"/>
  <c r="BI84" i="5" s="1"/>
  <c r="CR72" i="5"/>
  <c r="Y25" i="5"/>
  <c r="AC25" i="5" s="1"/>
  <c r="BS84" i="5"/>
  <c r="BI85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9" i="5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9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CM78" i="5"/>
  <c r="AK32" i="5"/>
  <c r="E15" i="5"/>
  <c r="M21" i="5"/>
  <c r="AN21" i="5" s="1"/>
  <c r="AX21" i="5" s="1"/>
  <c r="BX96" i="5"/>
  <c r="CL61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O66" i="5"/>
  <c r="CR49" i="5"/>
  <c r="BX78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CI78" i="5"/>
  <c r="CE96" i="5"/>
  <c r="CT93" i="5"/>
  <c r="CK61" i="5"/>
  <c r="BT78" i="5"/>
  <c r="CO77" i="5"/>
  <c r="BI53" i="5"/>
  <c r="Z33" i="5"/>
  <c r="Z38" i="5" s="1"/>
  <c r="CS90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J95" i="5"/>
  <c r="BS90" i="5"/>
  <c r="AA22" i="5"/>
  <c r="AA26" i="5" s="1"/>
  <c r="BH12" i="5"/>
  <c r="CT52" i="5"/>
  <c r="CT76" i="5"/>
  <c r="BI15" i="5"/>
  <c r="CA78" i="5"/>
  <c r="CT56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AW71" i="3" l="1"/>
  <c r="AW72" i="3" s="1"/>
  <c r="AH72" i="3"/>
  <c r="AV66" i="3"/>
  <c r="AR67" i="3"/>
  <c r="P71" i="3"/>
  <c r="Y71" i="3"/>
  <c r="AC71" i="3" s="1"/>
  <c r="AM75" i="3"/>
  <c r="L75" i="3" s="1"/>
  <c r="AD74" i="3"/>
  <c r="Y74" i="3" s="1"/>
  <c r="AC74" i="3" s="1"/>
  <c r="AQ74" i="3"/>
  <c r="L72" i="3"/>
  <c r="P72" i="3" s="1"/>
  <c r="P74" i="3"/>
  <c r="AC73" i="3"/>
  <c r="CW75" i="3"/>
  <c r="CY74" i="3"/>
  <c r="V76" i="3"/>
  <c r="BH75" i="3"/>
  <c r="Q76" i="3"/>
  <c r="U75" i="3"/>
  <c r="BJ69" i="3"/>
  <c r="BE69" i="3"/>
  <c r="BB69" i="3"/>
  <c r="BA70" i="3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C18" i="5"/>
  <c r="AC23" i="5"/>
  <c r="BL79" i="5"/>
  <c r="CS44" i="5"/>
  <c r="BW79" i="5"/>
  <c r="Y26" i="5"/>
  <c r="D61" i="5"/>
  <c r="H61" i="5" s="1"/>
  <c r="BN79" i="5"/>
  <c r="CP27" i="5"/>
  <c r="CQ27" i="5" s="1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E96" i="5"/>
  <c r="AJ44" i="5"/>
  <c r="AY44" i="5" s="1"/>
  <c r="F90" i="5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AH73" i="3" l="1"/>
  <c r="AL72" i="3"/>
  <c r="AM76" i="3"/>
  <c r="AD75" i="3"/>
  <c r="Y75" i="3" s="1"/>
  <c r="AC75" i="3" s="1"/>
  <c r="AQ75" i="3"/>
  <c r="Y72" i="3"/>
  <c r="AY72" i="3" s="1"/>
  <c r="AR68" i="3"/>
  <c r="AV67" i="3"/>
  <c r="V80" i="3"/>
  <c r="Q80" i="3"/>
  <c r="BH76" i="3"/>
  <c r="U76" i="3"/>
  <c r="BH78" i="3"/>
  <c r="Q77" i="3"/>
  <c r="BJ70" i="3"/>
  <c r="BA71" i="3"/>
  <c r="BE70" i="3"/>
  <c r="BB70" i="3"/>
  <c r="CW76" i="3"/>
  <c r="CY75" i="3"/>
  <c r="P75" i="3"/>
  <c r="V77" i="3"/>
  <c r="V78" i="3" s="1"/>
  <c r="V79" i="3" s="1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F27" i="5"/>
  <c r="AT27" i="5" s="1"/>
  <c r="AF84" i="5"/>
  <c r="AT84" i="5" s="1"/>
  <c r="Z27" i="5"/>
  <c r="AE27" i="5" s="1"/>
  <c r="AS27" i="5" s="1"/>
  <c r="N79" i="5"/>
  <c r="V39" i="5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AH74" i="3" l="1"/>
  <c r="AL73" i="3"/>
  <c r="AW73" i="3"/>
  <c r="AD76" i="3"/>
  <c r="AQ76" i="3"/>
  <c r="L76" i="3"/>
  <c r="L77" i="3" s="1"/>
  <c r="P77" i="3" s="1"/>
  <c r="AV68" i="3"/>
  <c r="AR69" i="3"/>
  <c r="AC72" i="3"/>
  <c r="AD72" i="3"/>
  <c r="AR72" i="3" s="1"/>
  <c r="V81" i="3"/>
  <c r="U80" i="3"/>
  <c r="BH80" i="3"/>
  <c r="Q81" i="3"/>
  <c r="BH79" i="3"/>
  <c r="AM77" i="3"/>
  <c r="AQ77" i="3" s="1"/>
  <c r="BH77" i="3"/>
  <c r="U77" i="3"/>
  <c r="Q78" i="3"/>
  <c r="BB71" i="3"/>
  <c r="BB72" i="3" s="1"/>
  <c r="BA72" i="3"/>
  <c r="BJ71" i="3"/>
  <c r="BE71" i="3"/>
  <c r="CW77" i="3"/>
  <c r="CY76" i="3"/>
  <c r="AV27" i="5"/>
  <c r="CT79" i="5"/>
  <c r="AC27" i="5"/>
  <c r="AB79" i="5"/>
  <c r="AG79" i="5" s="1"/>
  <c r="AU79" i="5" s="1"/>
  <c r="AF78" i="5"/>
  <c r="AT78" i="5" s="1"/>
  <c r="AA79" i="5"/>
  <c r="AF79" i="5" s="1"/>
  <c r="AT79" i="5" s="1"/>
  <c r="AL74" i="3" l="1"/>
  <c r="AH75" i="3"/>
  <c r="AW74" i="3"/>
  <c r="Y76" i="3"/>
  <c r="L78" i="3"/>
  <c r="P78" i="3" s="1"/>
  <c r="AV72" i="3"/>
  <c r="AR73" i="3"/>
  <c r="AR70" i="3"/>
  <c r="AV69" i="3"/>
  <c r="P76" i="3"/>
  <c r="AM78" i="3"/>
  <c r="AQ78" i="3" s="1"/>
  <c r="U78" i="3"/>
  <c r="Q79" i="3"/>
  <c r="BA73" i="3"/>
  <c r="BE72" i="3"/>
  <c r="BJ72" i="3"/>
  <c r="Q82" i="3"/>
  <c r="U81" i="3"/>
  <c r="V82" i="3"/>
  <c r="BH81" i="3"/>
  <c r="CY77" i="3"/>
  <c r="CW78" i="3"/>
  <c r="V38" i="5"/>
  <c r="L79" i="3" l="1"/>
  <c r="P79" i="3" s="1"/>
  <c r="AL75" i="3"/>
  <c r="AH76" i="3"/>
  <c r="AH77" i="3" s="1"/>
  <c r="AW75" i="3"/>
  <c r="AC76" i="3"/>
  <c r="Y77" i="3"/>
  <c r="AR71" i="3"/>
  <c r="AV71" i="3" s="1"/>
  <c r="AV70" i="3"/>
  <c r="AR74" i="3"/>
  <c r="AV73" i="3"/>
  <c r="U79" i="3"/>
  <c r="AM79" i="3"/>
  <c r="CW79" i="3"/>
  <c r="CY79" i="3" s="1"/>
  <c r="CY78" i="3"/>
  <c r="BJ73" i="3"/>
  <c r="BA74" i="3"/>
  <c r="BE73" i="3"/>
  <c r="BB73" i="3"/>
  <c r="BH84" i="3"/>
  <c r="Q83" i="3"/>
  <c r="U82" i="3"/>
  <c r="BH82" i="3"/>
  <c r="V83" i="3"/>
  <c r="V84" i="3" s="1"/>
  <c r="BB38" i="5"/>
  <c r="BA38" i="5"/>
  <c r="U38" i="5"/>
  <c r="AH78" i="3" l="1"/>
  <c r="AH79" i="3" s="1"/>
  <c r="AL79" i="3" s="1"/>
  <c r="AL77" i="3"/>
  <c r="AL78" i="3" s="1"/>
  <c r="AL76" i="3"/>
  <c r="AW76" i="3"/>
  <c r="AW77" i="3" s="1"/>
  <c r="AW78" i="3" s="1"/>
  <c r="AW79" i="3" s="1"/>
  <c r="AY77" i="3"/>
  <c r="AC77" i="3"/>
  <c r="Y78" i="3"/>
  <c r="AD77" i="3"/>
  <c r="AR77" i="3" s="1"/>
  <c r="AV77" i="3" s="1"/>
  <c r="AR75" i="3"/>
  <c r="AV74" i="3"/>
  <c r="V85" i="3"/>
  <c r="Q85" i="3"/>
  <c r="BH83" i="3"/>
  <c r="U83" i="3"/>
  <c r="Q84" i="3"/>
  <c r="AH80" i="3"/>
  <c r="BE74" i="3"/>
  <c r="BB74" i="3"/>
  <c r="BA75" i="3"/>
  <c r="BJ74" i="3"/>
  <c r="AQ79" i="3"/>
  <c r="AM80" i="3"/>
  <c r="BH38" i="5"/>
  <c r="BJ38" i="5"/>
  <c r="BE38" i="5"/>
  <c r="Y79" i="3" l="1"/>
  <c r="AD78" i="3"/>
  <c r="AR78" i="3" s="1"/>
  <c r="AV78" i="3" s="1"/>
  <c r="AC78" i="3"/>
  <c r="AY78" i="3"/>
  <c r="AR76" i="3"/>
  <c r="AV76" i="3" s="1"/>
  <c r="AV75" i="3"/>
  <c r="AL80" i="3"/>
  <c r="AH81" i="3"/>
  <c r="BE75" i="3"/>
  <c r="BA76" i="3"/>
  <c r="BB75" i="3"/>
  <c r="BJ75" i="3"/>
  <c r="U84" i="3"/>
  <c r="AM84" i="3"/>
  <c r="V86" i="3"/>
  <c r="Q86" i="3"/>
  <c r="U85" i="3"/>
  <c r="BH85" i="3"/>
  <c r="AW80" i="3"/>
  <c r="AQ80" i="3"/>
  <c r="AM81" i="3"/>
  <c r="L80" i="3"/>
  <c r="BB43" i="5"/>
  <c r="BB44" i="5" s="1"/>
  <c r="BA43" i="5"/>
  <c r="CW43" i="5"/>
  <c r="AA2" i="6"/>
  <c r="W2" i="6"/>
  <c r="X2" i="6" s="1"/>
  <c r="Y2" i="6" s="1"/>
  <c r="Z2" i="6" s="1"/>
  <c r="AY79" i="3" l="1"/>
  <c r="AC79" i="3"/>
  <c r="AD79" i="3"/>
  <c r="AR79" i="3" s="1"/>
  <c r="AW81" i="3"/>
  <c r="AQ81" i="3"/>
  <c r="AM82" i="3"/>
  <c r="L81" i="3"/>
  <c r="AH82" i="3"/>
  <c r="AL81" i="3"/>
  <c r="P80" i="3"/>
  <c r="AD80" i="3"/>
  <c r="Y80" i="3" s="1"/>
  <c r="V87" i="3"/>
  <c r="Q87" i="3"/>
  <c r="BH86" i="3"/>
  <c r="U86" i="3"/>
  <c r="AQ84" i="3"/>
  <c r="AM85" i="3"/>
  <c r="BA77" i="3"/>
  <c r="BB76" i="3"/>
  <c r="BB77" i="3" s="1"/>
  <c r="BB78" i="3" s="1"/>
  <c r="BB79" i="3" s="1"/>
  <c r="BJ76" i="3"/>
  <c r="BE76" i="3"/>
  <c r="BA44" i="5"/>
  <c r="BJ43" i="5"/>
  <c r="BE43" i="5"/>
  <c r="CY43" i="5"/>
  <c r="CW44" i="5"/>
  <c r="CY44" i="5" s="1"/>
  <c r="AV79" i="3" l="1"/>
  <c r="AR80" i="3"/>
  <c r="AL82" i="3"/>
  <c r="AH83" i="3"/>
  <c r="AL83" i="3" s="1"/>
  <c r="Q88" i="3"/>
  <c r="V88" i="3"/>
  <c r="BH87" i="3"/>
  <c r="U87" i="3"/>
  <c r="BJ77" i="3"/>
  <c r="BA78" i="3"/>
  <c r="BE77" i="3"/>
  <c r="AC80" i="3"/>
  <c r="AD85" i="3"/>
  <c r="AQ85" i="3"/>
  <c r="AM86" i="3"/>
  <c r="L85" i="3"/>
  <c r="P81" i="3"/>
  <c r="AD81" i="3"/>
  <c r="Y81" i="3" s="1"/>
  <c r="AQ82" i="3"/>
  <c r="AW82" i="3"/>
  <c r="AM83" i="3"/>
  <c r="L82" i="3"/>
  <c r="BJ44" i="5"/>
  <c r="BE44" i="5"/>
  <c r="AV80" i="3" l="1"/>
  <c r="AR81" i="3"/>
  <c r="AH84" i="3"/>
  <c r="AH85" i="3" s="1"/>
  <c r="AC81" i="3"/>
  <c r="AW83" i="3"/>
  <c r="AW84" i="3" s="1"/>
  <c r="AQ83" i="3"/>
  <c r="L83" i="3"/>
  <c r="P83" i="3" s="1"/>
  <c r="Y85" i="3"/>
  <c r="P85" i="3"/>
  <c r="V89" i="3"/>
  <c r="V90" i="3" s="1"/>
  <c r="Q89" i="3"/>
  <c r="Q90" i="3" s="1"/>
  <c r="BH90" i="3"/>
  <c r="U88" i="3"/>
  <c r="BH88" i="3"/>
  <c r="BJ78" i="3"/>
  <c r="BE78" i="3"/>
  <c r="BA79" i="3"/>
  <c r="P82" i="3"/>
  <c r="AM87" i="3"/>
  <c r="AQ86" i="3"/>
  <c r="AD86" i="3"/>
  <c r="L86" i="3"/>
  <c r="AD82" i="3"/>
  <c r="Y82" i="3" s="1"/>
  <c r="AC82" i="3" s="1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AR82" i="3" l="1"/>
  <c r="AV81" i="3"/>
  <c r="AL84" i="3"/>
  <c r="Y86" i="3"/>
  <c r="AC86" i="3" s="1"/>
  <c r="P86" i="3"/>
  <c r="AL85" i="3"/>
  <c r="AH86" i="3"/>
  <c r="AW85" i="3"/>
  <c r="L84" i="3"/>
  <c r="U89" i="3"/>
  <c r="Q91" i="3"/>
  <c r="V91" i="3"/>
  <c r="BH89" i="3"/>
  <c r="AC85" i="3"/>
  <c r="AD83" i="3"/>
  <c r="Y83" i="3" s="1"/>
  <c r="AC83" i="3" s="1"/>
  <c r="AM88" i="3"/>
  <c r="AD87" i="3"/>
  <c r="AQ87" i="3"/>
  <c r="L87" i="3"/>
  <c r="AM90" i="3"/>
  <c r="U90" i="3"/>
  <c r="BA80" i="3"/>
  <c r="BJ79" i="3"/>
  <c r="BE79" i="3"/>
  <c r="Q68" i="8"/>
  <c r="R68" i="8"/>
  <c r="Q69" i="8"/>
  <c r="R69" i="8"/>
  <c r="Q70" i="8"/>
  <c r="R70" i="8"/>
  <c r="Q72" i="8"/>
  <c r="R72" i="8"/>
  <c r="Q73" i="8"/>
  <c r="R73" i="8"/>
  <c r="Q6" i="8"/>
  <c r="R6" i="8"/>
  <c r="Q7" i="8"/>
  <c r="R7" i="8"/>
  <c r="Q8" i="8"/>
  <c r="R8" i="8"/>
  <c r="Q19" i="8"/>
  <c r="R19" i="8"/>
  <c r="Q20" i="8"/>
  <c r="R20" i="8"/>
  <c r="Q21" i="8"/>
  <c r="R21" i="8"/>
  <c r="Q22" i="8"/>
  <c r="R22" i="8"/>
  <c r="Q23" i="8"/>
  <c r="R23" i="8"/>
  <c r="Q61" i="8"/>
  <c r="R61" i="8"/>
  <c r="Q30" i="8"/>
  <c r="R30" i="8"/>
  <c r="Q31" i="8"/>
  <c r="R31" i="8"/>
  <c r="Q32" i="8"/>
  <c r="R32" i="8"/>
  <c r="Q33" i="8"/>
  <c r="R33" i="8"/>
  <c r="Q43" i="8"/>
  <c r="R43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2" i="8"/>
  <c r="R2" i="8"/>
  <c r="Q3" i="8"/>
  <c r="R3" i="8"/>
  <c r="Q4" i="8"/>
  <c r="R4" i="8"/>
  <c r="Q5" i="8"/>
  <c r="R5" i="8"/>
  <c r="Q24" i="8"/>
  <c r="R24" i="8"/>
  <c r="Q25" i="8"/>
  <c r="R25" i="8"/>
  <c r="Q26" i="8"/>
  <c r="R26" i="8"/>
  <c r="Q27" i="8"/>
  <c r="R27" i="8"/>
  <c r="Q28" i="8"/>
  <c r="R28" i="8"/>
  <c r="Q29" i="8"/>
  <c r="R29" i="8"/>
  <c r="Q46" i="8"/>
  <c r="R46" i="8"/>
  <c r="Q45" i="8"/>
  <c r="R45" i="8"/>
  <c r="Q44" i="8"/>
  <c r="R44" i="8"/>
  <c r="Q60" i="8"/>
  <c r="R60" i="8"/>
  <c r="Q138" i="8"/>
  <c r="R138" i="8"/>
  <c r="Q103" i="8"/>
  <c r="R103" i="8"/>
  <c r="Q104" i="8"/>
  <c r="R104" i="8"/>
  <c r="Q105" i="8"/>
  <c r="R105" i="8"/>
  <c r="Q106" i="8"/>
  <c r="R106" i="8"/>
  <c r="Q75" i="8"/>
  <c r="R75" i="8"/>
  <c r="Q74" i="8"/>
  <c r="R74" i="8"/>
  <c r="Q135" i="8"/>
  <c r="R135" i="8"/>
  <c r="Q136" i="8"/>
  <c r="R136" i="8"/>
  <c r="Q137" i="8"/>
  <c r="R137" i="8"/>
  <c r="Q108" i="8"/>
  <c r="R108" i="8"/>
  <c r="Q62" i="8"/>
  <c r="R62" i="8"/>
  <c r="Q63" i="8"/>
  <c r="R63" i="8"/>
  <c r="Q64" i="8"/>
  <c r="R64" i="8"/>
  <c r="Q65" i="8"/>
  <c r="R65" i="8"/>
  <c r="Q67" i="8"/>
  <c r="R67" i="8"/>
  <c r="Q47" i="8"/>
  <c r="R47" i="8"/>
  <c r="Q48" i="8"/>
  <c r="R48" i="8"/>
  <c r="Q56" i="8"/>
  <c r="R56" i="8"/>
  <c r="Q57" i="8"/>
  <c r="R57" i="8"/>
  <c r="Q58" i="8"/>
  <c r="R58" i="8"/>
  <c r="Q59" i="8"/>
  <c r="R59" i="8"/>
  <c r="Q76" i="8"/>
  <c r="R76" i="8"/>
  <c r="Q107" i="8"/>
  <c r="R107" i="8"/>
  <c r="Q55" i="8"/>
  <c r="R55" i="8"/>
  <c r="Q71" i="8"/>
  <c r="R71" i="8"/>
  <c r="Q93" i="8"/>
  <c r="R93" i="8"/>
  <c r="Q94" i="8"/>
  <c r="R94" i="8"/>
  <c r="Q37" i="8"/>
  <c r="R37" i="8"/>
  <c r="Q38" i="8"/>
  <c r="R38" i="8"/>
  <c r="Q39" i="8"/>
  <c r="R39" i="8"/>
  <c r="Q40" i="8"/>
  <c r="R40" i="8"/>
  <c r="Q41" i="8"/>
  <c r="R41" i="8"/>
  <c r="Q42" i="8"/>
  <c r="R42" i="8"/>
  <c r="Q49" i="8"/>
  <c r="R49" i="8"/>
  <c r="Q50" i="8"/>
  <c r="R50" i="8"/>
  <c r="Q51" i="8"/>
  <c r="R51" i="8"/>
  <c r="Q52" i="8"/>
  <c r="R52" i="8"/>
  <c r="Q53" i="8"/>
  <c r="R53" i="8"/>
  <c r="Q54" i="8"/>
  <c r="R54" i="8"/>
  <c r="Q120" i="8"/>
  <c r="R120" i="8"/>
  <c r="Q95" i="8"/>
  <c r="R95" i="8"/>
  <c r="Q96" i="8"/>
  <c r="R96" i="8"/>
  <c r="Q97" i="8"/>
  <c r="R97" i="8"/>
  <c r="Q98" i="8"/>
  <c r="R98" i="8"/>
  <c r="Q99" i="8"/>
  <c r="R99" i="8"/>
  <c r="Q100" i="8"/>
  <c r="R100" i="8"/>
  <c r="Q101" i="8"/>
  <c r="R101" i="8"/>
  <c r="Q102" i="8"/>
  <c r="R102" i="8"/>
  <c r="Q116" i="8"/>
  <c r="R116" i="8"/>
  <c r="Q117" i="8"/>
  <c r="R117" i="8"/>
  <c r="Q118" i="8"/>
  <c r="R118" i="8"/>
  <c r="Q109" i="8"/>
  <c r="R109" i="8"/>
  <c r="Q111" i="8"/>
  <c r="R111" i="8"/>
  <c r="Q112" i="8"/>
  <c r="R112" i="8"/>
  <c r="Q113" i="8"/>
  <c r="R113" i="8"/>
  <c r="Q110" i="8"/>
  <c r="R110" i="8"/>
  <c r="Q114" i="8"/>
  <c r="R114" i="8"/>
  <c r="Q115" i="8"/>
  <c r="R115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78" i="8"/>
  <c r="R78" i="8"/>
  <c r="Q79" i="8"/>
  <c r="R79" i="8"/>
  <c r="Q80" i="8"/>
  <c r="R80" i="8"/>
  <c r="Q77" i="8"/>
  <c r="R77" i="8"/>
  <c r="Q34" i="8"/>
  <c r="R34" i="8"/>
  <c r="Q35" i="8"/>
  <c r="R35" i="8"/>
  <c r="Q36" i="8"/>
  <c r="R36" i="8"/>
  <c r="Q119" i="8"/>
  <c r="R119" i="8"/>
  <c r="Q92" i="8"/>
  <c r="R92" i="8"/>
  <c r="Q154" i="8"/>
  <c r="R154" i="8"/>
  <c r="Q155" i="8"/>
  <c r="R155" i="8"/>
  <c r="Q156" i="8"/>
  <c r="R156" i="8"/>
  <c r="Q157" i="8"/>
  <c r="R157" i="8"/>
  <c r="Q158" i="8"/>
  <c r="R158" i="8"/>
  <c r="Q167" i="8"/>
  <c r="R167" i="8"/>
  <c r="Q168" i="8"/>
  <c r="R168" i="8"/>
  <c r="Q84" i="8"/>
  <c r="R84" i="8"/>
  <c r="Q160" i="8"/>
  <c r="R160" i="8"/>
  <c r="Q141" i="8"/>
  <c r="R141" i="8"/>
  <c r="Q142" i="8"/>
  <c r="R142" i="8"/>
  <c r="Q121" i="8"/>
  <c r="R121" i="8"/>
  <c r="Q122" i="8"/>
  <c r="R122" i="8"/>
  <c r="Q123" i="8"/>
  <c r="R123" i="8"/>
  <c r="Q124" i="8"/>
  <c r="R124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83" i="8"/>
  <c r="R83" i="8"/>
  <c r="Q82" i="8"/>
  <c r="R82" i="8"/>
  <c r="Q81" i="8"/>
  <c r="R81" i="8"/>
  <c r="Q166" i="8"/>
  <c r="R166" i="8"/>
  <c r="Q143" i="8"/>
  <c r="R143" i="8"/>
  <c r="Q152" i="8"/>
  <c r="R152" i="8"/>
  <c r="Q153" i="8"/>
  <c r="R153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159" i="8"/>
  <c r="R159" i="8"/>
  <c r="Q161" i="8"/>
  <c r="R161" i="8"/>
  <c r="Q162" i="8"/>
  <c r="R162" i="8"/>
  <c r="Q163" i="8"/>
  <c r="R163" i="8"/>
  <c r="Q164" i="8"/>
  <c r="R164" i="8"/>
  <c r="Q165" i="8"/>
  <c r="R165" i="8"/>
  <c r="Q170" i="8"/>
  <c r="R170" i="8"/>
  <c r="Q169" i="8"/>
  <c r="R169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51" i="8"/>
  <c r="R151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Y84" i="3" l="1"/>
  <c r="AY84" i="3" s="1"/>
  <c r="AV82" i="3"/>
  <c r="AR83" i="3"/>
  <c r="AV83" i="3" s="1"/>
  <c r="P87" i="3"/>
  <c r="Y87" i="3"/>
  <c r="AM89" i="3"/>
  <c r="AQ88" i="3"/>
  <c r="AD88" i="3"/>
  <c r="L88" i="3"/>
  <c r="AD84" i="3"/>
  <c r="AR84" i="3" s="1"/>
  <c r="BH91" i="3"/>
  <c r="U91" i="3"/>
  <c r="Q92" i="3"/>
  <c r="V92" i="3"/>
  <c r="CW91" i="3"/>
  <c r="BE80" i="3"/>
  <c r="BA81" i="3"/>
  <c r="BB80" i="3"/>
  <c r="BJ80" i="3"/>
  <c r="AQ90" i="3"/>
  <c r="AM91" i="3"/>
  <c r="L91" i="3" s="1"/>
  <c r="P84" i="3"/>
  <c r="AL86" i="3"/>
  <c r="AH87" i="3"/>
  <c r="AW86" i="3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4" i="5"/>
  <c r="BL4" i="5"/>
  <c r="BQ4" i="5"/>
  <c r="BP4" i="5"/>
  <c r="BO4" i="5"/>
  <c r="BN4" i="5"/>
  <c r="AS2" i="5"/>
  <c r="AN2" i="5"/>
  <c r="AI2" i="5"/>
  <c r="BG4" i="5"/>
  <c r="BF4" i="5"/>
  <c r="CI4" i="5"/>
  <c r="CH4" i="5"/>
  <c r="CB4" i="5"/>
  <c r="CA4" i="5"/>
  <c r="AC84" i="3" l="1"/>
  <c r="P91" i="3"/>
  <c r="AL87" i="3"/>
  <c r="AH88" i="3"/>
  <c r="AW87" i="3"/>
  <c r="BA82" i="3"/>
  <c r="BE81" i="3"/>
  <c r="BB81" i="3"/>
  <c r="BJ81" i="3"/>
  <c r="CY91" i="3"/>
  <c r="CW92" i="3"/>
  <c r="P88" i="3"/>
  <c r="Y88" i="3"/>
  <c r="AC88" i="3" s="1"/>
  <c r="AD89" i="3"/>
  <c r="AQ89" i="3"/>
  <c r="L89" i="3"/>
  <c r="Q93" i="3"/>
  <c r="BH92" i="3"/>
  <c r="V93" i="3"/>
  <c r="U92" i="3"/>
  <c r="AV84" i="3"/>
  <c r="AR85" i="3"/>
  <c r="AC87" i="3"/>
  <c r="AQ91" i="3"/>
  <c r="AD91" i="3"/>
  <c r="Y91" i="3" s="1"/>
  <c r="AM92" i="3"/>
  <c r="AJ2" i="5"/>
  <c r="AI46" i="5"/>
  <c r="AI47" i="5"/>
  <c r="AI51" i="5"/>
  <c r="AI68" i="5"/>
  <c r="AI63" i="5"/>
  <c r="AI58" i="5"/>
  <c r="AI57" i="5"/>
  <c r="AI92" i="5"/>
  <c r="AI76" i="5"/>
  <c r="AI52" i="5"/>
  <c r="AI87" i="5"/>
  <c r="AI64" i="5"/>
  <c r="AI83" i="5"/>
  <c r="AI85" i="5"/>
  <c r="AI74" i="5"/>
  <c r="AI73" i="5"/>
  <c r="AI71" i="5"/>
  <c r="AI56" i="5"/>
  <c r="AI70" i="5"/>
  <c r="AI82" i="5"/>
  <c r="AI69" i="5"/>
  <c r="AI54" i="5"/>
  <c r="AI93" i="5"/>
  <c r="AI86" i="5"/>
  <c r="AI88" i="5"/>
  <c r="AI67" i="5"/>
  <c r="AI53" i="5"/>
  <c r="AI59" i="5"/>
  <c r="AI75" i="5"/>
  <c r="AI89" i="5"/>
  <c r="AI62" i="5"/>
  <c r="AI94" i="5"/>
  <c r="AI81" i="5"/>
  <c r="AI91" i="5"/>
  <c r="AI80" i="5"/>
  <c r="AI65" i="5"/>
  <c r="AO2" i="5"/>
  <c r="AN47" i="5"/>
  <c r="AN46" i="5"/>
  <c r="AN53" i="5"/>
  <c r="AN62" i="5"/>
  <c r="AN56" i="5"/>
  <c r="AN71" i="5"/>
  <c r="AN59" i="5"/>
  <c r="AN52" i="5"/>
  <c r="AN85" i="5"/>
  <c r="M85" i="5" s="1"/>
  <c r="AN73" i="5"/>
  <c r="AN69" i="5"/>
  <c r="AN67" i="5"/>
  <c r="AN65" i="5"/>
  <c r="AN83" i="5"/>
  <c r="AN93" i="5"/>
  <c r="AN74" i="5"/>
  <c r="AN94" i="5"/>
  <c r="AN88" i="5"/>
  <c r="AN92" i="5"/>
  <c r="AN68" i="5"/>
  <c r="AN82" i="5"/>
  <c r="AN63" i="5"/>
  <c r="AN57" i="5"/>
  <c r="AN80" i="5"/>
  <c r="AN58" i="5"/>
  <c r="AN87" i="5"/>
  <c r="AN86" i="5"/>
  <c r="AN91" i="5"/>
  <c r="AN89" i="5"/>
  <c r="AN81" i="5"/>
  <c r="AN51" i="5"/>
  <c r="AN76" i="5"/>
  <c r="AN75" i="5"/>
  <c r="AN64" i="5"/>
  <c r="AN54" i="5"/>
  <c r="AN70" i="5"/>
  <c r="AT2" i="5"/>
  <c r="AS46" i="5"/>
  <c r="AS47" i="5"/>
  <c r="AS68" i="5"/>
  <c r="AS63" i="5"/>
  <c r="AS62" i="5"/>
  <c r="AS59" i="5"/>
  <c r="AS94" i="5"/>
  <c r="AS82" i="5"/>
  <c r="AS64" i="5"/>
  <c r="AS69" i="5"/>
  <c r="AS67" i="5"/>
  <c r="AS51" i="5"/>
  <c r="AS70" i="5"/>
  <c r="AS87" i="5"/>
  <c r="AS73" i="5"/>
  <c r="AS71" i="5"/>
  <c r="AS56" i="5"/>
  <c r="AS92" i="5"/>
  <c r="AS57" i="5"/>
  <c r="AS52" i="5"/>
  <c r="AS81" i="5"/>
  <c r="AS54" i="5"/>
  <c r="AS65" i="5"/>
  <c r="AS53" i="5"/>
  <c r="AS91" i="5"/>
  <c r="AS75" i="5"/>
  <c r="AS89" i="5"/>
  <c r="AS93" i="5"/>
  <c r="AS86" i="5"/>
  <c r="AS80" i="5"/>
  <c r="AS58" i="5"/>
  <c r="AS88" i="5"/>
  <c r="AS74" i="5"/>
  <c r="AS85" i="5"/>
  <c r="AS76" i="5"/>
  <c r="AS83" i="5"/>
  <c r="CW4" i="5"/>
  <c r="AC91" i="3" l="1"/>
  <c r="AQ92" i="3"/>
  <c r="AM93" i="3"/>
  <c r="L93" i="3" s="1"/>
  <c r="AD92" i="3"/>
  <c r="AL88" i="3"/>
  <c r="AH89" i="3"/>
  <c r="AW88" i="3"/>
  <c r="L92" i="3"/>
  <c r="V94" i="3"/>
  <c r="V95" i="3" s="1"/>
  <c r="V96" i="3" s="1"/>
  <c r="V97" i="3"/>
  <c r="U93" i="3"/>
  <c r="Q94" i="3"/>
  <c r="Q95" i="3" s="1"/>
  <c r="BH93" i="3"/>
  <c r="CW93" i="3"/>
  <c r="CY92" i="3"/>
  <c r="BA83" i="3"/>
  <c r="BJ82" i="3"/>
  <c r="BB82" i="3"/>
  <c r="BE82" i="3"/>
  <c r="AV85" i="3"/>
  <c r="AR86" i="3"/>
  <c r="Y89" i="3"/>
  <c r="P89" i="3"/>
  <c r="L90" i="3"/>
  <c r="AE53" i="5"/>
  <c r="AE73" i="5"/>
  <c r="AE80" i="5"/>
  <c r="AE56" i="5"/>
  <c r="AE85" i="5"/>
  <c r="Z85" i="5" s="1"/>
  <c r="AE69" i="5"/>
  <c r="AX52" i="5"/>
  <c r="AE62" i="5"/>
  <c r="AI95" i="5"/>
  <c r="AE71" i="5"/>
  <c r="AE59" i="5"/>
  <c r="AE52" i="5"/>
  <c r="AX54" i="5"/>
  <c r="AE54" i="5"/>
  <c r="AE51" i="5"/>
  <c r="AX51" i="5"/>
  <c r="AX86" i="5"/>
  <c r="M86" i="5"/>
  <c r="AE86" i="5"/>
  <c r="AX57" i="5"/>
  <c r="AE57" i="5"/>
  <c r="AX92" i="5"/>
  <c r="AE92" i="5"/>
  <c r="M92" i="5"/>
  <c r="AX74" i="5"/>
  <c r="AE74" i="5"/>
  <c r="AE67" i="5"/>
  <c r="AX67" i="5"/>
  <c r="AX53" i="5"/>
  <c r="AE64" i="5"/>
  <c r="AX64" i="5"/>
  <c r="AE81" i="5"/>
  <c r="AX81" i="5"/>
  <c r="M87" i="5"/>
  <c r="AE87" i="5"/>
  <c r="AX87" i="5"/>
  <c r="AE63" i="5"/>
  <c r="AX63" i="5"/>
  <c r="AE88" i="5"/>
  <c r="AX88" i="5"/>
  <c r="M88" i="5"/>
  <c r="AE93" i="5"/>
  <c r="AX93" i="5"/>
  <c r="M93" i="5"/>
  <c r="AX56" i="5"/>
  <c r="AX85" i="5"/>
  <c r="AI90" i="5"/>
  <c r="AX75" i="5"/>
  <c r="AE75" i="5"/>
  <c r="M89" i="5"/>
  <c r="AE89" i="5"/>
  <c r="AX89" i="5"/>
  <c r="AX58" i="5"/>
  <c r="AE58" i="5"/>
  <c r="AX82" i="5"/>
  <c r="AE82" i="5"/>
  <c r="AX83" i="5"/>
  <c r="AE83" i="5"/>
  <c r="AX46" i="5"/>
  <c r="AE46" i="5"/>
  <c r="AX69" i="5"/>
  <c r="AX71" i="5"/>
  <c r="AX70" i="5"/>
  <c r="AE70" i="5"/>
  <c r="AE76" i="5"/>
  <c r="AX76" i="5"/>
  <c r="AE91" i="5"/>
  <c r="M91" i="5"/>
  <c r="AX91" i="5"/>
  <c r="AX80" i="5"/>
  <c r="AE68" i="5"/>
  <c r="AX68" i="5"/>
  <c r="AX94" i="5"/>
  <c r="AE94" i="5"/>
  <c r="M94" i="5"/>
  <c r="AX65" i="5"/>
  <c r="AE65" i="5"/>
  <c r="AX47" i="5"/>
  <c r="AE47" i="5"/>
  <c r="AX62" i="5"/>
  <c r="AX59" i="5"/>
  <c r="AX73" i="5"/>
  <c r="L6" i="3"/>
  <c r="U95" i="3" l="1"/>
  <c r="AM95" i="3"/>
  <c r="AQ95" i="3" s="1"/>
  <c r="BH95" i="3"/>
  <c r="Q96" i="3"/>
  <c r="BJ83" i="3"/>
  <c r="BE83" i="3"/>
  <c r="BA84" i="3"/>
  <c r="BB83" i="3"/>
  <c r="BB84" i="3" s="1"/>
  <c r="AC89" i="3"/>
  <c r="Y90" i="3"/>
  <c r="AY90" i="3" s="1"/>
  <c r="CW94" i="3"/>
  <c r="CY93" i="3"/>
  <c r="U94" i="3"/>
  <c r="Q97" i="3"/>
  <c r="BH94" i="3"/>
  <c r="BH96" i="3"/>
  <c r="Y92" i="3"/>
  <c r="P92" i="3"/>
  <c r="P93" i="3"/>
  <c r="AL89" i="3"/>
  <c r="AH90" i="3"/>
  <c r="AW89" i="3"/>
  <c r="AW90" i="3" s="1"/>
  <c r="AQ93" i="3"/>
  <c r="AM94" i="3"/>
  <c r="L94" i="3" s="1"/>
  <c r="AD93" i="3"/>
  <c r="Y93" i="3" s="1"/>
  <c r="AC93" i="3" s="1"/>
  <c r="AV86" i="3"/>
  <c r="AR87" i="3"/>
  <c r="P90" i="3"/>
  <c r="AX77" i="5"/>
  <c r="AX84" i="5"/>
  <c r="Z89" i="5"/>
  <c r="AX55" i="5"/>
  <c r="AX49" i="5"/>
  <c r="Z93" i="5"/>
  <c r="AX72" i="5"/>
  <c r="Z92" i="5"/>
  <c r="AX95" i="5"/>
  <c r="AX90" i="5"/>
  <c r="Z87" i="5"/>
  <c r="Z86" i="5"/>
  <c r="AX66" i="5"/>
  <c r="M90" i="5"/>
  <c r="AN90" i="5" s="1"/>
  <c r="Z94" i="5"/>
  <c r="M95" i="5"/>
  <c r="AN95" i="5" s="1"/>
  <c r="Z91" i="5"/>
  <c r="AX60" i="5"/>
  <c r="Z88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BJ84" i="3" l="1"/>
  <c r="AR88" i="3"/>
  <c r="AV87" i="3"/>
  <c r="AQ94" i="3"/>
  <c r="AD94" i="3"/>
  <c r="AC92" i="3"/>
  <c r="BH97" i="3"/>
  <c r="U97" i="3"/>
  <c r="Q98" i="3"/>
  <c r="V98" i="3"/>
  <c r="AC90" i="3"/>
  <c r="AD90" i="3"/>
  <c r="AR90" i="3" s="1"/>
  <c r="BA85" i="3"/>
  <c r="BE84" i="3"/>
  <c r="L95" i="3"/>
  <c r="P94" i="3"/>
  <c r="Y94" i="3"/>
  <c r="AC94" i="3" s="1"/>
  <c r="AL90" i="3"/>
  <c r="AH91" i="3"/>
  <c r="CY94" i="3"/>
  <c r="CW95" i="3"/>
  <c r="U96" i="3"/>
  <c r="AM96" i="3"/>
  <c r="DB48" i="5"/>
  <c r="DC50" i="5"/>
  <c r="DB50" i="5"/>
  <c r="DC48" i="5"/>
  <c r="DC46" i="5"/>
  <c r="DB47" i="5"/>
  <c r="DC47" i="5"/>
  <c r="DB46" i="5"/>
  <c r="DB111" i="5"/>
  <c r="DB110" i="5"/>
  <c r="DB109" i="5"/>
  <c r="DB108" i="5"/>
  <c r="DB106" i="5"/>
  <c r="DB104" i="5"/>
  <c r="DC103" i="5"/>
  <c r="DC102" i="5"/>
  <c r="DC100" i="5"/>
  <c r="DC99" i="5"/>
  <c r="DC105" i="5"/>
  <c r="DC97" i="5"/>
  <c r="DC111" i="5"/>
  <c r="DC109" i="5"/>
  <c r="DC106" i="5"/>
  <c r="DC104" i="5"/>
  <c r="DB97" i="5"/>
  <c r="DB103" i="5"/>
  <c r="DB102" i="5"/>
  <c r="DB100" i="5"/>
  <c r="DB99" i="5"/>
  <c r="DC98" i="5"/>
  <c r="DB98" i="5"/>
  <c r="DC110" i="5"/>
  <c r="DC108" i="5"/>
  <c r="DB105" i="5"/>
  <c r="AX61" i="5"/>
  <c r="Z90" i="5"/>
  <c r="AZ90" i="5" s="1"/>
  <c r="AX78" i="5"/>
  <c r="AX96" i="5"/>
  <c r="Z95" i="5"/>
  <c r="AE95" i="5" s="1"/>
  <c r="AS95" i="5" s="1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DC91" i="5"/>
  <c r="DB88" i="5"/>
  <c r="DC82" i="5"/>
  <c r="DC80" i="5"/>
  <c r="DB75" i="5"/>
  <c r="DB73" i="5"/>
  <c r="DB70" i="5"/>
  <c r="DC68" i="5"/>
  <c r="DB65" i="5"/>
  <c r="DB28" i="5"/>
  <c r="DB16" i="5"/>
  <c r="DC87" i="5"/>
  <c r="DC85" i="5"/>
  <c r="DC64" i="5"/>
  <c r="DB58" i="5"/>
  <c r="DB56" i="5"/>
  <c r="DB53" i="5"/>
  <c r="DB51" i="5"/>
  <c r="DB34" i="5"/>
  <c r="DB31" i="5"/>
  <c r="DC29" i="5"/>
  <c r="DB24" i="5"/>
  <c r="DB22" i="5"/>
  <c r="DC19" i="5"/>
  <c r="DC17" i="5"/>
  <c r="DB13" i="5"/>
  <c r="DB11" i="5"/>
  <c r="DC74" i="5"/>
  <c r="DC62" i="5"/>
  <c r="DB29" i="5"/>
  <c r="DB19" i="5"/>
  <c r="DB17" i="5"/>
  <c r="DC89" i="5"/>
  <c r="DB87" i="5"/>
  <c r="DB85" i="5"/>
  <c r="DC76" i="5"/>
  <c r="DC69" i="5"/>
  <c r="DC67" i="5"/>
  <c r="DB64" i="5"/>
  <c r="DC25" i="5"/>
  <c r="DC92" i="5"/>
  <c r="DB89" i="5"/>
  <c r="DC81" i="5"/>
  <c r="DB76" i="5"/>
  <c r="DB74" i="5"/>
  <c r="DC71" i="5"/>
  <c r="DB69" i="5"/>
  <c r="DB67" i="5"/>
  <c r="DB62" i="5"/>
  <c r="DC54" i="5"/>
  <c r="DC52" i="5"/>
  <c r="DB25" i="5"/>
  <c r="DC14" i="5"/>
  <c r="DC12" i="5"/>
  <c r="DB82" i="5"/>
  <c r="DB33" i="5"/>
  <c r="DC20" i="5"/>
  <c r="DB12" i="5"/>
  <c r="DC94" i="5"/>
  <c r="DB91" i="5"/>
  <c r="DC58" i="5"/>
  <c r="DC30" i="5"/>
  <c r="DB92" i="5"/>
  <c r="DB81" i="5"/>
  <c r="DC70" i="5"/>
  <c r="DC56" i="5"/>
  <c r="DC24" i="5"/>
  <c r="DB20" i="5"/>
  <c r="DC51" i="5"/>
  <c r="DC86" i="5"/>
  <c r="DC65" i="5"/>
  <c r="DC59" i="5"/>
  <c r="DB54" i="5"/>
  <c r="DC31" i="5"/>
  <c r="DC28" i="5"/>
  <c r="DC16" i="5"/>
  <c r="DC13" i="5"/>
  <c r="DB86" i="5"/>
  <c r="DC73" i="5"/>
  <c r="DB59" i="5"/>
  <c r="DB80" i="5"/>
  <c r="DC23" i="5"/>
  <c r="DC11" i="5"/>
  <c r="DB94" i="5"/>
  <c r="DC83" i="5"/>
  <c r="DC63" i="5"/>
  <c r="DC57" i="5"/>
  <c r="DC34" i="5"/>
  <c r="DB30" i="5"/>
  <c r="DB23" i="5"/>
  <c r="DC18" i="5"/>
  <c r="DB83" i="5"/>
  <c r="DB63" i="5"/>
  <c r="DB57" i="5"/>
  <c r="DC53" i="5"/>
  <c r="DC22" i="5"/>
  <c r="DB18" i="5"/>
  <c r="DB14" i="5"/>
  <c r="DB93" i="5"/>
  <c r="DC88" i="5"/>
  <c r="DC75" i="5"/>
  <c r="DB71" i="5"/>
  <c r="DB68" i="5"/>
  <c r="DB52" i="5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AL91" i="3" l="1"/>
  <c r="AH92" i="3"/>
  <c r="AW91" i="3"/>
  <c r="P95" i="3"/>
  <c r="L96" i="3"/>
  <c r="P96" i="3" s="1"/>
  <c r="AV90" i="3"/>
  <c r="AR91" i="3"/>
  <c r="Y95" i="3"/>
  <c r="CY95" i="3"/>
  <c r="CW96" i="3"/>
  <c r="CY96" i="3" s="1"/>
  <c r="V99" i="3"/>
  <c r="U98" i="3"/>
  <c r="Q99" i="3"/>
  <c r="BH98" i="3"/>
  <c r="BA86" i="3"/>
  <c r="BB85" i="3"/>
  <c r="BJ85" i="3"/>
  <c r="BE85" i="3"/>
  <c r="AQ96" i="3"/>
  <c r="AM97" i="3"/>
  <c r="AR89" i="3"/>
  <c r="AV89" i="3" s="1"/>
  <c r="AV88" i="3"/>
  <c r="CZ50" i="5"/>
  <c r="DA50" i="5" s="1"/>
  <c r="CZ48" i="5"/>
  <c r="DA48" i="5" s="1"/>
  <c r="CZ46" i="5"/>
  <c r="DA46" i="5" s="1"/>
  <c r="CZ47" i="5"/>
  <c r="DA47" i="5" s="1"/>
  <c r="CZ105" i="5"/>
  <c r="DA105" i="5" s="1"/>
  <c r="CZ97" i="5"/>
  <c r="DA97" i="5" s="1"/>
  <c r="CZ102" i="5"/>
  <c r="DA102" i="5" s="1"/>
  <c r="CZ99" i="5"/>
  <c r="DA99" i="5" s="1"/>
  <c r="CZ111" i="5"/>
  <c r="DA111" i="5" s="1"/>
  <c r="CZ110" i="5"/>
  <c r="DA110" i="5" s="1"/>
  <c r="CZ109" i="5"/>
  <c r="DA109" i="5" s="1"/>
  <c r="CZ108" i="5"/>
  <c r="DA108" i="5" s="1"/>
  <c r="CZ104" i="5"/>
  <c r="DA104" i="5" s="1"/>
  <c r="CZ103" i="5"/>
  <c r="DA103" i="5" s="1"/>
  <c r="CZ100" i="5"/>
  <c r="DA100" i="5" s="1"/>
  <c r="CZ98" i="5"/>
  <c r="DA98" i="5" s="1"/>
  <c r="CZ106" i="5"/>
  <c r="DA106" i="5" s="1"/>
  <c r="AE90" i="5"/>
  <c r="AS90" i="5" s="1"/>
  <c r="AZ95" i="5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CZ86" i="5"/>
  <c r="DA86" i="5" s="1"/>
  <c r="CZ59" i="5"/>
  <c r="DA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CZ91" i="5"/>
  <c r="DA91" i="5" s="1"/>
  <c r="CZ80" i="5"/>
  <c r="DA80" i="5" s="1"/>
  <c r="CZ75" i="5"/>
  <c r="DA75" i="5" s="1"/>
  <c r="CZ68" i="5"/>
  <c r="DA68" i="5" s="1"/>
  <c r="CZ53" i="5"/>
  <c r="DA53" i="5" s="1"/>
  <c r="CZ34" i="5"/>
  <c r="DA34" i="5" s="1"/>
  <c r="CZ24" i="5"/>
  <c r="DA24" i="5" s="1"/>
  <c r="CZ11" i="5"/>
  <c r="DA11" i="5" s="1"/>
  <c r="CZ82" i="5"/>
  <c r="DA82" i="5" s="1"/>
  <c r="CZ56" i="5"/>
  <c r="DA56" i="5" s="1"/>
  <c r="CZ51" i="5"/>
  <c r="DA51" i="5" s="1"/>
  <c r="CZ31" i="5"/>
  <c r="DA31" i="5" s="1"/>
  <c r="CZ22" i="5"/>
  <c r="DA22" i="5" s="1"/>
  <c r="CZ13" i="5"/>
  <c r="DA13" i="5" s="1"/>
  <c r="CZ85" i="5"/>
  <c r="DA85" i="5" s="1"/>
  <c r="CZ58" i="5"/>
  <c r="DA58" i="5" s="1"/>
  <c r="CZ19" i="5"/>
  <c r="DA19" i="5" s="1"/>
  <c r="CZ17" i="5"/>
  <c r="DA17" i="5" s="1"/>
  <c r="CZ88" i="5"/>
  <c r="DA88" i="5" s="1"/>
  <c r="CZ71" i="5"/>
  <c r="DA71" i="5" s="1"/>
  <c r="CZ29" i="5"/>
  <c r="DA29" i="5" s="1"/>
  <c r="CZ14" i="5"/>
  <c r="DA14" i="5" s="1"/>
  <c r="CZ54" i="5"/>
  <c r="DA54" i="5" s="1"/>
  <c r="CZ73" i="5"/>
  <c r="DA73" i="5" s="1"/>
  <c r="CZ87" i="5"/>
  <c r="DA87" i="5" s="1"/>
  <c r="CZ67" i="5"/>
  <c r="DA67" i="5" s="1"/>
  <c r="CZ62" i="5"/>
  <c r="DA62" i="5" s="1"/>
  <c r="CZ52" i="5"/>
  <c r="DA52" i="5" s="1"/>
  <c r="CZ92" i="5"/>
  <c r="DA92" i="5" s="1"/>
  <c r="CZ65" i="5"/>
  <c r="DA65" i="5" s="1"/>
  <c r="CZ16" i="5"/>
  <c r="DA16" i="5" s="1"/>
  <c r="CZ64" i="5"/>
  <c r="DA64" i="5" s="1"/>
  <c r="CZ81" i="5"/>
  <c r="DA81" i="5" s="1"/>
  <c r="CZ74" i="5"/>
  <c r="DA74" i="5" s="1"/>
  <c r="CZ70" i="5"/>
  <c r="DA70" i="5" s="1"/>
  <c r="CZ28" i="5"/>
  <c r="DA28" i="5" s="1"/>
  <c r="CZ89" i="5"/>
  <c r="DA89" i="5" s="1"/>
  <c r="CZ69" i="5"/>
  <c r="DA69" i="5" s="1"/>
  <c r="CZ12" i="5"/>
  <c r="DA12" i="5" s="1"/>
  <c r="CZ94" i="5"/>
  <c r="DA94" i="5" s="1"/>
  <c r="CZ76" i="5"/>
  <c r="DA76" i="5" s="1"/>
  <c r="CZ25" i="5"/>
  <c r="DA25" i="5" s="1"/>
  <c r="CZ83" i="5"/>
  <c r="DA83" i="5" s="1"/>
  <c r="CZ63" i="5"/>
  <c r="DA63" i="5" s="1"/>
  <c r="CZ57" i="5"/>
  <c r="DA57" i="5" s="1"/>
  <c r="AV91" i="3" l="1"/>
  <c r="AR92" i="3"/>
  <c r="AQ97" i="3"/>
  <c r="AD97" i="3"/>
  <c r="AM98" i="3"/>
  <c r="L97" i="3"/>
  <c r="BH101" i="3"/>
  <c r="BH99" i="3"/>
  <c r="V100" i="3"/>
  <c r="V101" i="3" s="1"/>
  <c r="Q100" i="3"/>
  <c r="U99" i="3"/>
  <c r="AH93" i="3"/>
  <c r="AL92" i="3"/>
  <c r="AW92" i="3"/>
  <c r="BA87" i="3"/>
  <c r="BJ86" i="3"/>
  <c r="BE86" i="3"/>
  <c r="BB86" i="3"/>
  <c r="AC95" i="3"/>
  <c r="AD95" i="3"/>
  <c r="AR95" i="3" s="1"/>
  <c r="AV95" i="3" s="1"/>
  <c r="Y96" i="3"/>
  <c r="AY95" i="3"/>
  <c r="AL38" i="5"/>
  <c r="AY96" i="3" l="1"/>
  <c r="AQ98" i="3"/>
  <c r="AD98" i="3"/>
  <c r="AM99" i="3"/>
  <c r="L98" i="3"/>
  <c r="AD96" i="3"/>
  <c r="AR96" i="3" s="1"/>
  <c r="AC96" i="3"/>
  <c r="V102" i="3"/>
  <c r="Q102" i="3"/>
  <c r="BH100" i="3"/>
  <c r="U100" i="3"/>
  <c r="Q101" i="3"/>
  <c r="P97" i="3"/>
  <c r="Y97" i="3"/>
  <c r="BA88" i="3"/>
  <c r="BJ87" i="3"/>
  <c r="BB87" i="3"/>
  <c r="BE87" i="3"/>
  <c r="AL93" i="3"/>
  <c r="AH94" i="3"/>
  <c r="AH95" i="3" s="1"/>
  <c r="AH96" i="3" s="1"/>
  <c r="AW93" i="3"/>
  <c r="AV92" i="3"/>
  <c r="AR93" i="3"/>
  <c r="L38" i="5"/>
  <c r="AM38" i="5" s="1"/>
  <c r="C8" i="8"/>
  <c r="BU4" i="5"/>
  <c r="BT4" i="5"/>
  <c r="CX4" i="5"/>
  <c r="T4" i="5"/>
  <c r="AL96" i="3" l="1"/>
  <c r="AH97" i="3"/>
  <c r="AC97" i="3"/>
  <c r="AM100" i="3"/>
  <c r="AQ99" i="3"/>
  <c r="AD99" i="3"/>
  <c r="L99" i="3"/>
  <c r="AV96" i="3"/>
  <c r="AR97" i="3"/>
  <c r="AV93" i="3"/>
  <c r="AR94" i="3"/>
  <c r="AV94" i="3" s="1"/>
  <c r="AL94" i="3"/>
  <c r="AL95" i="3" s="1"/>
  <c r="AW94" i="3"/>
  <c r="AW95" i="3" s="1"/>
  <c r="AW96" i="3" s="1"/>
  <c r="AM101" i="3"/>
  <c r="U101" i="3"/>
  <c r="V103" i="3"/>
  <c r="Q103" i="3"/>
  <c r="U102" i="3"/>
  <c r="BH102" i="3"/>
  <c r="Y98" i="3"/>
  <c r="AC98" i="3" s="1"/>
  <c r="P98" i="3"/>
  <c r="BE88" i="3"/>
  <c r="BJ88" i="3"/>
  <c r="BB88" i="3"/>
  <c r="BA89" i="3"/>
  <c r="AQ38" i="5"/>
  <c r="AW38" i="5"/>
  <c r="P38" i="5"/>
  <c r="Y38" i="5"/>
  <c r="Z7" i="3"/>
  <c r="AV97" i="3" l="1"/>
  <c r="AR98" i="3"/>
  <c r="V104" i="3"/>
  <c r="Q104" i="3"/>
  <c r="BH103" i="3"/>
  <c r="U103" i="3"/>
  <c r="Y99" i="3"/>
  <c r="AC99" i="3" s="1"/>
  <c r="P99" i="3"/>
  <c r="AH98" i="3"/>
  <c r="AL97" i="3"/>
  <c r="AW97" i="3"/>
  <c r="BJ89" i="3"/>
  <c r="BE89" i="3"/>
  <c r="BB89" i="3"/>
  <c r="BB90" i="3" s="1"/>
  <c r="BA90" i="3"/>
  <c r="AD100" i="3"/>
  <c r="AQ100" i="3"/>
  <c r="L100" i="3"/>
  <c r="AQ101" i="3"/>
  <c r="AM102" i="3"/>
  <c r="AC38" i="5"/>
  <c r="AD38" i="5"/>
  <c r="AR38" i="5" s="1"/>
  <c r="AV38" i="5" s="1"/>
  <c r="BJ90" i="3" l="1"/>
  <c r="AD102" i="3"/>
  <c r="AQ102" i="3"/>
  <c r="AM103" i="3"/>
  <c r="L102" i="3"/>
  <c r="AL98" i="3"/>
  <c r="AH99" i="3"/>
  <c r="AW98" i="3"/>
  <c r="L101" i="3"/>
  <c r="Y100" i="3"/>
  <c r="P100" i="3"/>
  <c r="BA91" i="3"/>
  <c r="BE90" i="3"/>
  <c r="AV98" i="3"/>
  <c r="AR99" i="3"/>
  <c r="V105" i="3"/>
  <c r="BH104" i="3"/>
  <c r="Q105" i="3"/>
  <c r="U104" i="3"/>
  <c r="AC4" i="8"/>
  <c r="AB4" i="8"/>
  <c r="AA4" i="8"/>
  <c r="AC3" i="8"/>
  <c r="AB3" i="8"/>
  <c r="AA3" i="8"/>
  <c r="V106" i="3" l="1"/>
  <c r="V107" i="3" s="1"/>
  <c r="BH107" i="3"/>
  <c r="BH105" i="3"/>
  <c r="U105" i="3"/>
  <c r="Q106" i="3"/>
  <c r="AM104" i="3"/>
  <c r="AD103" i="3"/>
  <c r="AQ103" i="3"/>
  <c r="L103" i="3"/>
  <c r="BJ91" i="3"/>
  <c r="BE91" i="3"/>
  <c r="BB91" i="3"/>
  <c r="BA92" i="3"/>
  <c r="AH100" i="3"/>
  <c r="AL99" i="3"/>
  <c r="AW99" i="3"/>
  <c r="AC100" i="3"/>
  <c r="Y101" i="3"/>
  <c r="AY101" i="3" s="1"/>
  <c r="AV99" i="3"/>
  <c r="AR100" i="3"/>
  <c r="AV100" i="3" s="1"/>
  <c r="P101" i="3"/>
  <c r="P102" i="3"/>
  <c r="Y102" i="3"/>
  <c r="AA2" i="8"/>
  <c r="AB2" i="8"/>
  <c r="AC2" i="8"/>
  <c r="AM105" i="3" l="1"/>
  <c r="AQ104" i="3"/>
  <c r="AD104" i="3"/>
  <c r="L104" i="3"/>
  <c r="AC101" i="3"/>
  <c r="AD101" i="3"/>
  <c r="AR101" i="3" s="1"/>
  <c r="Q107" i="3"/>
  <c r="Q108" i="3"/>
  <c r="U106" i="3"/>
  <c r="BH106" i="3"/>
  <c r="V108" i="3"/>
  <c r="AC102" i="3"/>
  <c r="BA93" i="3"/>
  <c r="BB92" i="3"/>
  <c r="BE92" i="3"/>
  <c r="BJ92" i="3"/>
  <c r="P103" i="3"/>
  <c r="Y103" i="3"/>
  <c r="AC103" i="3" s="1"/>
  <c r="AL100" i="3"/>
  <c r="AW100" i="3"/>
  <c r="AW101" i="3" s="1"/>
  <c r="AH101" i="3"/>
  <c r="M81" i="5"/>
  <c r="Z81" i="5" s="1"/>
  <c r="M83" i="5"/>
  <c r="Z83" i="5" s="1"/>
  <c r="W84" i="5"/>
  <c r="M82" i="5"/>
  <c r="Z82" i="5" s="1"/>
  <c r="R84" i="5"/>
  <c r="M80" i="5"/>
  <c r="Z80" i="5" s="1"/>
  <c r="AL101" i="3" l="1"/>
  <c r="AH102" i="3"/>
  <c r="AR102" i="3"/>
  <c r="AV101" i="3"/>
  <c r="U107" i="3"/>
  <c r="AM107" i="3"/>
  <c r="Y104" i="3"/>
  <c r="P104" i="3"/>
  <c r="BB93" i="3"/>
  <c r="BJ93" i="3"/>
  <c r="BE93" i="3"/>
  <c r="BA94" i="3"/>
  <c r="Q109" i="3"/>
  <c r="U108" i="3"/>
  <c r="BH108" i="3"/>
  <c r="V109" i="3"/>
  <c r="CW108" i="3"/>
  <c r="AQ105" i="3"/>
  <c r="AD105" i="3"/>
  <c r="AM106" i="3"/>
  <c r="L105" i="3"/>
  <c r="Z84" i="5"/>
  <c r="Z96" i="5" s="1"/>
  <c r="M84" i="5"/>
  <c r="M96" i="5" s="1"/>
  <c r="R96" i="5"/>
  <c r="AI84" i="5"/>
  <c r="BJ94" i="3" l="1"/>
  <c r="BB94" i="3"/>
  <c r="BB95" i="3" s="1"/>
  <c r="BB96" i="3" s="1"/>
  <c r="BE94" i="3"/>
  <c r="BA95" i="3"/>
  <c r="AV102" i="3"/>
  <c r="AR103" i="3"/>
  <c r="Y105" i="3"/>
  <c r="AC105" i="3" s="1"/>
  <c r="P105" i="3"/>
  <c r="AQ107" i="3"/>
  <c r="AM108" i="3"/>
  <c r="AH103" i="3"/>
  <c r="AL102" i="3"/>
  <c r="AW102" i="3"/>
  <c r="AC104" i="3"/>
  <c r="AD106" i="3"/>
  <c r="AQ106" i="3"/>
  <c r="L106" i="3"/>
  <c r="CY108" i="3"/>
  <c r="CW109" i="3"/>
  <c r="V110" i="3"/>
  <c r="BH109" i="3"/>
  <c r="Q110" i="3"/>
  <c r="U109" i="3"/>
  <c r="AN96" i="5"/>
  <c r="AN84" i="5"/>
  <c r="AE96" i="5"/>
  <c r="AS96" i="5" s="1"/>
  <c r="AI96" i="5"/>
  <c r="AE84" i="5"/>
  <c r="AS84" i="5" s="1"/>
  <c r="AZ84" i="5"/>
  <c r="AZ96" i="5" s="1"/>
  <c r="BJ95" i="3" l="1"/>
  <c r="V111" i="3"/>
  <c r="V112" i="3" s="1"/>
  <c r="V113" i="3" s="1"/>
  <c r="U110" i="3"/>
  <c r="Q111" i="3"/>
  <c r="BH110" i="3"/>
  <c r="AR104" i="3"/>
  <c r="AV103" i="3"/>
  <c r="L108" i="3"/>
  <c r="AD108" i="3"/>
  <c r="AQ108" i="3"/>
  <c r="AM109" i="3"/>
  <c r="P106" i="3"/>
  <c r="Y106" i="3"/>
  <c r="AC106" i="3" s="1"/>
  <c r="BA96" i="3"/>
  <c r="BE95" i="3"/>
  <c r="Q112" i="3"/>
  <c r="CW110" i="3"/>
  <c r="CY109" i="3"/>
  <c r="AH104" i="3"/>
  <c r="AL103" i="3"/>
  <c r="AW103" i="3"/>
  <c r="L107" i="3"/>
  <c r="M51" i="5"/>
  <c r="AM112" i="3" l="1"/>
  <c r="AQ112" i="3" s="1"/>
  <c r="BH112" i="3"/>
  <c r="U112" i="3"/>
  <c r="Q113" i="3"/>
  <c r="AL104" i="3"/>
  <c r="AH105" i="3"/>
  <c r="AW104" i="3"/>
  <c r="CW111" i="3"/>
  <c r="CY110" i="3"/>
  <c r="Y107" i="3"/>
  <c r="P108" i="3"/>
  <c r="BH113" i="3"/>
  <c r="U111" i="3"/>
  <c r="BH111" i="3"/>
  <c r="AV104" i="3"/>
  <c r="AR105" i="3"/>
  <c r="L109" i="3"/>
  <c r="P109" i="3" s="1"/>
  <c r="AQ109" i="3"/>
  <c r="AM110" i="3"/>
  <c r="AD109" i="3"/>
  <c r="P107" i="3"/>
  <c r="BJ96" i="3"/>
  <c r="BE96" i="3"/>
  <c r="BA97" i="3"/>
  <c r="Y108" i="3"/>
  <c r="Z51" i="5"/>
  <c r="L110" i="3" l="1"/>
  <c r="AQ110" i="3"/>
  <c r="AM111" i="3"/>
  <c r="AD110" i="3"/>
  <c r="CW112" i="3"/>
  <c r="CY111" i="3"/>
  <c r="BE97" i="3"/>
  <c r="BJ97" i="3"/>
  <c r="BB97" i="3"/>
  <c r="BA98" i="3"/>
  <c r="AL105" i="3"/>
  <c r="AH106" i="3"/>
  <c r="AH107" i="3" s="1"/>
  <c r="AW105" i="3"/>
  <c r="AV105" i="3"/>
  <c r="AR106" i="3"/>
  <c r="AV106" i="3" s="1"/>
  <c r="AD107" i="3"/>
  <c r="AR107" i="3" s="1"/>
  <c r="AC107" i="3"/>
  <c r="AY107" i="3"/>
  <c r="Y109" i="3"/>
  <c r="AC109" i="3" s="1"/>
  <c r="AC108" i="3"/>
  <c r="U113" i="3"/>
  <c r="AM113" i="3"/>
  <c r="AQ113" i="3" s="1"/>
  <c r="M52" i="5"/>
  <c r="BE98" i="3" l="1"/>
  <c r="BB98" i="3"/>
  <c r="BA99" i="3"/>
  <c r="BJ98" i="3"/>
  <c r="L111" i="3"/>
  <c r="AD111" i="3"/>
  <c r="AQ111" i="3"/>
  <c r="CW113" i="3"/>
  <c r="CY113" i="3" s="1"/>
  <c r="CY112" i="3"/>
  <c r="AL107" i="3"/>
  <c r="AH108" i="3"/>
  <c r="AV107" i="3"/>
  <c r="AR108" i="3"/>
  <c r="AL106" i="3"/>
  <c r="AW106" i="3"/>
  <c r="AW107" i="3" s="1"/>
  <c r="Y110" i="3"/>
  <c r="P110" i="3"/>
  <c r="Z52" i="5"/>
  <c r="BB99" i="3" l="1"/>
  <c r="BA100" i="3"/>
  <c r="BE99" i="3"/>
  <c r="BJ99" i="3"/>
  <c r="AC110" i="3"/>
  <c r="AV108" i="3"/>
  <c r="AR109" i="3"/>
  <c r="Y111" i="3"/>
  <c r="AC111" i="3" s="1"/>
  <c r="AL108" i="3"/>
  <c r="AH109" i="3"/>
  <c r="AW108" i="3"/>
  <c r="P111" i="3"/>
  <c r="L112" i="3"/>
  <c r="W55" i="5"/>
  <c r="M53" i="5"/>
  <c r="Y112" i="3" l="1"/>
  <c r="AY112" i="3" s="1"/>
  <c r="AV109" i="3"/>
  <c r="AR110" i="3"/>
  <c r="AL109" i="3"/>
  <c r="AH110" i="3"/>
  <c r="AW109" i="3"/>
  <c r="P112" i="3"/>
  <c r="L113" i="3"/>
  <c r="P113" i="3" s="1"/>
  <c r="BB100" i="3"/>
  <c r="BB101" i="3" s="1"/>
  <c r="BA101" i="3"/>
  <c r="BJ100" i="3"/>
  <c r="BE100" i="3"/>
  <c r="AC112" i="3"/>
  <c r="AD112" i="3"/>
  <c r="AR112" i="3" s="1"/>
  <c r="AV112" i="3" s="1"/>
  <c r="Y113" i="3"/>
  <c r="Z53" i="5"/>
  <c r="BJ101" i="3" l="1"/>
  <c r="AY113" i="3"/>
  <c r="AD113" i="3"/>
  <c r="AR113" i="3" s="1"/>
  <c r="AV113" i="3" s="1"/>
  <c r="AC113" i="3"/>
  <c r="BA102" i="3"/>
  <c r="BE101" i="3"/>
  <c r="AV110" i="3"/>
  <c r="AR111" i="3"/>
  <c r="AV111" i="3" s="1"/>
  <c r="AL110" i="3"/>
  <c r="AH111" i="3"/>
  <c r="AW110" i="3"/>
  <c r="M54" i="5"/>
  <c r="R55" i="5"/>
  <c r="AI55" i="5" s="1"/>
  <c r="AH112" i="3" l="1"/>
  <c r="AH113" i="3" s="1"/>
  <c r="AL113" i="3" s="1"/>
  <c r="AL111" i="3"/>
  <c r="AL112" i="3" s="1"/>
  <c r="AW111" i="3"/>
  <c r="AW112" i="3" s="1"/>
  <c r="AW113" i="3" s="1"/>
  <c r="BA103" i="3"/>
  <c r="BJ102" i="3"/>
  <c r="BE102" i="3"/>
  <c r="BB102" i="3"/>
  <c r="Z54" i="5"/>
  <c r="M55" i="5"/>
  <c r="AN55" i="5" s="1"/>
  <c r="BJ103" i="3" l="1"/>
  <c r="BE103" i="3"/>
  <c r="BA104" i="3"/>
  <c r="BB103" i="3"/>
  <c r="M56" i="5"/>
  <c r="Z55" i="5"/>
  <c r="AZ55" i="5" s="1"/>
  <c r="BJ104" i="3" l="1"/>
  <c r="BB104" i="3"/>
  <c r="BA105" i="3"/>
  <c r="BE104" i="3"/>
  <c r="Z56" i="5"/>
  <c r="AE55" i="5"/>
  <c r="AS55" i="5" s="1"/>
  <c r="BE105" i="3" l="1"/>
  <c r="BJ105" i="3"/>
  <c r="BA106" i="3"/>
  <c r="BB105" i="3"/>
  <c r="M57" i="5"/>
  <c r="BA107" i="3" l="1"/>
  <c r="BE106" i="3"/>
  <c r="BJ106" i="3"/>
  <c r="BB106" i="3"/>
  <c r="BB107" i="3" s="1"/>
  <c r="Z57" i="5"/>
  <c r="BE107" i="3" l="1"/>
  <c r="BA108" i="3"/>
  <c r="BJ107" i="3"/>
  <c r="W60" i="5"/>
  <c r="W61" i="5" s="1"/>
  <c r="M58" i="5"/>
  <c r="BA109" i="3" l="1"/>
  <c r="BJ108" i="3"/>
  <c r="BE108" i="3"/>
  <c r="BB108" i="3"/>
  <c r="Z58" i="5"/>
  <c r="BA110" i="3" l="1"/>
  <c r="BE109" i="3"/>
  <c r="BJ109" i="3"/>
  <c r="BB109" i="3"/>
  <c r="M59" i="5"/>
  <c r="R60" i="5"/>
  <c r="AI60" i="5" s="1"/>
  <c r="BJ110" i="3" l="1"/>
  <c r="BE110" i="3"/>
  <c r="BA111" i="3"/>
  <c r="BB110" i="3"/>
  <c r="Z59" i="5"/>
  <c r="M60" i="5"/>
  <c r="AN60" i="5" s="1"/>
  <c r="BA112" i="3" l="1"/>
  <c r="BJ111" i="3"/>
  <c r="BE111" i="3"/>
  <c r="BB111" i="3"/>
  <c r="BB112" i="3" s="1"/>
  <c r="BB113" i="3" s="1"/>
  <c r="Z60" i="5"/>
  <c r="M62" i="5"/>
  <c r="BJ112" i="3" l="1"/>
  <c r="BE112" i="3"/>
  <c r="BA113" i="3"/>
  <c r="Z62" i="5"/>
  <c r="AE60" i="5"/>
  <c r="AS60" i="5" s="1"/>
  <c r="AZ60" i="5"/>
  <c r="BJ113" i="3" l="1"/>
  <c r="BE113" i="3"/>
  <c r="M63" i="5"/>
  <c r="Z63" i="5" l="1"/>
  <c r="M64" i="5" l="1"/>
  <c r="W66" i="5" l="1"/>
  <c r="Z64" i="5"/>
  <c r="M65" i="5" l="1"/>
  <c r="R66" i="5"/>
  <c r="AI66" i="5" s="1"/>
  <c r="Z65" i="5" l="1"/>
  <c r="M66" i="5"/>
  <c r="AN66" i="5" s="1"/>
  <c r="M67" i="5" l="1"/>
  <c r="Z66" i="5"/>
  <c r="Z67" i="5" l="1"/>
  <c r="AE66" i="5"/>
  <c r="AS66" i="5" s="1"/>
  <c r="AZ66" i="5"/>
  <c r="M68" i="5" l="1"/>
  <c r="Z68" i="5" l="1"/>
  <c r="M69" i="5" l="1"/>
  <c r="Z69" i="5" l="1"/>
  <c r="M70" i="5" l="1"/>
  <c r="W72" i="5" l="1"/>
  <c r="Z70" i="5"/>
  <c r="M71" i="5" l="1"/>
  <c r="R72" i="5"/>
  <c r="AI72" i="5" l="1"/>
  <c r="Z71" i="5"/>
  <c r="M72" i="5"/>
  <c r="AN72" i="5" s="1"/>
  <c r="M73" i="5" l="1"/>
  <c r="Z72" i="5"/>
  <c r="AZ72" i="5" s="1"/>
  <c r="Z73" i="5" l="1"/>
  <c r="AE72" i="5"/>
  <c r="AS72" i="5" s="1"/>
  <c r="M74" i="5" l="1"/>
  <c r="Z74" i="5" l="1"/>
  <c r="M75" i="5" l="1"/>
  <c r="W77" i="5" l="1"/>
  <c r="W78" i="5" s="1"/>
  <c r="W79" i="5" s="1"/>
  <c r="Z75" i="5"/>
  <c r="M76" i="5" l="1"/>
  <c r="R77" i="5"/>
  <c r="AI77" i="5" s="1"/>
  <c r="Z76" i="5" l="1"/>
  <c r="M77" i="5"/>
  <c r="AN77" i="5" s="1"/>
  <c r="R78" i="5"/>
  <c r="M78" i="5" l="1"/>
  <c r="AN78" i="5" s="1"/>
  <c r="AI78" i="5"/>
  <c r="Z77" i="5"/>
  <c r="AZ77" i="5" s="1"/>
  <c r="AE77" i="5" l="1"/>
  <c r="AS77" i="5" s="1"/>
  <c r="Z78" i="5"/>
  <c r="AZ78" i="5" s="1"/>
  <c r="AE78" i="5" l="1"/>
  <c r="AS78" i="5" s="1"/>
  <c r="U44" i="5" l="1"/>
  <c r="BH47" i="5"/>
  <c r="U47" i="5"/>
  <c r="BH45" i="5"/>
  <c r="U45" i="5"/>
  <c r="V46" i="5"/>
  <c r="R45" i="5"/>
  <c r="U43" i="5"/>
  <c r="U46" i="5"/>
  <c r="V47" i="5"/>
  <c r="BH46" i="5"/>
  <c r="R46" i="5"/>
  <c r="U39" i="5"/>
  <c r="BH39" i="5"/>
  <c r="V40" i="5"/>
  <c r="R39" i="5"/>
  <c r="BH41" i="5"/>
  <c r="U41" i="5"/>
  <c r="U42" i="5"/>
  <c r="V45" i="5"/>
  <c r="R42" i="5"/>
  <c r="M42" i="5" s="1"/>
  <c r="Z42" i="5" s="1"/>
  <c r="BH44" i="5"/>
  <c r="BH42" i="5"/>
  <c r="L45" i="5"/>
  <c r="Y45" i="5" s="1"/>
  <c r="L39" i="5"/>
  <c r="P39" i="5" s="1"/>
  <c r="V42" i="5"/>
  <c r="V43" i="5" s="1"/>
  <c r="V44" i="5" s="1"/>
  <c r="BH40" i="5"/>
  <c r="BH43" i="5" s="1"/>
  <c r="V41" i="5"/>
  <c r="U40" i="5"/>
  <c r="AH43" i="5"/>
  <c r="AH44" i="5" s="1"/>
  <c r="L40" i="5"/>
  <c r="P40" i="5" s="1"/>
  <c r="R40" i="5"/>
  <c r="L46" i="5"/>
  <c r="Y46" i="5" s="1"/>
  <c r="AC46" i="5" s="1"/>
  <c r="L47" i="5"/>
  <c r="R47" i="5"/>
  <c r="W48" i="5" s="1"/>
  <c r="L42" i="5"/>
  <c r="P42" i="5" s="1"/>
  <c r="L41" i="5"/>
  <c r="Y41" i="5" s="1"/>
  <c r="AC41" i="5" s="1"/>
  <c r="R41" i="5"/>
  <c r="W46" i="5" l="1"/>
  <c r="W41" i="5"/>
  <c r="W40" i="5"/>
  <c r="W39" i="5"/>
  <c r="W42" i="5"/>
  <c r="W43" i="5" s="1"/>
  <c r="W44" i="5" s="1"/>
  <c r="M47" i="5"/>
  <c r="Z47" i="5" s="1"/>
  <c r="Q52" i="5"/>
  <c r="Q53" i="5" s="1"/>
  <c r="Q54" i="5" s="1"/>
  <c r="Q56" i="5" s="1"/>
  <c r="Q57" i="5" s="1"/>
  <c r="Q58" i="5" s="1"/>
  <c r="Q59" i="5" s="1"/>
  <c r="Q62" i="5" s="1"/>
  <c r="M41" i="5"/>
  <c r="Z41" i="5" s="1"/>
  <c r="M40" i="5"/>
  <c r="Z40" i="5" s="1"/>
  <c r="Y40" i="5"/>
  <c r="AC40" i="5" s="1"/>
  <c r="W47" i="5"/>
  <c r="Y39" i="5"/>
  <c r="AC39" i="5" s="1"/>
  <c r="P41" i="5"/>
  <c r="P46" i="5"/>
  <c r="L43" i="5"/>
  <c r="P45" i="5"/>
  <c r="W45" i="5"/>
  <c r="M45" i="5"/>
  <c r="Z45" i="5" s="1"/>
  <c r="M46" i="5"/>
  <c r="Z46" i="5" s="1"/>
  <c r="Y47" i="5"/>
  <c r="AC47" i="5" s="1"/>
  <c r="AC45" i="5"/>
  <c r="Y42" i="5"/>
  <c r="AC42" i="5" s="1"/>
  <c r="P47" i="5"/>
  <c r="AL43" i="5"/>
  <c r="AL44" i="5" s="1"/>
  <c r="R43" i="5"/>
  <c r="R49" i="5"/>
  <c r="W50" i="5" s="1"/>
  <c r="M39" i="5"/>
  <c r="L44" i="5" l="1"/>
  <c r="AM44" i="5" s="1"/>
  <c r="AM43" i="5"/>
  <c r="AI49" i="5"/>
  <c r="W49" i="5"/>
  <c r="Q49" i="5"/>
  <c r="V50" i="5" s="1"/>
  <c r="P43" i="5"/>
  <c r="M49" i="5"/>
  <c r="M61" i="5" s="1"/>
  <c r="Z49" i="5"/>
  <c r="AZ49" i="5" s="1"/>
  <c r="Y43" i="5"/>
  <c r="R44" i="5"/>
  <c r="AI43" i="5"/>
  <c r="M43" i="5"/>
  <c r="AN43" i="5" s="1"/>
  <c r="Z39" i="5"/>
  <c r="Z43" i="5" s="1"/>
  <c r="R61" i="5"/>
  <c r="P44" i="5" l="1"/>
  <c r="AQ43" i="5"/>
  <c r="AW43" i="5"/>
  <c r="AQ44" i="5"/>
  <c r="AW44" i="5"/>
  <c r="AH49" i="5"/>
  <c r="AL49" i="5" s="1"/>
  <c r="AN49" i="5"/>
  <c r="BB49" i="5"/>
  <c r="V53" i="5"/>
  <c r="U52" i="5"/>
  <c r="BA49" i="5"/>
  <c r="V49" i="5"/>
  <c r="AW49" i="5" s="1"/>
  <c r="L49" i="5"/>
  <c r="U49" i="5"/>
  <c r="AN61" i="5"/>
  <c r="AI44" i="5"/>
  <c r="AE43" i="5"/>
  <c r="AS43" i="5" s="1"/>
  <c r="Z44" i="5"/>
  <c r="AI61" i="5"/>
  <c r="AD43" i="5"/>
  <c r="AR43" i="5" s="1"/>
  <c r="AV43" i="5" s="1"/>
  <c r="AC43" i="5"/>
  <c r="Y44" i="5"/>
  <c r="Z61" i="5"/>
  <c r="AE61" i="5" s="1"/>
  <c r="AS61" i="5" s="1"/>
  <c r="AE49" i="5"/>
  <c r="AS49" i="5" s="1"/>
  <c r="AX43" i="5"/>
  <c r="M44" i="5"/>
  <c r="AN44" i="5" s="1"/>
  <c r="R79" i="5"/>
  <c r="V54" i="5" l="1"/>
  <c r="V55" i="5" s="1"/>
  <c r="V52" i="5"/>
  <c r="U51" i="5"/>
  <c r="BH49" i="5"/>
  <c r="AH51" i="5"/>
  <c r="V51" i="5"/>
  <c r="AM49" i="5"/>
  <c r="P49" i="5"/>
  <c r="Y49" i="5"/>
  <c r="BE49" i="5"/>
  <c r="BJ49" i="5"/>
  <c r="AX44" i="5"/>
  <c r="AX79" i="5" s="1"/>
  <c r="AI79" i="5"/>
  <c r="AD44" i="5"/>
  <c r="AR44" i="5" s="1"/>
  <c r="AV44" i="5" s="1"/>
  <c r="AC44" i="5"/>
  <c r="Z79" i="5"/>
  <c r="AE44" i="5"/>
  <c r="AS44" i="5" s="1"/>
  <c r="M79" i="5"/>
  <c r="AN79" i="5" s="1"/>
  <c r="AZ61" i="5"/>
  <c r="AQ49" i="5" l="1"/>
  <c r="AL51" i="5"/>
  <c r="AH52" i="5"/>
  <c r="U53" i="5"/>
  <c r="Q55" i="5"/>
  <c r="V56" i="5"/>
  <c r="U54" i="5"/>
  <c r="BA51" i="5"/>
  <c r="AD49" i="5"/>
  <c r="AR49" i="5" s="1"/>
  <c r="AC49" i="5"/>
  <c r="AY49" i="5"/>
  <c r="AZ79" i="5"/>
  <c r="AE79" i="5"/>
  <c r="AS79" i="5" s="1"/>
  <c r="AM51" i="5" l="1"/>
  <c r="BH51" i="5"/>
  <c r="BB51" i="5"/>
  <c r="AH53" i="5"/>
  <c r="AL52" i="5"/>
  <c r="U55" i="5"/>
  <c r="AV49" i="5"/>
  <c r="V57" i="5"/>
  <c r="U56" i="5"/>
  <c r="CW56" i="5"/>
  <c r="BJ51" i="5"/>
  <c r="BE51" i="5"/>
  <c r="BA52" i="5"/>
  <c r="BB52" i="5" s="1"/>
  <c r="AH54" i="5" l="1"/>
  <c r="AL53" i="5"/>
  <c r="AM52" i="5"/>
  <c r="L51" i="5"/>
  <c r="P51" i="5" s="1"/>
  <c r="AQ51" i="5"/>
  <c r="AW51" i="5"/>
  <c r="AR51" i="5"/>
  <c r="AR52" i="5" s="1"/>
  <c r="CY56" i="5"/>
  <c r="CW57" i="5"/>
  <c r="V58" i="5"/>
  <c r="U57" i="5"/>
  <c r="BJ52" i="5"/>
  <c r="BE52" i="5"/>
  <c r="BH52" i="5"/>
  <c r="BA53" i="5"/>
  <c r="BB53" i="5" s="1"/>
  <c r="AD52" i="5" l="1"/>
  <c r="AR53" i="5"/>
  <c r="AV52" i="5"/>
  <c r="AW52" i="5"/>
  <c r="AQ52" i="5"/>
  <c r="L52" i="5"/>
  <c r="AM53" i="5"/>
  <c r="AL54" i="5"/>
  <c r="AH55" i="5"/>
  <c r="AD51" i="5"/>
  <c r="Y51" i="5" s="1"/>
  <c r="AC51" i="5" s="1"/>
  <c r="AV51" i="5"/>
  <c r="CY57" i="5"/>
  <c r="CW58" i="5"/>
  <c r="Q60" i="5"/>
  <c r="Q63" i="5" s="1"/>
  <c r="Q64" i="5" s="1"/>
  <c r="Q65" i="5" s="1"/>
  <c r="Q67" i="5" s="1"/>
  <c r="U58" i="5"/>
  <c r="BE53" i="5"/>
  <c r="BJ53" i="5"/>
  <c r="BH53" i="5"/>
  <c r="BA54" i="5"/>
  <c r="BB54" i="5" s="1"/>
  <c r="BB55" i="5" s="1"/>
  <c r="AQ53" i="5" l="1"/>
  <c r="AW53" i="5"/>
  <c r="AM54" i="5"/>
  <c r="L53" i="5"/>
  <c r="P52" i="5"/>
  <c r="Y52" i="5"/>
  <c r="AC52" i="5" s="1"/>
  <c r="AD53" i="5"/>
  <c r="AV53" i="5"/>
  <c r="AR54" i="5"/>
  <c r="AV54" i="5" s="1"/>
  <c r="AL55" i="5"/>
  <c r="AH56" i="5"/>
  <c r="Q68" i="5"/>
  <c r="Q69" i="5" s="1"/>
  <c r="Q70" i="5" s="1"/>
  <c r="Q71" i="5" s="1"/>
  <c r="Q73" i="5" s="1"/>
  <c r="Q74" i="5" s="1"/>
  <c r="Q75" i="5" s="1"/>
  <c r="Q76" i="5" s="1"/>
  <c r="Q80" i="5" s="1"/>
  <c r="U60" i="5"/>
  <c r="Q61" i="5"/>
  <c r="U59" i="5"/>
  <c r="V59" i="5"/>
  <c r="V60" i="5" s="1"/>
  <c r="V61" i="5" s="1"/>
  <c r="CY58" i="5"/>
  <c r="CW59" i="5"/>
  <c r="BA55" i="5"/>
  <c r="BJ54" i="5"/>
  <c r="BE54" i="5"/>
  <c r="BH54" i="5"/>
  <c r="L54" i="5" l="1"/>
  <c r="P54" i="5" s="1"/>
  <c r="AW54" i="5"/>
  <c r="AW55" i="5" s="1"/>
  <c r="AQ54" i="5"/>
  <c r="AD54" i="5"/>
  <c r="AL56" i="5"/>
  <c r="AH57" i="5"/>
  <c r="P53" i="5"/>
  <c r="Y53" i="5"/>
  <c r="V80" i="5"/>
  <c r="Q72" i="5"/>
  <c r="U62" i="5"/>
  <c r="V62" i="5"/>
  <c r="U61" i="5"/>
  <c r="CY59" i="5"/>
  <c r="CW60" i="5"/>
  <c r="BE55" i="5"/>
  <c r="BA56" i="5"/>
  <c r="BB56" i="5" s="1"/>
  <c r="BJ55" i="5"/>
  <c r="BH55" i="5"/>
  <c r="Y54" i="5" l="1"/>
  <c r="AC54" i="5" s="1"/>
  <c r="AL57" i="5"/>
  <c r="AH58" i="5"/>
  <c r="AC53" i="5"/>
  <c r="L55" i="5"/>
  <c r="V63" i="5"/>
  <c r="CW61" i="5"/>
  <c r="CY61" i="5" s="1"/>
  <c r="CY60" i="5"/>
  <c r="V64" i="5"/>
  <c r="U63" i="5"/>
  <c r="BJ56" i="5"/>
  <c r="BH56" i="5"/>
  <c r="BE56" i="5"/>
  <c r="BA57" i="5"/>
  <c r="BB57" i="5" s="1"/>
  <c r="Y55" i="5" l="1"/>
  <c r="AD55" i="5" s="1"/>
  <c r="AR55" i="5" s="1"/>
  <c r="AM55" i="5"/>
  <c r="P55" i="5"/>
  <c r="AL58" i="5"/>
  <c r="AH59" i="5"/>
  <c r="AL59" i="5" s="1"/>
  <c r="V65" i="5"/>
  <c r="V66" i="5" s="1"/>
  <c r="U64" i="5"/>
  <c r="BJ57" i="5"/>
  <c r="BH57" i="5"/>
  <c r="BE57" i="5"/>
  <c r="BA58" i="5"/>
  <c r="BB58" i="5" s="1"/>
  <c r="AC55" i="5" l="1"/>
  <c r="AY55" i="5"/>
  <c r="AV55" i="5"/>
  <c r="AR56" i="5"/>
  <c r="AM56" i="5"/>
  <c r="AQ55" i="5"/>
  <c r="AH60" i="5"/>
  <c r="V67" i="5"/>
  <c r="U65" i="5"/>
  <c r="Q66" i="5"/>
  <c r="BH58" i="5"/>
  <c r="BE58" i="5"/>
  <c r="BJ58" i="5"/>
  <c r="BA59" i="5"/>
  <c r="AM57" i="5" l="1"/>
  <c r="AQ56" i="5"/>
  <c r="AW56" i="5"/>
  <c r="L56" i="5"/>
  <c r="AD56" i="5"/>
  <c r="AR57" i="5"/>
  <c r="AV56" i="5"/>
  <c r="AL60" i="5"/>
  <c r="AL61" i="5" s="1"/>
  <c r="AH61" i="5"/>
  <c r="AH62" i="5" s="1"/>
  <c r="U66" i="5"/>
  <c r="U67" i="5"/>
  <c r="BH59" i="5"/>
  <c r="BE59" i="5"/>
  <c r="BJ59" i="5"/>
  <c r="BA60" i="5"/>
  <c r="BB59" i="5"/>
  <c r="BB60" i="5" s="1"/>
  <c r="BB61" i="5" s="1"/>
  <c r="Y56" i="5" l="1"/>
  <c r="AC56" i="5" s="1"/>
  <c r="AL62" i="5"/>
  <c r="AH63" i="5"/>
  <c r="P56" i="5"/>
  <c r="AD57" i="5"/>
  <c r="AR58" i="5"/>
  <c r="AV57" i="5"/>
  <c r="AW57" i="5"/>
  <c r="AQ57" i="5"/>
  <c r="L57" i="5"/>
  <c r="P57" i="5" s="1"/>
  <c r="AM58" i="5"/>
  <c r="V69" i="5"/>
  <c r="U68" i="5"/>
  <c r="V68" i="5"/>
  <c r="BH60" i="5"/>
  <c r="BA61" i="5"/>
  <c r="BE60" i="5"/>
  <c r="BJ60" i="5"/>
  <c r="AM59" i="5" l="1"/>
  <c r="AQ58" i="5"/>
  <c r="L58" i="5"/>
  <c r="AW58" i="5"/>
  <c r="AD58" i="5"/>
  <c r="AV58" i="5"/>
  <c r="AR59" i="5"/>
  <c r="AV59" i="5" s="1"/>
  <c r="Y57" i="5"/>
  <c r="AL63" i="5"/>
  <c r="AH64" i="5"/>
  <c r="V70" i="5"/>
  <c r="U69" i="5"/>
  <c r="BH61" i="5"/>
  <c r="BA62" i="5"/>
  <c r="BE61" i="5"/>
  <c r="BJ61" i="5"/>
  <c r="P58" i="5" l="1"/>
  <c r="AH65" i="5"/>
  <c r="AL64" i="5"/>
  <c r="Y58" i="5"/>
  <c r="AW59" i="5"/>
  <c r="AW60" i="5" s="1"/>
  <c r="AW61" i="5" s="1"/>
  <c r="L59" i="5"/>
  <c r="P59" i="5" s="1"/>
  <c r="AQ59" i="5"/>
  <c r="AD59" i="5"/>
  <c r="AC57" i="5"/>
  <c r="V71" i="5"/>
  <c r="V72" i="5" s="1"/>
  <c r="U70" i="5"/>
  <c r="BH62" i="5"/>
  <c r="BB62" i="5"/>
  <c r="BE62" i="5"/>
  <c r="BJ62" i="5"/>
  <c r="BA63" i="5"/>
  <c r="AL65" i="5" l="1"/>
  <c r="AH66" i="5"/>
  <c r="L60" i="5"/>
  <c r="Y59" i="5"/>
  <c r="AC58" i="5"/>
  <c r="V73" i="5"/>
  <c r="U71" i="5"/>
  <c r="BH63" i="5"/>
  <c r="BJ63" i="5"/>
  <c r="BB63" i="5"/>
  <c r="BE63" i="5"/>
  <c r="BA64" i="5"/>
  <c r="AC59" i="5" l="1"/>
  <c r="Y60" i="5"/>
  <c r="AY60" i="5" s="1"/>
  <c r="AM60" i="5"/>
  <c r="AQ60" i="5" s="1"/>
  <c r="L61" i="5"/>
  <c r="P60" i="5"/>
  <c r="AH67" i="5"/>
  <c r="AL66" i="5"/>
  <c r="U72" i="5"/>
  <c r="V74" i="5"/>
  <c r="CW73" i="5"/>
  <c r="U73" i="5"/>
  <c r="BB64" i="5"/>
  <c r="BH64" i="5"/>
  <c r="BJ64" i="5"/>
  <c r="BE64" i="5"/>
  <c r="BA65" i="5"/>
  <c r="P61" i="5" l="1"/>
  <c r="AM61" i="5"/>
  <c r="AL67" i="5"/>
  <c r="AH68" i="5"/>
  <c r="AD60" i="5"/>
  <c r="AR60" i="5" s="1"/>
  <c r="AV60" i="5" s="1"/>
  <c r="Y61" i="5"/>
  <c r="AY61" i="5" s="1"/>
  <c r="AC60" i="5"/>
  <c r="CY73" i="5"/>
  <c r="CW74" i="5"/>
  <c r="V75" i="5"/>
  <c r="U74" i="5"/>
  <c r="BB65" i="5"/>
  <c r="BB66" i="5" s="1"/>
  <c r="BJ65" i="5"/>
  <c r="BE65" i="5"/>
  <c r="BH65" i="5"/>
  <c r="BA66" i="5"/>
  <c r="AQ61" i="5" l="1"/>
  <c r="AM62" i="5"/>
  <c r="AH69" i="5"/>
  <c r="AL68" i="5"/>
  <c r="AD61" i="5"/>
  <c r="AR61" i="5" s="1"/>
  <c r="AC61" i="5"/>
  <c r="Q77" i="5"/>
  <c r="U75" i="5"/>
  <c r="CY74" i="5"/>
  <c r="CW75" i="5"/>
  <c r="BH66" i="5"/>
  <c r="BJ66" i="5"/>
  <c r="BE66" i="5"/>
  <c r="BA67" i="5"/>
  <c r="AW62" i="5" l="1"/>
  <c r="AM63" i="5"/>
  <c r="AQ62" i="5"/>
  <c r="L62" i="5"/>
  <c r="AV61" i="5"/>
  <c r="AR62" i="5"/>
  <c r="AD62" i="5" s="1"/>
  <c r="AL69" i="5"/>
  <c r="AH70" i="5"/>
  <c r="Q81" i="5"/>
  <c r="Q82" i="5" s="1"/>
  <c r="Q83" i="5" s="1"/>
  <c r="Q85" i="5" s="1"/>
  <c r="U80" i="5"/>
  <c r="V76" i="5"/>
  <c r="V77" i="5" s="1"/>
  <c r="V78" i="5" s="1"/>
  <c r="V79" i="5" s="1"/>
  <c r="U76" i="5"/>
  <c r="CY75" i="5"/>
  <c r="CW76" i="5"/>
  <c r="Q78" i="5"/>
  <c r="U77" i="5"/>
  <c r="BB67" i="5"/>
  <c r="BJ67" i="5"/>
  <c r="BA68" i="5"/>
  <c r="BH67" i="5"/>
  <c r="BE67" i="5"/>
  <c r="Y62" i="5" l="1"/>
  <c r="AC62" i="5" s="1"/>
  <c r="AQ63" i="5"/>
  <c r="L63" i="5"/>
  <c r="P63" i="5" s="1"/>
  <c r="AW63" i="5"/>
  <c r="AM64" i="5"/>
  <c r="P62" i="5"/>
  <c r="AR63" i="5"/>
  <c r="AD63" i="5" s="1"/>
  <c r="AV62" i="5"/>
  <c r="AL70" i="5"/>
  <c r="AH71" i="5"/>
  <c r="Q84" i="5"/>
  <c r="Q86" i="5"/>
  <c r="Q87" i="5" s="1"/>
  <c r="Q88" i="5" s="1"/>
  <c r="Q89" i="5" s="1"/>
  <c r="Q91" i="5" s="1"/>
  <c r="Q92" i="5" s="1"/>
  <c r="Q93" i="5" s="1"/>
  <c r="Q94" i="5" s="1"/>
  <c r="Q97" i="5" s="1"/>
  <c r="CW77" i="5"/>
  <c r="CY76" i="5"/>
  <c r="U78" i="5"/>
  <c r="Q79" i="5"/>
  <c r="BB68" i="5"/>
  <c r="BH68" i="5"/>
  <c r="BJ68" i="5"/>
  <c r="BE68" i="5"/>
  <c r="BA69" i="5"/>
  <c r="Y63" i="5" l="1"/>
  <c r="AC63" i="5" s="1"/>
  <c r="AQ64" i="5"/>
  <c r="AM65" i="5"/>
  <c r="L64" i="5"/>
  <c r="AW64" i="5"/>
  <c r="AH72" i="5"/>
  <c r="AL71" i="5"/>
  <c r="AR64" i="5"/>
  <c r="AD64" i="5" s="1"/>
  <c r="AV63" i="5"/>
  <c r="Q98" i="5"/>
  <c r="Q99" i="5" s="1"/>
  <c r="Q100" i="5" s="1"/>
  <c r="Q102" i="5" s="1"/>
  <c r="Q90" i="5"/>
  <c r="V81" i="5"/>
  <c r="U79" i="5"/>
  <c r="U81" i="5"/>
  <c r="CY77" i="5"/>
  <c r="CW78" i="5"/>
  <c r="BJ69" i="5"/>
  <c r="BB69" i="5"/>
  <c r="BH69" i="5"/>
  <c r="BE69" i="5"/>
  <c r="BA70" i="5"/>
  <c r="Y64" i="5" l="1"/>
  <c r="AC64" i="5" s="1"/>
  <c r="P64" i="5"/>
  <c r="L65" i="5"/>
  <c r="P65" i="5" s="1"/>
  <c r="AW65" i="5"/>
  <c r="AW66" i="5" s="1"/>
  <c r="AQ65" i="5"/>
  <c r="AV64" i="5"/>
  <c r="AR65" i="5"/>
  <c r="AH73" i="5"/>
  <c r="AL72" i="5"/>
  <c r="Q103" i="5"/>
  <c r="Q104" i="5" s="1"/>
  <c r="Q105" i="5" s="1"/>
  <c r="Q106" i="5" s="1"/>
  <c r="Q108" i="5" s="1"/>
  <c r="Q109" i="5" s="1"/>
  <c r="Q110" i="5" s="1"/>
  <c r="Q111" i="5" s="1"/>
  <c r="Q101" i="5"/>
  <c r="V82" i="5"/>
  <c r="CY78" i="5"/>
  <c r="CW79" i="5"/>
  <c r="CY79" i="5" s="1"/>
  <c r="U82" i="5"/>
  <c r="BE70" i="5"/>
  <c r="BJ70" i="5"/>
  <c r="BB70" i="5"/>
  <c r="BH70" i="5"/>
  <c r="BA71" i="5"/>
  <c r="L66" i="5" l="1"/>
  <c r="AV65" i="5"/>
  <c r="AD65" i="5"/>
  <c r="Y65" i="5" s="1"/>
  <c r="AL73" i="5"/>
  <c r="AH74" i="5"/>
  <c r="Q107" i="5"/>
  <c r="V83" i="5"/>
  <c r="V84" i="5" s="1"/>
  <c r="V85" i="5"/>
  <c r="U83" i="5"/>
  <c r="U84" i="5"/>
  <c r="BH71" i="5"/>
  <c r="BB71" i="5"/>
  <c r="BB72" i="5" s="1"/>
  <c r="BE71" i="5"/>
  <c r="BJ71" i="5"/>
  <c r="BA72" i="5"/>
  <c r="P66" i="5" l="1"/>
  <c r="AM66" i="5"/>
  <c r="AC65" i="5"/>
  <c r="Y66" i="5"/>
  <c r="AY66" i="5" s="1"/>
  <c r="AH75" i="5"/>
  <c r="AL74" i="5"/>
  <c r="V86" i="5"/>
  <c r="U85" i="5"/>
  <c r="BH72" i="5"/>
  <c r="BE72" i="5"/>
  <c r="BJ72" i="5"/>
  <c r="BA73" i="5"/>
  <c r="AQ66" i="5" l="1"/>
  <c r="AM67" i="5"/>
  <c r="AC66" i="5"/>
  <c r="AD66" i="5"/>
  <c r="AR66" i="5" s="1"/>
  <c r="AH76" i="5"/>
  <c r="AL75" i="5"/>
  <c r="V87" i="5"/>
  <c r="U86" i="5"/>
  <c r="BJ73" i="5"/>
  <c r="BE73" i="5"/>
  <c r="BB73" i="5"/>
  <c r="BH73" i="5"/>
  <c r="BA74" i="5"/>
  <c r="L67" i="5" l="1"/>
  <c r="AQ67" i="5"/>
  <c r="AM68" i="5"/>
  <c r="AW67" i="5"/>
  <c r="AV66" i="5"/>
  <c r="AR67" i="5"/>
  <c r="AH77" i="5"/>
  <c r="AL76" i="5"/>
  <c r="V88" i="5"/>
  <c r="U87" i="5"/>
  <c r="BJ74" i="5"/>
  <c r="BE74" i="5"/>
  <c r="BB74" i="5"/>
  <c r="BH74" i="5"/>
  <c r="BA75" i="5"/>
  <c r="P67" i="5" l="1"/>
  <c r="AQ68" i="5"/>
  <c r="AW68" i="5"/>
  <c r="L68" i="5"/>
  <c r="P68" i="5" s="1"/>
  <c r="AM69" i="5"/>
  <c r="AD67" i="5"/>
  <c r="Y67" i="5" s="1"/>
  <c r="AR68" i="5"/>
  <c r="AV67" i="5"/>
  <c r="AL77" i="5"/>
  <c r="AL78" i="5" s="1"/>
  <c r="AH78" i="5"/>
  <c r="AH79" i="5" s="1"/>
  <c r="U90" i="5"/>
  <c r="U88" i="5"/>
  <c r="BJ75" i="5"/>
  <c r="BE75" i="5"/>
  <c r="BB75" i="5"/>
  <c r="BH75" i="5"/>
  <c r="BA76" i="5"/>
  <c r="AM70" i="5" l="1"/>
  <c r="AW69" i="5"/>
  <c r="AQ69" i="5"/>
  <c r="L69" i="5"/>
  <c r="AC67" i="5"/>
  <c r="AD68" i="5"/>
  <c r="Y68" i="5" s="1"/>
  <c r="AC68" i="5" s="1"/>
  <c r="AV68" i="5"/>
  <c r="AR69" i="5"/>
  <c r="AL79" i="5"/>
  <c r="AH80" i="5"/>
  <c r="V89" i="5"/>
  <c r="V90" i="5" s="1"/>
  <c r="V91" i="5"/>
  <c r="U89" i="5"/>
  <c r="BH76" i="5"/>
  <c r="BB76" i="5"/>
  <c r="BB77" i="5" s="1"/>
  <c r="BB78" i="5" s="1"/>
  <c r="BB79" i="5" s="1"/>
  <c r="BJ76" i="5"/>
  <c r="BE76" i="5"/>
  <c r="BA77" i="5"/>
  <c r="AW70" i="5" l="1"/>
  <c r="AQ70" i="5"/>
  <c r="L70" i="5"/>
  <c r="P70" i="5" s="1"/>
  <c r="AM71" i="5"/>
  <c r="P69" i="5"/>
  <c r="AD69" i="5"/>
  <c r="Y69" i="5" s="1"/>
  <c r="AR70" i="5"/>
  <c r="AV69" i="5"/>
  <c r="AL80" i="5"/>
  <c r="AH81" i="5"/>
  <c r="V92" i="5"/>
  <c r="CW91" i="5"/>
  <c r="U91" i="5"/>
  <c r="BH77" i="5"/>
  <c r="BE77" i="5"/>
  <c r="BJ77" i="5"/>
  <c r="BA78" i="5"/>
  <c r="AQ71" i="5" l="1"/>
  <c r="L71" i="5"/>
  <c r="AW71" i="5"/>
  <c r="AW72" i="5" s="1"/>
  <c r="AC69" i="5"/>
  <c r="AD70" i="5"/>
  <c r="Y70" i="5" s="1"/>
  <c r="AC70" i="5" s="1"/>
  <c r="AR71" i="5"/>
  <c r="AV70" i="5"/>
  <c r="AL81" i="5"/>
  <c r="AH82" i="5"/>
  <c r="CY91" i="5"/>
  <c r="CW92" i="5"/>
  <c r="V93" i="5"/>
  <c r="U92" i="5"/>
  <c r="BH78" i="5"/>
  <c r="BE78" i="5"/>
  <c r="BJ78" i="5"/>
  <c r="BA79" i="5"/>
  <c r="P71" i="5" l="1"/>
  <c r="L72" i="5"/>
  <c r="AM72" i="5" s="1"/>
  <c r="AV71" i="5"/>
  <c r="AD71" i="5"/>
  <c r="Y71" i="5" s="1"/>
  <c r="AC71" i="5" s="1"/>
  <c r="AH83" i="5"/>
  <c r="AL83" i="5" s="1"/>
  <c r="AL82" i="5"/>
  <c r="Q95" i="5"/>
  <c r="U93" i="5"/>
  <c r="CY92" i="5"/>
  <c r="CW93" i="5"/>
  <c r="BH79" i="5"/>
  <c r="BJ79" i="5"/>
  <c r="BA80" i="5"/>
  <c r="BE79" i="5"/>
  <c r="AQ72" i="5" l="1"/>
  <c r="AM73" i="5"/>
  <c r="P72" i="5"/>
  <c r="Y72" i="5"/>
  <c r="AD72" i="5" s="1"/>
  <c r="AR72" i="5" s="1"/>
  <c r="AV72" i="5" s="1"/>
  <c r="AH84" i="5"/>
  <c r="AH85" i="5" s="1"/>
  <c r="V94" i="5"/>
  <c r="V95" i="5" s="1"/>
  <c r="V96" i="5" s="1"/>
  <c r="CY93" i="5"/>
  <c r="CW94" i="5"/>
  <c r="Q96" i="5"/>
  <c r="U96" i="5" s="1"/>
  <c r="U95" i="5"/>
  <c r="V97" i="5"/>
  <c r="U94" i="5"/>
  <c r="BH80" i="5"/>
  <c r="BB80" i="5"/>
  <c r="BJ80" i="5"/>
  <c r="BE80" i="5"/>
  <c r="BA81" i="5"/>
  <c r="AW73" i="5" l="1"/>
  <c r="L73" i="5"/>
  <c r="AQ73" i="5"/>
  <c r="AM74" i="5"/>
  <c r="AR73" i="5"/>
  <c r="AD73" i="5" s="1"/>
  <c r="AY72" i="5"/>
  <c r="AC72" i="5"/>
  <c r="AL84" i="5"/>
  <c r="AL85" i="5"/>
  <c r="AH86" i="5"/>
  <c r="CY94" i="5"/>
  <c r="CW95" i="5"/>
  <c r="V98" i="5"/>
  <c r="U97" i="5"/>
  <c r="BE81" i="5"/>
  <c r="BJ81" i="5"/>
  <c r="BH81" i="5"/>
  <c r="BB81" i="5"/>
  <c r="BA82" i="5"/>
  <c r="Y73" i="5" l="1"/>
  <c r="AC73" i="5" s="1"/>
  <c r="AW74" i="5"/>
  <c r="AQ74" i="5"/>
  <c r="L74" i="5"/>
  <c r="P74" i="5" s="1"/>
  <c r="AM75" i="5"/>
  <c r="P73" i="5"/>
  <c r="AR74" i="5"/>
  <c r="AD74" i="5" s="1"/>
  <c r="AV73" i="5"/>
  <c r="AL86" i="5"/>
  <c r="AH87" i="5"/>
  <c r="V99" i="5"/>
  <c r="U98" i="5"/>
  <c r="CW96" i="5"/>
  <c r="CY96" i="5" s="1"/>
  <c r="CY95" i="5"/>
  <c r="BB82" i="5"/>
  <c r="BJ82" i="5"/>
  <c r="BE82" i="5"/>
  <c r="BH82" i="5"/>
  <c r="BA83" i="5"/>
  <c r="AQ75" i="5" l="1"/>
  <c r="AM76" i="5"/>
  <c r="L75" i="5"/>
  <c r="AW75" i="5"/>
  <c r="Y74" i="5"/>
  <c r="AC74" i="5" s="1"/>
  <c r="AR75" i="5"/>
  <c r="AD75" i="5" s="1"/>
  <c r="AV74" i="5"/>
  <c r="AL87" i="5"/>
  <c r="AH88" i="5"/>
  <c r="U101" i="5"/>
  <c r="U99" i="5"/>
  <c r="BB83" i="5"/>
  <c r="BB84" i="5" s="1"/>
  <c r="BJ83" i="5"/>
  <c r="BH83" i="5"/>
  <c r="BE83" i="5"/>
  <c r="BA84" i="5"/>
  <c r="Y75" i="5" l="1"/>
  <c r="AC75" i="5" s="1"/>
  <c r="P75" i="5"/>
  <c r="L76" i="5"/>
  <c r="P76" i="5" s="1"/>
  <c r="AQ76" i="5"/>
  <c r="AW76" i="5"/>
  <c r="AW77" i="5" s="1"/>
  <c r="AW78" i="5" s="1"/>
  <c r="AW79" i="5" s="1"/>
  <c r="AR76" i="5"/>
  <c r="AV76" i="5" s="1"/>
  <c r="AV75" i="5"/>
  <c r="AL88" i="5"/>
  <c r="AH89" i="5"/>
  <c r="V100" i="5"/>
  <c r="V101" i="5" s="1"/>
  <c r="V102" i="5"/>
  <c r="U100" i="5"/>
  <c r="BJ84" i="5"/>
  <c r="BH84" i="5"/>
  <c r="BE84" i="5"/>
  <c r="BA85" i="5"/>
  <c r="L77" i="5" l="1"/>
  <c r="AM77" i="5" s="1"/>
  <c r="AQ77" i="5" s="1"/>
  <c r="AD76" i="5"/>
  <c r="Y76" i="5" s="1"/>
  <c r="AC76" i="5" s="1"/>
  <c r="AH90" i="5"/>
  <c r="AL89" i="5"/>
  <c r="V103" i="5"/>
  <c r="U102" i="5"/>
  <c r="BB85" i="5"/>
  <c r="BJ85" i="5"/>
  <c r="BH85" i="5"/>
  <c r="BE85" i="5"/>
  <c r="BA86" i="5"/>
  <c r="P77" i="5" l="1"/>
  <c r="L78" i="5"/>
  <c r="AM78" i="5" s="1"/>
  <c r="AQ78" i="5" s="1"/>
  <c r="Y77" i="5"/>
  <c r="AY77" i="5" s="1"/>
  <c r="AH91" i="5"/>
  <c r="AL90" i="5"/>
  <c r="V104" i="5"/>
  <c r="U103" i="5"/>
  <c r="BH86" i="5"/>
  <c r="BJ86" i="5"/>
  <c r="BB86" i="5"/>
  <c r="BA87" i="5"/>
  <c r="BE86" i="5"/>
  <c r="AC77" i="5" l="1"/>
  <c r="L79" i="5"/>
  <c r="P78" i="5"/>
  <c r="Y78" i="5"/>
  <c r="AY78" i="5" s="1"/>
  <c r="AD77" i="5"/>
  <c r="AR77" i="5" s="1"/>
  <c r="AV77" i="5" s="1"/>
  <c r="AL91" i="5"/>
  <c r="AH92" i="5"/>
  <c r="V105" i="5"/>
  <c r="U104" i="5"/>
  <c r="BB87" i="5"/>
  <c r="BJ87" i="5"/>
  <c r="BH87" i="5"/>
  <c r="BE87" i="5"/>
  <c r="BA88" i="5"/>
  <c r="P79" i="5" l="1"/>
  <c r="AM79" i="5"/>
  <c r="AC78" i="5"/>
  <c r="Y79" i="5"/>
  <c r="AY79" i="5" s="1"/>
  <c r="AD78" i="5"/>
  <c r="AR78" i="5" s="1"/>
  <c r="AV78" i="5" s="1"/>
  <c r="AL92" i="5"/>
  <c r="AH93" i="5"/>
  <c r="V106" i="5"/>
  <c r="V107" i="5" s="1"/>
  <c r="U105" i="5"/>
  <c r="BH88" i="5"/>
  <c r="BB88" i="5"/>
  <c r="BJ88" i="5"/>
  <c r="BE88" i="5"/>
  <c r="BA89" i="5"/>
  <c r="AQ79" i="5" l="1"/>
  <c r="AM80" i="5"/>
  <c r="AC79" i="5"/>
  <c r="AD79" i="5"/>
  <c r="AR79" i="5" s="1"/>
  <c r="AR80" i="5" s="1"/>
  <c r="AH94" i="5"/>
  <c r="AL93" i="5"/>
  <c r="V108" i="5"/>
  <c r="U106" i="5"/>
  <c r="U107" i="5"/>
  <c r="BH89" i="5"/>
  <c r="BE89" i="5"/>
  <c r="BB89" i="5"/>
  <c r="BB90" i="5" s="1"/>
  <c r="BA90" i="5"/>
  <c r="BJ89" i="5"/>
  <c r="AD80" i="5" l="1"/>
  <c r="AQ80" i="5"/>
  <c r="L80" i="5"/>
  <c r="AM81" i="5"/>
  <c r="AW80" i="5"/>
  <c r="AV79" i="5"/>
  <c r="AV80" i="5"/>
  <c r="AR81" i="5"/>
  <c r="AL94" i="5"/>
  <c r="AL95" i="5" s="1"/>
  <c r="AH95" i="5"/>
  <c r="AH96" i="5" s="1"/>
  <c r="U108" i="5"/>
  <c r="CW108" i="5"/>
  <c r="BJ90" i="5"/>
  <c r="BE90" i="5"/>
  <c r="BH90" i="5"/>
  <c r="BA91" i="5"/>
  <c r="P80" i="5" l="1"/>
  <c r="AM82" i="5"/>
  <c r="AW81" i="5"/>
  <c r="L81" i="5"/>
  <c r="P81" i="5" s="1"/>
  <c r="AQ81" i="5"/>
  <c r="AD81" i="5"/>
  <c r="Y80" i="5"/>
  <c r="AC80" i="5" s="1"/>
  <c r="AV81" i="5"/>
  <c r="AR82" i="5"/>
  <c r="AL96" i="5"/>
  <c r="AH97" i="5"/>
  <c r="CY108" i="5"/>
  <c r="CW109" i="5"/>
  <c r="V110" i="5"/>
  <c r="U109" i="5"/>
  <c r="BB91" i="5"/>
  <c r="BH91" i="5"/>
  <c r="BJ91" i="5"/>
  <c r="BE91" i="5"/>
  <c r="BA92" i="5"/>
  <c r="Y81" i="5" l="1"/>
  <c r="AC81" i="5" s="1"/>
  <c r="AD82" i="5"/>
  <c r="AQ82" i="5"/>
  <c r="L82" i="5"/>
  <c r="AW82" i="5"/>
  <c r="AM83" i="5"/>
  <c r="AV82" i="5"/>
  <c r="AR83" i="5"/>
  <c r="AH98" i="5"/>
  <c r="AL97" i="5"/>
  <c r="U111" i="5"/>
  <c r="U110" i="5"/>
  <c r="CY109" i="5"/>
  <c r="CW110" i="5"/>
  <c r="BH92" i="5"/>
  <c r="BE92" i="5"/>
  <c r="BA93" i="5"/>
  <c r="BJ92" i="5"/>
  <c r="BB92" i="5"/>
  <c r="AQ83" i="5" l="1"/>
  <c r="L83" i="5"/>
  <c r="P83" i="5" s="1"/>
  <c r="AW83" i="5"/>
  <c r="AW84" i="5" s="1"/>
  <c r="P82" i="5"/>
  <c r="Y82" i="5"/>
  <c r="AC82" i="5" s="1"/>
  <c r="AV83" i="5"/>
  <c r="AD83" i="5"/>
  <c r="AH99" i="5"/>
  <c r="AL98" i="5"/>
  <c r="V111" i="5"/>
  <c r="V112" i="5" s="1"/>
  <c r="V113" i="5" s="1"/>
  <c r="Q112" i="5"/>
  <c r="CY110" i="5"/>
  <c r="CW111" i="5"/>
  <c r="BH93" i="5"/>
  <c r="BE93" i="5"/>
  <c r="BB93" i="5"/>
  <c r="BA94" i="5"/>
  <c r="BJ93" i="5"/>
  <c r="Y83" i="5" l="1"/>
  <c r="AC83" i="5" s="1"/>
  <c r="L84" i="5"/>
  <c r="AM84" i="5" s="1"/>
  <c r="AH100" i="5"/>
  <c r="AL99" i="5"/>
  <c r="CY111" i="5"/>
  <c r="CW112" i="5"/>
  <c r="Q113" i="5"/>
  <c r="U113" i="5" s="1"/>
  <c r="U112" i="5"/>
  <c r="BB94" i="5"/>
  <c r="BB95" i="5" s="1"/>
  <c r="BB96" i="5" s="1"/>
  <c r="BJ94" i="5"/>
  <c r="BH94" i="5"/>
  <c r="BE94" i="5"/>
  <c r="BA95" i="5"/>
  <c r="AQ84" i="5" l="1"/>
  <c r="AM85" i="5"/>
  <c r="Y84" i="5"/>
  <c r="AY84" i="5" s="1"/>
  <c r="P84" i="5"/>
  <c r="AL100" i="5"/>
  <c r="AH101" i="5"/>
  <c r="CW113" i="5"/>
  <c r="CY113" i="5" s="1"/>
  <c r="CY112" i="5"/>
  <c r="BE95" i="5"/>
  <c r="BH95" i="5"/>
  <c r="BA96" i="5"/>
  <c r="BJ95" i="5"/>
  <c r="AD84" i="5" l="1"/>
  <c r="AR84" i="5" s="1"/>
  <c r="AV84" i="5" s="1"/>
  <c r="AC84" i="5"/>
  <c r="L85" i="5"/>
  <c r="AW85" i="5"/>
  <c r="AM86" i="5"/>
  <c r="AQ85" i="5"/>
  <c r="AL101" i="5"/>
  <c r="AH102" i="5"/>
  <c r="BA97" i="5"/>
  <c r="BE96" i="5"/>
  <c r="BH96" i="5"/>
  <c r="BJ96" i="5"/>
  <c r="AR85" i="5" l="1"/>
  <c r="AD85" i="5" s="1"/>
  <c r="Y85" i="5" s="1"/>
  <c r="AC85" i="5" s="1"/>
  <c r="P85" i="5"/>
  <c r="AW86" i="5"/>
  <c r="AM87" i="5"/>
  <c r="AQ86" i="5"/>
  <c r="L86" i="5"/>
  <c r="P86" i="5" s="1"/>
  <c r="AH103" i="5"/>
  <c r="AL102" i="5"/>
  <c r="BB97" i="5"/>
  <c r="BH97" i="5"/>
  <c r="BE97" i="5"/>
  <c r="BJ97" i="5"/>
  <c r="BA98" i="5"/>
  <c r="AR86" i="5" l="1"/>
  <c r="AD86" i="5" s="1"/>
  <c r="Y86" i="5" s="1"/>
  <c r="AC86" i="5" s="1"/>
  <c r="AV85" i="5"/>
  <c r="AQ87" i="5"/>
  <c r="AM88" i="5"/>
  <c r="L87" i="5"/>
  <c r="P87" i="5" s="1"/>
  <c r="AW87" i="5"/>
  <c r="AH104" i="5"/>
  <c r="AL103" i="5"/>
  <c r="BH98" i="5"/>
  <c r="BB98" i="5"/>
  <c r="BE98" i="5"/>
  <c r="BJ98" i="5"/>
  <c r="BA99" i="5"/>
  <c r="AR87" i="5" l="1"/>
  <c r="AD87" i="5" s="1"/>
  <c r="Y87" i="5" s="1"/>
  <c r="AC87" i="5" s="1"/>
  <c r="AV86" i="5"/>
  <c r="AM89" i="5"/>
  <c r="AQ88" i="5"/>
  <c r="AW88" i="5"/>
  <c r="L88" i="5"/>
  <c r="P88" i="5" s="1"/>
  <c r="AH105" i="5"/>
  <c r="AL104" i="5"/>
  <c r="BE99" i="5"/>
  <c r="BH99" i="5"/>
  <c r="BA100" i="5"/>
  <c r="BJ99" i="5"/>
  <c r="BB99" i="5"/>
  <c r="AR88" i="5" l="1"/>
  <c r="AD88" i="5" s="1"/>
  <c r="Y88" i="5" s="1"/>
  <c r="AC88" i="5" s="1"/>
  <c r="AV87" i="5"/>
  <c r="AQ89" i="5"/>
  <c r="L89" i="5"/>
  <c r="AW89" i="5"/>
  <c r="AW90" i="5" s="1"/>
  <c r="AH106" i="5"/>
  <c r="AH107" i="5" s="1"/>
  <c r="AL105" i="5"/>
  <c r="BE100" i="5"/>
  <c r="BJ100" i="5"/>
  <c r="BA101" i="5"/>
  <c r="BH100" i="5"/>
  <c r="BB100" i="5"/>
  <c r="BB101" i="5" s="1"/>
  <c r="AR89" i="5" l="1"/>
  <c r="AV89" i="5" s="1"/>
  <c r="AV88" i="5"/>
  <c r="P89" i="5"/>
  <c r="L90" i="5"/>
  <c r="AH108" i="5"/>
  <c r="AL108" i="5" s="1"/>
  <c r="AL107" i="5"/>
  <c r="AL106" i="5"/>
  <c r="BJ101" i="5"/>
  <c r="BH101" i="5"/>
  <c r="BE101" i="5"/>
  <c r="BA102" i="5"/>
  <c r="AD89" i="5" l="1"/>
  <c r="Y89" i="5" s="1"/>
  <c r="AC89" i="5" s="1"/>
  <c r="AM90" i="5"/>
  <c r="P90" i="5"/>
  <c r="AH109" i="5"/>
  <c r="AL109" i="5" s="1"/>
  <c r="BH102" i="5"/>
  <c r="BE102" i="5"/>
  <c r="BJ102" i="5"/>
  <c r="BB102" i="5"/>
  <c r="BA103" i="5"/>
  <c r="Y90" i="5" l="1"/>
  <c r="AY90" i="5" s="1"/>
  <c r="AQ90" i="5"/>
  <c r="AM91" i="5"/>
  <c r="AH110" i="5"/>
  <c r="AL110" i="5" s="1"/>
  <c r="BH103" i="5"/>
  <c r="BB103" i="5"/>
  <c r="BA104" i="5"/>
  <c r="BE103" i="5"/>
  <c r="BJ103" i="5"/>
  <c r="AD90" i="5" l="1"/>
  <c r="AR90" i="5" s="1"/>
  <c r="AV90" i="5" s="1"/>
  <c r="AC90" i="5"/>
  <c r="L91" i="5"/>
  <c r="AM92" i="5"/>
  <c r="AQ91" i="5"/>
  <c r="AW91" i="5"/>
  <c r="AH111" i="5"/>
  <c r="AL111" i="5" s="1"/>
  <c r="AL112" i="5" s="1"/>
  <c r="BE104" i="5"/>
  <c r="BH104" i="5"/>
  <c r="BB104" i="5"/>
  <c r="BJ104" i="5"/>
  <c r="BA105" i="5"/>
  <c r="D7" i="3"/>
  <c r="L7" i="3"/>
  <c r="AR91" i="5" l="1"/>
  <c r="AV91" i="5" s="1"/>
  <c r="L92" i="5"/>
  <c r="P92" i="5" s="1"/>
  <c r="AQ92" i="5"/>
  <c r="AM93" i="5"/>
  <c r="AW92" i="5"/>
  <c r="P91" i="5"/>
  <c r="AD91" i="5"/>
  <c r="Y91" i="5" s="1"/>
  <c r="AH112" i="5"/>
  <c r="AH113" i="5" s="1"/>
  <c r="AL113" i="5" s="1"/>
  <c r="BH105" i="5"/>
  <c r="BE105" i="5"/>
  <c r="BJ105" i="5"/>
  <c r="BA106" i="5"/>
  <c r="BB105" i="5"/>
  <c r="AR92" i="5" l="1"/>
  <c r="AR93" i="5" s="1"/>
  <c r="L93" i="5"/>
  <c r="AM94" i="5"/>
  <c r="AQ93" i="5"/>
  <c r="AW93" i="5"/>
  <c r="AD92" i="5"/>
  <c r="Y92" i="5" s="1"/>
  <c r="AC92" i="5" s="1"/>
  <c r="AC91" i="5"/>
  <c r="BA107" i="5"/>
  <c r="BB106" i="5"/>
  <c r="BB107" i="5" s="1"/>
  <c r="BE106" i="5"/>
  <c r="BH106" i="5"/>
  <c r="BJ106" i="5"/>
  <c r="AV92" i="5" l="1"/>
  <c r="L94" i="5"/>
  <c r="P94" i="5" s="1"/>
  <c r="AQ94" i="5"/>
  <c r="AW94" i="5"/>
  <c r="AW95" i="5" s="1"/>
  <c r="AW96" i="5" s="1"/>
  <c r="P93" i="5"/>
  <c r="AD93" i="5"/>
  <c r="Y93" i="5" s="1"/>
  <c r="AV93" i="5"/>
  <c r="AR94" i="5"/>
  <c r="BJ107" i="5"/>
  <c r="BH107" i="5"/>
  <c r="BE107" i="5"/>
  <c r="BA108" i="5"/>
  <c r="L95" i="5" l="1"/>
  <c r="AM95" i="5" s="1"/>
  <c r="AQ95" i="5" s="1"/>
  <c r="AV94" i="5"/>
  <c r="AD94" i="5"/>
  <c r="Y94" i="5" s="1"/>
  <c r="AC94" i="5" s="1"/>
  <c r="AC93" i="5"/>
  <c r="V109" i="5"/>
  <c r="BH108" i="5"/>
  <c r="BE108" i="5"/>
  <c r="BJ108" i="5"/>
  <c r="BB108" i="5"/>
  <c r="BA109" i="5"/>
  <c r="L96" i="5" l="1"/>
  <c r="P96" i="5" s="1"/>
  <c r="P95" i="5"/>
  <c r="AM96" i="5"/>
  <c r="Y95" i="5"/>
  <c r="AY95" i="5" s="1"/>
  <c r="BH109" i="5"/>
  <c r="BE109" i="5"/>
  <c r="BJ109" i="5"/>
  <c r="BB109" i="5"/>
  <c r="BA110" i="5"/>
  <c r="AQ96" i="5" l="1"/>
  <c r="AM97" i="5"/>
  <c r="AC95" i="5"/>
  <c r="AD95" i="5"/>
  <c r="AR95" i="5" s="1"/>
  <c r="AV95" i="5" s="1"/>
  <c r="Y96" i="5"/>
  <c r="AC96" i="5" s="1"/>
  <c r="BH110" i="5"/>
  <c r="BJ110" i="5"/>
  <c r="BE110" i="5"/>
  <c r="BB110" i="5"/>
  <c r="BA111" i="5"/>
  <c r="AD96" i="5" l="1"/>
  <c r="AR96" i="5" s="1"/>
  <c r="AV96" i="5" s="1"/>
  <c r="AW97" i="5"/>
  <c r="L97" i="5"/>
  <c r="AM98" i="5"/>
  <c r="AQ97" i="5"/>
  <c r="AY96" i="5"/>
  <c r="BH111" i="5"/>
  <c r="BE111" i="5"/>
  <c r="BJ111" i="5"/>
  <c r="BB111" i="5"/>
  <c r="BB112" i="5" s="1"/>
  <c r="BB113" i="5" s="1"/>
  <c r="BA112" i="5"/>
  <c r="AR97" i="5" l="1"/>
  <c r="AD97" i="5" s="1"/>
  <c r="Y97" i="5" s="1"/>
  <c r="AC97" i="5" s="1"/>
  <c r="AQ98" i="5"/>
  <c r="AM99" i="5"/>
  <c r="L98" i="5"/>
  <c r="P98" i="5" s="1"/>
  <c r="AW98" i="5"/>
  <c r="P97" i="5"/>
  <c r="BJ112" i="5"/>
  <c r="BH112" i="5"/>
  <c r="BA113" i="5"/>
  <c r="BE112" i="5"/>
  <c r="AR98" i="5" l="1"/>
  <c r="AD98" i="5" s="1"/>
  <c r="Y98" i="5" s="1"/>
  <c r="AC98" i="5" s="1"/>
  <c r="AV97" i="5"/>
  <c r="AM100" i="5"/>
  <c r="AQ99" i="5"/>
  <c r="L99" i="5"/>
  <c r="AW99" i="5"/>
  <c r="BH113" i="5"/>
  <c r="BE113" i="5"/>
  <c r="BJ113" i="5"/>
  <c r="AR99" i="5" l="1"/>
  <c r="AD99" i="5" s="1"/>
  <c r="Y99" i="5" s="1"/>
  <c r="AC99" i="5" s="1"/>
  <c r="AV98" i="5"/>
  <c r="P99" i="5"/>
  <c r="L100" i="5"/>
  <c r="P100" i="5" s="1"/>
  <c r="AW100" i="5"/>
  <c r="AW101" i="5" s="1"/>
  <c r="AQ100" i="5"/>
  <c r="AR100" i="5" l="1"/>
  <c r="AV100" i="5" s="1"/>
  <c r="AV99" i="5"/>
  <c r="L101" i="5"/>
  <c r="AM101" i="5" s="1"/>
  <c r="AD100" i="5"/>
  <c r="Y100" i="5" s="1"/>
  <c r="AQ101" i="5" l="1"/>
  <c r="AM102" i="5"/>
  <c r="P101" i="5"/>
  <c r="AC100" i="5"/>
  <c r="Y101" i="5"/>
  <c r="AY101" i="5" s="1"/>
  <c r="AQ102" i="5" l="1"/>
  <c r="L102" i="5"/>
  <c r="AM103" i="5"/>
  <c r="AW102" i="5"/>
  <c r="AD101" i="5"/>
  <c r="AR101" i="5" s="1"/>
  <c r="AC101" i="5"/>
  <c r="AM112" i="5" l="1"/>
  <c r="AQ112" i="5" s="1"/>
  <c r="AM104" i="5"/>
  <c r="AQ103" i="5"/>
  <c r="L103" i="5"/>
  <c r="P103" i="5" s="1"/>
  <c r="AW103" i="5"/>
  <c r="P102" i="5"/>
  <c r="AV101" i="5"/>
  <c r="AR102" i="5"/>
  <c r="AD102" i="5" s="1"/>
  <c r="Y102" i="5" s="1"/>
  <c r="AM105" i="5" l="1"/>
  <c r="AQ104" i="5"/>
  <c r="L104" i="5"/>
  <c r="P104" i="5" s="1"/>
  <c r="AW104" i="5"/>
  <c r="AC102" i="5"/>
  <c r="AV102" i="5"/>
  <c r="AR103" i="5"/>
  <c r="AD103" i="5" s="1"/>
  <c r="Y103" i="5" s="1"/>
  <c r="AC103" i="5" s="1"/>
  <c r="AW105" i="5" l="1"/>
  <c r="AM106" i="5"/>
  <c r="AQ105" i="5"/>
  <c r="L105" i="5"/>
  <c r="P105" i="5" s="1"/>
  <c r="AR104" i="5"/>
  <c r="AD104" i="5" s="1"/>
  <c r="Y104" i="5" s="1"/>
  <c r="AC104" i="5" s="1"/>
  <c r="AV103" i="5"/>
  <c r="L106" i="5" l="1"/>
  <c r="P106" i="5" s="1"/>
  <c r="AQ106" i="5"/>
  <c r="AW106" i="5"/>
  <c r="AW107" i="5" s="1"/>
  <c r="AV104" i="5"/>
  <c r="AR105" i="5"/>
  <c r="AD105" i="5" s="1"/>
  <c r="Y105" i="5" s="1"/>
  <c r="AC105" i="5" s="1"/>
  <c r="L107" i="5" l="1"/>
  <c r="AM107" i="5" s="1"/>
  <c r="AQ107" i="5" s="1"/>
  <c r="AV105" i="5"/>
  <c r="AR106" i="5"/>
  <c r="AM108" i="5" l="1"/>
  <c r="L108" i="5" s="1"/>
  <c r="P107" i="5"/>
  <c r="AM113" i="5"/>
  <c r="AQ113" i="5" s="1"/>
  <c r="AV106" i="5"/>
  <c r="AD106" i="5"/>
  <c r="Y106" i="5" s="1"/>
  <c r="AW108" i="5" l="1"/>
  <c r="AM109" i="5"/>
  <c r="L109" i="5" s="1"/>
  <c r="P109" i="5" s="1"/>
  <c r="AQ108" i="5"/>
  <c r="P108" i="5"/>
  <c r="AC106" i="5"/>
  <c r="Y107" i="5"/>
  <c r="AW109" i="5" l="1"/>
  <c r="AQ109" i="5"/>
  <c r="AM110" i="5"/>
  <c r="AW110" i="5" s="1"/>
  <c r="AY107" i="5"/>
  <c r="AC107" i="5"/>
  <c r="AD107" i="5"/>
  <c r="AR107" i="5" s="1"/>
  <c r="AM111" i="5" l="1"/>
  <c r="AQ111" i="5" s="1"/>
  <c r="L110" i="5"/>
  <c r="P110" i="5" s="1"/>
  <c r="AQ110" i="5"/>
  <c r="AV107" i="5"/>
  <c r="AR108" i="5"/>
  <c r="AD108" i="5" s="1"/>
  <c r="Y108" i="5" s="1"/>
  <c r="AW111" i="5" l="1"/>
  <c r="AW112" i="5" s="1"/>
  <c r="AW113" i="5" s="1"/>
  <c r="L111" i="5"/>
  <c r="P111" i="5" s="1"/>
  <c r="AC108" i="5"/>
  <c r="AV108" i="5"/>
  <c r="AR109" i="5"/>
  <c r="AD109" i="5" s="1"/>
  <c r="Y109" i="5" s="1"/>
  <c r="AC109" i="5" s="1"/>
  <c r="L112" i="5" l="1"/>
  <c r="P112" i="5" s="1"/>
  <c r="AR110" i="5"/>
  <c r="AD110" i="5" s="1"/>
  <c r="Y110" i="5" s="1"/>
  <c r="AC110" i="5" s="1"/>
  <c r="AV109" i="5"/>
  <c r="L113" i="5" l="1"/>
  <c r="P113" i="5" s="1"/>
  <c r="AR111" i="5"/>
  <c r="AV110" i="5"/>
  <c r="AV111" i="5" l="1"/>
  <c r="AD111" i="5"/>
  <c r="Y111" i="5" s="1"/>
  <c r="AC111" i="5" l="1"/>
  <c r="Y112" i="5"/>
  <c r="AY112" i="5" s="1"/>
  <c r="AD112" i="5" l="1"/>
  <c r="AR112" i="5" s="1"/>
  <c r="AV112" i="5" s="1"/>
  <c r="AC112" i="5"/>
  <c r="Y113" i="5"/>
  <c r="AD113" i="5" l="1"/>
  <c r="AR113" i="5" s="1"/>
  <c r="AV113" i="5" s="1"/>
  <c r="AC113" i="5"/>
  <c r="AY113" i="5"/>
  <c r="N1" i="3" l="1"/>
</calcChain>
</file>

<file path=xl/sharedStrings.xml><?xml version="1.0" encoding="utf-8"?>
<sst xmlns="http://schemas.openxmlformats.org/spreadsheetml/2006/main" count="5310" uniqueCount="492">
  <si>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</si>
  <si>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</si>
  <si>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</si>
  <si>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</si>
  <si>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</si>
  <si>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</si>
  <si>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</si>
  <si>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</si>
  <si>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</si>
  <si>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</si>
  <si>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</si>
  <si>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</si>
  <si>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</si>
  <si>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</si>
  <si>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</si>
  <si>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</si>
  <si>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</si>
  <si>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</si>
  <si>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</si>
  <si>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</si>
  <si>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</si>
  <si>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</si>
  <si>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</si>
  <si>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</si>
  <si>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</si>
  <si>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</si>
  <si>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</si>
  <si>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</si>
  <si>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</si>
  <si>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</si>
  <si>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</si>
  <si>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</si>
  <si>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</si>
  <si>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</si>
  <si>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</si>
  <si>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</si>
  <si>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</si>
  <si>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</si>
  <si>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</si>
  <si>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</si>
  <si>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</si>
  <si>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</si>
  <si>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</si>
  <si>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</si>
  <si>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</si>
  <si>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</si>
  <si>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GY 18 SPR 2</t>
  </si>
  <si>
    <t>GY 17 SPR 2</t>
  </si>
  <si>
    <t>Brand Channel</t>
  </si>
  <si>
    <t>Key</t>
  </si>
  <si>
    <t>DVCode</t>
  </si>
  <si>
    <t>FCDesc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</si>
  <si>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</si>
  <si>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</si>
  <si>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</si>
  <si>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</si>
  <si>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</si>
  <si>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</si>
  <si>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</si>
  <si>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</si>
  <si>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</si>
  <si>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</si>
  <si>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18 FAL</t>
  </si>
  <si>
    <t>GY C8 17 FAL</t>
  </si>
  <si>
    <t>GY C8 18 FAL DOORBUSTER</t>
  </si>
  <si>
    <t>Seasonal Basics</t>
  </si>
  <si>
    <t>GY C8 18 JULY</t>
  </si>
  <si>
    <t>GY C8 18 AUG</t>
  </si>
  <si>
    <t>GY C8 18 SEP CAP</t>
  </si>
  <si>
    <t>Host:</t>
  </si>
  <si>
    <t>GY C8 18 OCTOBER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</si>
  <si>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</si>
  <si>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</si>
  <si>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</si>
  <si>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</si>
  <si>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</si>
  <si>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</si>
  <si>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</si>
  <si>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</si>
  <si>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</si>
  <si>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</si>
  <si>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</si>
  <si>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</si>
  <si>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</si>
  <si>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</si>
  <si>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</si>
  <si>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</si>
  <si>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</si>
  <si>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</si>
  <si>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</si>
  <si>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</si>
  <si>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</si>
  <si>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</si>
  <si>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</si>
  <si>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</si>
  <si>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</si>
  <si>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</si>
  <si>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</si>
  <si>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</si>
  <si>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</si>
  <si>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</si>
  <si>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</si>
  <si>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</si>
  <si>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</si>
  <si>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</si>
  <si>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</si>
  <si>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</si>
  <si>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</si>
  <si>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</si>
  <si>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</si>
  <si>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</si>
  <si>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</si>
  <si>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</si>
  <si>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</si>
  <si>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</si>
  <si>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</si>
  <si>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</si>
  <si>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</si>
  <si>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</si>
  <si>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</si>
  <si>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</si>
  <si>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</si>
  <si>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</si>
  <si>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</si>
  <si>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</si>
  <si>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</si>
  <si>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</si>
  <si>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</si>
  <si>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</si>
  <si>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</si>
  <si>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</si>
  <si>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</si>
  <si>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</si>
  <si>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</si>
  <si>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</si>
  <si>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</si>
  <si>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</si>
  <si>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</si>
  <si>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</si>
  <si>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</si>
  <si>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</si>
  <si>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</si>
  <si>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</si>
  <si>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</si>
  <si>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</si>
  <si>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</si>
  <si>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</si>
  <si>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</si>
  <si>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</si>
  <si>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</si>
  <si>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</si>
  <si>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</si>
  <si>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</si>
  <si>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</si>
  <si>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</si>
  <si>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</si>
  <si>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</si>
  <si>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</si>
  <si>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</si>
  <si>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</si>
  <si>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</si>
  <si>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</si>
  <si>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</si>
  <si>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</si>
  <si>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</si>
  <si>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</si>
  <si>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</si>
  <si>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</si>
  <si>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</si>
  <si>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</si>
  <si>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</si>
  <si>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</si>
  <si>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</si>
  <si>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</si>
  <si>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</si>
  <si>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</si>
  <si>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</si>
  <si>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</si>
  <si>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</si>
  <si>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</si>
  <si>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</si>
  <si>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</si>
  <si>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</si>
  <si>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</si>
  <si>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</si>
  <si>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</si>
  <si>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</si>
  <si>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</si>
  <si>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</si>
  <si>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</si>
  <si>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</si>
  <si>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</si>
  <si>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</si>
  <si>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</si>
  <si>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</si>
  <si>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</si>
  <si>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</si>
  <si>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</si>
  <si>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</si>
  <si>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</si>
  <si>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</si>
  <si>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</si>
  <si>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</si>
  <si>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</si>
  <si>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</si>
  <si>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</si>
  <si>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</si>
  <si>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</si>
  <si>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</si>
  <si>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</si>
  <si>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</si>
  <si>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</si>
  <si>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</si>
  <si>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</si>
  <si>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</si>
  <si>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</si>
  <si>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</si>
  <si>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</si>
  <si>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</si>
  <si>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</si>
  <si>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</si>
  <si>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</si>
  <si>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</si>
  <si>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</si>
  <si>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</si>
  <si>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</si>
  <si>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</si>
  <si>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</si>
  <si>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</si>
  <si>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</si>
  <si>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</si>
  <si>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</si>
  <si>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</si>
  <si>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</si>
  <si>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</si>
  <si>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</si>
  <si>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</si>
  <si>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</si>
  <si>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</si>
  <si>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</si>
  <si>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</si>
  <si>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</si>
  <si>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</si>
  <si>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</si>
  <si>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</si>
  <si>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</si>
  <si>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</si>
  <si>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</si>
  <si>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</si>
  <si>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</si>
  <si>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</si>
  <si>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</si>
  <si>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</si>
  <si>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</si>
  <si>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</si>
  <si>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</si>
  <si>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18 OUTLET WTR</t>
  </si>
  <si>
    <t>GY 18 OUTLET WINTER 2</t>
  </si>
  <si>
    <t>GY 18 OUTLET BNB WINTER</t>
  </si>
  <si>
    <t>GY 18 OUTLET POLAR FLEECE</t>
  </si>
  <si>
    <t>GY 18 OUTLET WINTER 3</t>
  </si>
  <si>
    <t>GY 18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</si>
  <si>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</si>
  <si>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</si>
  <si>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</si>
  <si>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</si>
  <si>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</si>
  <si>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</si>
  <si>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</si>
  <si>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</si>
  <si>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</si>
  <si>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</si>
  <si>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</si>
  <si>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</si>
  <si>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</si>
  <si>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</si>
  <si>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</si>
  <si>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</si>
  <si>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</si>
  <si>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</si>
  <si>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</si>
  <si>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</si>
  <si>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</si>
  <si>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</si>
  <si>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</si>
  <si>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</si>
  <si>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</si>
  <si>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</si>
  <si>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</si>
  <si>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</si>
  <si>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</si>
  <si>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</si>
  <si>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</si>
  <si>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</si>
  <si>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</si>
  <si>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</si>
  <si>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</si>
  <si>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</si>
  <si>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</si>
  <si>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</si>
  <si>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</si>
  <si>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</si>
  <si>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</si>
  <si>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</si>
  <si>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</si>
  <si>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</si>
  <si>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</si>
  <si>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</si>
  <si>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JJ 17 FALL GIFTING LAY</t>
  </si>
  <si>
    <t>GY 17 JAN CAP</t>
  </si>
  <si>
    <t>GY 18 VDAY</t>
  </si>
  <si>
    <t>GY C8 17 UNIFORM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</si>
  <si>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</si>
  <si>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</si>
  <si>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</si>
  <si>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</si>
  <si>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</si>
  <si>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</si>
  <si>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</si>
  <si>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</si>
  <si>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</si>
  <si>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</si>
  <si>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</si>
  <si>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</si>
  <si>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</si>
  <si>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</si>
  <si>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</si>
  <si>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</si>
  <si>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</si>
  <si>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</si>
  <si>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</si>
  <si>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</si>
  <si>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</si>
  <si>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</si>
  <si>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</si>
  <si>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</si>
  <si>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</si>
  <si>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</si>
  <si>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</si>
  <si>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</si>
  <si>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</si>
  <si>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</si>
  <si>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</si>
  <si>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</si>
  <si>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</si>
  <si>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Receipts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</si>
  <si>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</si>
  <si>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</si>
  <si>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</si>
  <si>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</si>
  <si>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</si>
  <si>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</si>
  <si>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</si>
  <si>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</si>
  <si>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</si>
  <si>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</si>
  <si>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</si>
  <si>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</si>
  <si>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</si>
  <si>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</si>
  <si>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</si>
  <si>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</si>
  <si>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</si>
  <si>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</si>
  <si>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</si>
  <si>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</si>
  <si>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</si>
  <si>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</si>
  <si>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</si>
  <si>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</si>
  <si>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</si>
  <si>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</si>
  <si>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</si>
  <si>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</si>
  <si>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</si>
  <si>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</si>
  <si>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</si>
  <si>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</si>
  <si>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</si>
  <si>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</si>
  <si>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</si>
  <si>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</si>
  <si>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</si>
  <si>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</si>
  <si>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</si>
  <si>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</si>
  <si>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</si>
  <si>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</si>
  <si>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</si>
  <si>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</si>
  <si>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</si>
  <si>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</si>
  <si>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</si>
  <si>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</si>
  <si>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</si>
  <si>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</si>
  <si>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</si>
  <si>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</si>
  <si>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</si>
  <si>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</si>
  <si>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</si>
  <si>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</si>
  <si>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</si>
  <si>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</si>
  <si>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</si>
  <si>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</si>
  <si>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</si>
  <si>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BOP Units</t>
  </si>
  <si>
    <t>JJ 18 AUG FALL 1</t>
  </si>
  <si>
    <t>JJ 18 AUG HALLOWEEN</t>
  </si>
  <si>
    <t>JJ 18 AUG SPORT</t>
  </si>
  <si>
    <t>JJ 18 FAL BASICS</t>
  </si>
  <si>
    <t>JJ 18 SEPT FALL 2</t>
  </si>
  <si>
    <t>JJ 18 SEPT FALL 3</t>
  </si>
  <si>
    <t>JJ 18 SEPT FALL TIER</t>
  </si>
  <si>
    <t>JJ 18 SEPT SWIM</t>
  </si>
  <si>
    <t>sort</t>
  </si>
  <si>
    <t>GY 18 FALL BASIC</t>
  </si>
  <si>
    <t>http://gymb/forecast/Gym-FCF2/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</si>
  <si>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</si>
  <si>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</si>
  <si>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</si>
  <si>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</si>
  <si>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</si>
  <si>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</si>
  <si>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</si>
  <si>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</si>
  <si>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</si>
  <si>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</si>
  <si>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</si>
  <si>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</si>
  <si>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</si>
  <si>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</si>
  <si>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</si>
  <si>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</si>
  <si>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</si>
  <si>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</si>
  <si>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</si>
  <si>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</si>
  <si>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</si>
  <si>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</si>
  <si>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</si>
  <si>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</si>
  <si>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</si>
  <si>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</si>
  <si>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</si>
  <si>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</si>
  <si>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</si>
  <si>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</si>
  <si>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</si>
  <si>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</si>
  <si>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</si>
  <si>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</si>
  <si>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</si>
  <si>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</si>
  <si>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</si>
  <si>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</si>
  <si>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</si>
  <si>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</si>
  <si>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</si>
  <si>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</si>
  <si>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18 SPR TRANS</t>
  </si>
  <si>
    <t>GY 18 HOL</t>
  </si>
  <si>
    <t>GY 18 HOLIDAY 1</t>
  </si>
  <si>
    <t>GY 18 HOLIDAY 3</t>
  </si>
  <si>
    <t>GY 18 HOLIDAY 2</t>
  </si>
  <si>
    <t>Jun Total</t>
  </si>
  <si>
    <t>Jul Total</t>
  </si>
  <si>
    <t>historyBld</t>
  </si>
  <si>
    <t>ForecastBld</t>
  </si>
  <si>
    <t>RtlSls</t>
  </si>
  <si>
    <t>CostSls</t>
  </si>
  <si>
    <t>RtlSales</t>
  </si>
  <si>
    <t>History Build</t>
  </si>
  <si>
    <t>Cogs</t>
  </si>
  <si>
    <t>forecastBld</t>
  </si>
  <si>
    <t>SEASON CODE</t>
  </si>
  <si>
    <t>Season Code</t>
  </si>
  <si>
    <t>f</t>
  </si>
  <si>
    <t>Mapped SC(s):</t>
  </si>
  <si>
    <t>Winter 17</t>
  </si>
  <si>
    <t>Spring 18</t>
  </si>
  <si>
    <t>Summer 18</t>
  </si>
  <si>
    <t>Old</t>
  </si>
  <si>
    <t>SUMMER 18</t>
  </si>
  <si>
    <t>http://gymb/forecast/Gym-Test/api/</t>
  </si>
  <si>
    <t>LFSalesU</t>
  </si>
  <si>
    <t>LFBuild</t>
  </si>
  <si>
    <t>LFBuildPct</t>
  </si>
  <si>
    <t>TEST</t>
  </si>
  <si>
    <t>Forecast Planning 3.2</t>
  </si>
  <si>
    <t>No Forecast records found.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</si>
</sst>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5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0E82B7"/>
      <name val="Segoe UI"/>
      <family val="2"/>
    </font>
    <font>
      <b/>
      <sz val="22"/>
      <color theme="4" tint="0.39997558519241921"/>
      <name val="Segoe UI Semibold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26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27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 style="medium">
        <color theme="1" tint="0.34998626667073579"/>
      </left>
      <right/>
      <top style="medium">
        <color theme="0" tint="-0.14993743705557422"/>
      </top>
      <bottom style="medium">
        <color theme="0" tint="-0.14993743705557422"/>
      </bottom>
      <diagonal/>
    </border>
  </borders>
  <cellStyleXfs count="26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6" fillId="0" borderId="0"/>
    <xf numFmtId="0" fontId="16" fillId="0" borderId="0"/>
    <xf numFmtId="0" fontId="9" fillId="0" borderId="0" applyNumberFormat="0" applyFill="0" applyBorder="0" applyAlignment="0" applyProtection="0"/>
    <xf numFmtId="0" fontId="3" fillId="0" borderId="0"/>
    <xf numFmtId="0" fontId="21" fillId="0" borderId="0"/>
    <xf numFmtId="169" fontId="3" fillId="0" borderId="0"/>
    <xf numFmtId="0" fontId="21" fillId="0" borderId="0"/>
    <xf numFmtId="0" fontId="3" fillId="12" borderId="0" applyNumberFormat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42" fillId="0" borderId="0"/>
    <xf numFmtId="0" fontId="16" fillId="0" borderId="0"/>
    <xf numFmtId="0" fontId="48" fillId="0" borderId="0"/>
  </cellStyleXfs>
  <cellXfs count="478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3" fillId="0" borderId="0" xfId="0" applyFont="1" applyAlignment="1">
      <alignment horizontal="left" indent="1"/>
    </xf>
    <xf numFmtId="0" fontId="14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5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18" fillId="7" borderId="14" xfId="9" applyFont="1" applyFill="1" applyBorder="1" applyAlignment="1">
      <alignment horizontal="center"/>
    </xf>
    <xf numFmtId="0" fontId="18" fillId="7" borderId="15" xfId="9" applyFont="1" applyFill="1" applyBorder="1" applyAlignment="1">
      <alignment horizontal="center"/>
    </xf>
    <xf numFmtId="0" fontId="18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8" fillId="0" borderId="18" xfId="9" applyFont="1" applyFill="1" applyBorder="1" applyAlignment="1">
      <alignment wrapText="1"/>
    </xf>
    <xf numFmtId="0" fontId="18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5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18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5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19" fillId="0" borderId="0" xfId="0" applyFont="1" applyAlignment="1">
      <alignment horizontal="center"/>
    </xf>
    <xf numFmtId="0" fontId="18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19" fillId="8" borderId="0" xfId="0" applyFont="1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7" fillId="0" borderId="0" xfId="2" applyNumberFormat="1" applyFont="1" applyBorder="1" applyAlignment="1" applyProtection="1">
      <alignment horizontal="center"/>
    </xf>
    <xf numFmtId="167" fontId="7" fillId="0" borderId="10" xfId="3" applyNumberFormat="1" applyFont="1" applyBorder="1" applyAlignment="1" applyProtection="1">
      <alignment horizontal="center"/>
    </xf>
    <xf numFmtId="165" fontId="7" fillId="0" borderId="0" xfId="1" applyNumberFormat="1" applyFont="1" applyBorder="1" applyAlignment="1" applyProtection="1">
      <alignment horizontal="center"/>
    </xf>
    <xf numFmtId="44" fontId="7" fillId="0" borderId="0" xfId="2" applyNumberFormat="1" applyFont="1" applyBorder="1" applyAlignment="1" applyProtection="1">
      <alignment horizontal="center"/>
    </xf>
    <xf numFmtId="168" fontId="8" fillId="4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Border="1" applyAlignment="1" applyProtection="1">
      <alignment horizontal="center"/>
    </xf>
    <xf numFmtId="164" fontId="11" fillId="2" borderId="1" xfId="1" applyNumberFormat="1" applyFont="1" applyFill="1" applyBorder="1" applyAlignment="1" applyProtection="1">
      <alignment horizontal="center"/>
    </xf>
    <xf numFmtId="164" fontId="11" fillId="2" borderId="2" xfId="1" applyNumberFormat="1" applyFont="1" applyFill="1" applyBorder="1" applyAlignment="1" applyProtection="1">
      <alignment horizontal="center"/>
    </xf>
    <xf numFmtId="167" fontId="11" fillId="2" borderId="3" xfId="3" applyNumberFormat="1" applyFont="1" applyFill="1" applyBorder="1" applyAlignment="1" applyProtection="1">
      <alignment horizontal="center"/>
    </xf>
    <xf numFmtId="165" fontId="11" fillId="2" borderId="1" xfId="1" applyNumberFormat="1" applyFont="1" applyFill="1" applyBorder="1" applyAlignment="1" applyProtection="1">
      <alignment horizontal="center"/>
    </xf>
    <xf numFmtId="165" fontId="11" fillId="2" borderId="2" xfId="1" applyNumberFormat="1" applyFont="1" applyFill="1" applyBorder="1" applyAlignment="1" applyProtection="1">
      <alignment horizontal="center"/>
    </xf>
    <xf numFmtId="44" fontId="11" fillId="2" borderId="1" xfId="2" applyNumberFormat="1" applyFont="1" applyFill="1" applyBorder="1" applyAlignment="1" applyProtection="1">
      <alignment horizontal="center"/>
    </xf>
    <xf numFmtId="44" fontId="11" fillId="2" borderId="2" xfId="2" applyNumberFormat="1" applyFont="1" applyFill="1" applyBorder="1" applyAlignment="1" applyProtection="1">
      <alignment horizontal="center"/>
    </xf>
    <xf numFmtId="167" fontId="11" fillId="2" borderId="1" xfId="3" applyNumberFormat="1" applyFont="1" applyFill="1" applyBorder="1" applyAlignment="1" applyProtection="1">
      <alignment horizontal="center"/>
    </xf>
    <xf numFmtId="167" fontId="11" fillId="2" borderId="2" xfId="3" applyNumberFormat="1" applyFont="1" applyFill="1" applyBorder="1" applyAlignment="1" applyProtection="1">
      <alignment horizontal="center"/>
    </xf>
    <xf numFmtId="168" fontId="8" fillId="2" borderId="2" xfId="3" applyNumberFormat="1" applyFont="1" applyFill="1" applyBorder="1" applyAlignment="1" applyProtection="1">
      <alignment horizontal="center"/>
    </xf>
    <xf numFmtId="166" fontId="11" fillId="2" borderId="1" xfId="1" applyNumberFormat="1" applyFont="1" applyFill="1" applyBorder="1" applyAlignment="1" applyProtection="1">
      <alignment horizontal="center"/>
    </xf>
    <xf numFmtId="164" fontId="11" fillId="10" borderId="1" xfId="1" applyNumberFormat="1" applyFont="1" applyFill="1" applyBorder="1" applyAlignment="1" applyProtection="1">
      <alignment horizontal="center"/>
    </xf>
    <xf numFmtId="164" fontId="11" fillId="10" borderId="2" xfId="1" applyNumberFormat="1" applyFont="1" applyFill="1" applyBorder="1" applyAlignment="1" applyProtection="1">
      <alignment horizontal="center"/>
    </xf>
    <xf numFmtId="167" fontId="11" fillId="10" borderId="3" xfId="3" applyNumberFormat="1" applyFont="1" applyFill="1" applyBorder="1" applyAlignment="1" applyProtection="1">
      <alignment horizontal="center"/>
    </xf>
    <xf numFmtId="165" fontId="11" fillId="10" borderId="1" xfId="1" applyNumberFormat="1" applyFont="1" applyFill="1" applyBorder="1" applyAlignment="1" applyProtection="1">
      <alignment horizontal="center"/>
    </xf>
    <xf numFmtId="165" fontId="11" fillId="10" borderId="2" xfId="1" applyNumberFormat="1" applyFont="1" applyFill="1" applyBorder="1" applyAlignment="1" applyProtection="1">
      <alignment horizontal="center"/>
    </xf>
    <xf numFmtId="44" fontId="11" fillId="10" borderId="1" xfId="2" applyNumberFormat="1" applyFont="1" applyFill="1" applyBorder="1" applyAlignment="1" applyProtection="1">
      <alignment horizontal="center"/>
    </xf>
    <xf numFmtId="44" fontId="11" fillId="10" borderId="2" xfId="2" applyNumberFormat="1" applyFont="1" applyFill="1" applyBorder="1" applyAlignment="1" applyProtection="1">
      <alignment horizontal="center"/>
    </xf>
    <xf numFmtId="167" fontId="11" fillId="10" borderId="1" xfId="3" applyNumberFormat="1" applyFont="1" applyFill="1" applyBorder="1" applyAlignment="1" applyProtection="1">
      <alignment horizontal="center"/>
    </xf>
    <xf numFmtId="167" fontId="11" fillId="10" borderId="2" xfId="3" applyNumberFormat="1" applyFont="1" applyFill="1" applyBorder="1" applyAlignment="1" applyProtection="1">
      <alignment horizontal="center"/>
    </xf>
    <xf numFmtId="168" fontId="8" fillId="10" borderId="2" xfId="3" applyNumberFormat="1" applyFont="1" applyFill="1" applyBorder="1" applyAlignment="1" applyProtection="1">
      <alignment horizontal="center"/>
    </xf>
    <xf numFmtId="44" fontId="7" fillId="3" borderId="8" xfId="2" applyNumberFormat="1" applyFont="1" applyFill="1" applyBorder="1" applyAlignment="1" applyProtection="1">
      <alignment horizontal="center"/>
      <protection locked="0"/>
    </xf>
    <xf numFmtId="0" fontId="19" fillId="0" borderId="0" xfId="0" applyFont="1" applyAlignment="1"/>
    <xf numFmtId="168" fontId="7" fillId="0" borderId="8" xfId="3" applyNumberFormat="1" applyFont="1" applyFill="1" applyBorder="1" applyAlignment="1" applyProtection="1">
      <alignment horizontal="center"/>
    </xf>
    <xf numFmtId="168" fontId="7" fillId="0" borderId="0" xfId="3" applyNumberFormat="1" applyFont="1" applyBorder="1" applyAlignment="1" applyProtection="1">
      <alignment horizontal="center"/>
    </xf>
    <xf numFmtId="168" fontId="11" fillId="2" borderId="1" xfId="3" applyNumberFormat="1" applyFont="1" applyFill="1" applyBorder="1" applyAlignment="1" applyProtection="1">
      <alignment horizontal="center"/>
    </xf>
    <xf numFmtId="168" fontId="11" fillId="2" borderId="2" xfId="3" applyNumberFormat="1" applyFont="1" applyFill="1" applyBorder="1" applyAlignment="1" applyProtection="1">
      <alignment horizontal="center"/>
    </xf>
    <xf numFmtId="168" fontId="11" fillId="10" borderId="1" xfId="3" applyNumberFormat="1" applyFont="1" applyFill="1" applyBorder="1" applyAlignment="1" applyProtection="1">
      <alignment horizontal="center"/>
    </xf>
    <xf numFmtId="168" fontId="11" fillId="10" borderId="2" xfId="3" applyNumberFormat="1" applyFont="1" applyFill="1" applyBorder="1" applyAlignment="1" applyProtection="1">
      <alignment horizontal="center"/>
    </xf>
    <xf numFmtId="43" fontId="19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18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8" fillId="0" borderId="8" xfId="4" applyFont="1" applyFill="1" applyBorder="1" applyAlignment="1" applyProtection="1">
      <alignment horizontal="center"/>
    </xf>
    <xf numFmtId="164" fontId="7" fillId="0" borderId="4" xfId="2" applyNumberFormat="1" applyFont="1" applyFill="1" applyBorder="1" applyAlignment="1" applyProtection="1">
      <alignment horizontal="center"/>
    </xf>
    <xf numFmtId="164" fontId="7" fillId="0" borderId="0" xfId="2" applyNumberFormat="1" applyFont="1" applyFill="1" applyBorder="1" applyAlignment="1" applyProtection="1">
      <alignment horizontal="center"/>
    </xf>
    <xf numFmtId="167" fontId="7" fillId="0" borderId="10" xfId="3" applyNumberFormat="1" applyFont="1" applyFill="1" applyBorder="1" applyAlignment="1" applyProtection="1">
      <alignment horizontal="center"/>
    </xf>
    <xf numFmtId="165" fontId="7" fillId="0" borderId="0" xfId="1" applyNumberFormat="1" applyFont="1" applyFill="1" applyBorder="1" applyAlignment="1" applyProtection="1">
      <alignment horizontal="center"/>
    </xf>
    <xf numFmtId="168" fontId="7" fillId="0" borderId="0" xfId="3" applyNumberFormat="1" applyFont="1" applyFill="1" applyBorder="1" applyAlignment="1" applyProtection="1">
      <alignment horizontal="center"/>
    </xf>
    <xf numFmtId="44" fontId="7" fillId="0" borderId="0" xfId="2" applyNumberFormat="1" applyFont="1" applyFill="1" applyBorder="1" applyAlignment="1" applyProtection="1">
      <alignment horizontal="center"/>
    </xf>
    <xf numFmtId="168" fontId="8" fillId="0" borderId="26" xfId="3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Fill="1" applyBorder="1" applyAlignment="1" applyProtection="1">
      <alignment horizontal="center"/>
    </xf>
    <xf numFmtId="164" fontId="7" fillId="0" borderId="9" xfId="2" applyNumberFormat="1" applyFont="1" applyFill="1" applyBorder="1" applyAlignment="1" applyProtection="1">
      <alignment horizontal="center"/>
    </xf>
    <xf numFmtId="167" fontId="11" fillId="0" borderId="3" xfId="3" applyNumberFormat="1" applyFont="1" applyFill="1" applyBorder="1" applyAlignment="1" applyProtection="1">
      <alignment horizontal="center"/>
    </xf>
    <xf numFmtId="165" fontId="11" fillId="0" borderId="1" xfId="1" applyNumberFormat="1" applyFont="1" applyFill="1" applyBorder="1" applyAlignment="1" applyProtection="1">
      <alignment horizontal="center"/>
    </xf>
    <xf numFmtId="165" fontId="11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7" fillId="0" borderId="8" xfId="1" applyNumberFormat="1" applyFont="1" applyFill="1" applyBorder="1" applyAlignment="1" applyProtection="1">
      <alignment horizontal="center"/>
    </xf>
    <xf numFmtId="44" fontId="7" fillId="0" borderId="8" xfId="2" applyNumberFormat="1" applyFont="1" applyFill="1" applyBorder="1" applyAlignment="1" applyProtection="1">
      <alignment horizontal="center"/>
    </xf>
    <xf numFmtId="0" fontId="11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5" fillId="0" borderId="17" xfId="0" applyFont="1" applyBorder="1"/>
    <xf numFmtId="0" fontId="15" fillId="0" borderId="24" xfId="0" applyFont="1" applyBorder="1"/>
    <xf numFmtId="0" fontId="15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5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5" fillId="6" borderId="55" xfId="0" applyFont="1" applyFill="1" applyBorder="1" applyAlignment="1">
      <alignment horizontal="center"/>
    </xf>
    <xf numFmtId="0" fontId="15" fillId="0" borderId="66" xfId="0" applyFont="1" applyBorder="1"/>
    <xf numFmtId="0" fontId="15" fillId="13" borderId="66" xfId="0" applyFont="1" applyFill="1" applyBorder="1"/>
    <xf numFmtId="0" fontId="15" fillId="13" borderId="17" xfId="0" applyFont="1" applyFill="1" applyBorder="1"/>
    <xf numFmtId="0" fontId="15" fillId="13" borderId="24" xfId="0" applyFont="1" applyFill="1" applyBorder="1"/>
    <xf numFmtId="0" fontId="0" fillId="0" borderId="43" xfId="0" applyFill="1" applyBorder="1"/>
    <xf numFmtId="0" fontId="20" fillId="0" borderId="42" xfId="11" applyFont="1" applyFill="1" applyBorder="1" applyAlignment="1">
      <alignment horizontal="center"/>
    </xf>
    <xf numFmtId="0" fontId="0" fillId="0" borderId="44" xfId="0" applyFill="1" applyBorder="1"/>
    <xf numFmtId="0" fontId="0" fillId="13" borderId="56" xfId="0" applyFill="1" applyBorder="1"/>
    <xf numFmtId="0" fontId="0" fillId="13" borderId="0" xfId="0" applyFill="1" applyBorder="1"/>
    <xf numFmtId="0" fontId="25" fillId="0" borderId="0" xfId="0" applyFont="1" applyAlignment="1">
      <alignment vertical="center"/>
    </xf>
    <xf numFmtId="0" fontId="26" fillId="0" borderId="0" xfId="0" applyFont="1"/>
    <xf numFmtId="166" fontId="11" fillId="2" borderId="70" xfId="1" applyNumberFormat="1" applyFont="1" applyFill="1" applyBorder="1" applyAlignment="1" applyProtection="1">
      <alignment horizontal="center"/>
    </xf>
    <xf numFmtId="165" fontId="11" fillId="10" borderId="72" xfId="1" applyNumberFormat="1" applyFont="1" applyFill="1" applyBorder="1" applyAlignment="1" applyProtection="1">
      <alignment horizontal="center"/>
    </xf>
    <xf numFmtId="167" fontId="11" fillId="10" borderId="73" xfId="3" applyNumberFormat="1" applyFont="1" applyFill="1" applyBorder="1" applyAlignment="1" applyProtection="1">
      <alignment horizontal="center"/>
    </xf>
    <xf numFmtId="165" fontId="11" fillId="10" borderId="74" xfId="1" applyNumberFormat="1" applyFont="1" applyFill="1" applyBorder="1" applyAlignment="1" applyProtection="1">
      <alignment horizontal="center"/>
    </xf>
    <xf numFmtId="166" fontId="11" fillId="10" borderId="4" xfId="1" applyNumberFormat="1" applyFont="1" applyFill="1" applyBorder="1" applyAlignment="1" applyProtection="1">
      <alignment horizontal="center"/>
    </xf>
    <xf numFmtId="166" fontId="11" fillId="10" borderId="67" xfId="1" applyNumberFormat="1" applyFont="1" applyFill="1" applyBorder="1" applyAlignment="1" applyProtection="1">
      <alignment horizontal="center"/>
    </xf>
    <xf numFmtId="0" fontId="19" fillId="8" borderId="0" xfId="0" applyFont="1" applyFill="1" applyAlignment="1"/>
    <xf numFmtId="0" fontId="27" fillId="0" borderId="0" xfId="0" applyFont="1"/>
    <xf numFmtId="0" fontId="28" fillId="0" borderId="40" xfId="0" applyFont="1" applyBorder="1" applyAlignment="1">
      <alignment horizontal="center" vertical="center"/>
    </xf>
    <xf numFmtId="0" fontId="29" fillId="0" borderId="32" xfId="0" applyFont="1" applyFill="1" applyBorder="1" applyAlignment="1">
      <alignment vertical="center"/>
    </xf>
    <xf numFmtId="0" fontId="29" fillId="0" borderId="33" xfId="0" applyFont="1" applyFill="1" applyBorder="1" applyAlignment="1">
      <alignment vertical="center"/>
    </xf>
    <xf numFmtId="0" fontId="27" fillId="0" borderId="63" xfId="0" applyFont="1" applyBorder="1"/>
    <xf numFmtId="0" fontId="27" fillId="0" borderId="64" xfId="0" applyFont="1" applyBorder="1"/>
    <xf numFmtId="0" fontId="27" fillId="0" borderId="65" xfId="0" applyFont="1" applyBorder="1"/>
    <xf numFmtId="0" fontId="27" fillId="0" borderId="41" xfId="0" applyFont="1" applyBorder="1"/>
    <xf numFmtId="0" fontId="27" fillId="0" borderId="47" xfId="0" applyFont="1" applyBorder="1"/>
    <xf numFmtId="0" fontId="27" fillId="0" borderId="39" xfId="0" applyFont="1" applyBorder="1"/>
    <xf numFmtId="0" fontId="27" fillId="0" borderId="0" xfId="0" applyFont="1" applyFill="1"/>
    <xf numFmtId="0" fontId="31" fillId="0" borderId="30" xfId="4" applyFont="1" applyFill="1" applyBorder="1" applyAlignment="1">
      <alignment horizontal="center" wrapText="1"/>
    </xf>
    <xf numFmtId="0" fontId="31" fillId="0" borderId="76" xfId="4" applyFont="1" applyFill="1" applyBorder="1" applyAlignment="1">
      <alignment horizontal="center" wrapText="1"/>
    </xf>
    <xf numFmtId="0" fontId="31" fillId="0" borderId="77" xfId="4" applyFont="1" applyFill="1" applyBorder="1" applyAlignment="1">
      <alignment horizontal="center" wrapText="1"/>
    </xf>
    <xf numFmtId="164" fontId="31" fillId="0" borderId="6" xfId="2" applyNumberFormat="1" applyFont="1" applyFill="1" applyBorder="1" applyAlignment="1">
      <alignment horizontal="center" wrapText="1"/>
    </xf>
    <xf numFmtId="164" fontId="31" fillId="0" borderId="7" xfId="2" applyNumberFormat="1" applyFont="1" applyFill="1" applyBorder="1" applyAlignment="1">
      <alignment horizontal="center" wrapText="1"/>
    </xf>
    <xf numFmtId="164" fontId="31" fillId="0" borderId="9" xfId="2" applyNumberFormat="1" applyFont="1" applyFill="1" applyBorder="1" applyAlignment="1">
      <alignment horizontal="center" wrapText="1"/>
    </xf>
    <xf numFmtId="43" fontId="31" fillId="0" borderId="28" xfId="1" applyFont="1" applyFill="1" applyBorder="1" applyAlignment="1">
      <alignment horizontal="center" wrapText="1"/>
    </xf>
    <xf numFmtId="43" fontId="31" fillId="0" borderId="29" xfId="1" applyFont="1" applyFill="1" applyBorder="1" applyAlignment="1">
      <alignment horizontal="center" wrapText="1"/>
    </xf>
    <xf numFmtId="164" fontId="31" fillId="0" borderId="25" xfId="2" applyNumberFormat="1" applyFont="1" applyFill="1" applyBorder="1" applyAlignment="1">
      <alignment horizontal="center" wrapText="1"/>
    </xf>
    <xf numFmtId="164" fontId="31" fillId="0" borderId="28" xfId="2" applyNumberFormat="1" applyFont="1" applyFill="1" applyBorder="1" applyAlignment="1">
      <alignment horizontal="center" wrapText="1"/>
    </xf>
    <xf numFmtId="164" fontId="31" fillId="0" borderId="81" xfId="2" applyNumberFormat="1" applyFont="1" applyFill="1" applyBorder="1" applyAlignment="1">
      <alignment horizontal="center" wrapText="1"/>
    </xf>
    <xf numFmtId="164" fontId="31" fillId="0" borderId="82" xfId="2" applyNumberFormat="1" applyFont="1" applyFill="1" applyBorder="1" applyAlignment="1">
      <alignment horizontal="center" wrapText="1"/>
    </xf>
    <xf numFmtId="164" fontId="31" fillId="0" borderId="83" xfId="2" applyNumberFormat="1" applyFont="1" applyFill="1" applyBorder="1" applyAlignment="1">
      <alignment horizontal="center" wrapText="1"/>
    </xf>
    <xf numFmtId="164" fontId="31" fillId="0" borderId="9" xfId="2" applyNumberFormat="1" applyFont="1" applyBorder="1" applyAlignment="1">
      <alignment horizontal="center" wrapText="1"/>
    </xf>
    <xf numFmtId="164" fontId="31" fillId="0" borderId="6" xfId="2" applyNumberFormat="1" applyFont="1" applyBorder="1" applyAlignment="1">
      <alignment horizontal="center" wrapText="1"/>
    </xf>
    <xf numFmtId="164" fontId="31" fillId="0" borderId="7" xfId="2" applyNumberFormat="1" applyFont="1" applyBorder="1" applyAlignment="1">
      <alignment horizontal="center" wrapText="1"/>
    </xf>
    <xf numFmtId="9" fontId="31" fillId="0" borderId="58" xfId="3" applyFont="1" applyFill="1" applyBorder="1" applyAlignment="1">
      <alignment horizontal="center" wrapText="1"/>
    </xf>
    <xf numFmtId="44" fontId="31" fillId="0" borderId="0" xfId="2" applyFont="1" applyFill="1" applyBorder="1" applyAlignment="1">
      <alignment horizontal="center" wrapText="1"/>
    </xf>
    <xf numFmtId="44" fontId="31" fillId="0" borderId="59" xfId="2" applyFont="1" applyFill="1" applyBorder="1" applyAlignment="1">
      <alignment horizontal="center" wrapText="1"/>
    </xf>
    <xf numFmtId="164" fontId="7" fillId="0" borderId="5" xfId="2" applyNumberFormat="1" applyFont="1" applyFill="1" applyBorder="1" applyAlignment="1" applyProtection="1">
      <alignment horizontal="center"/>
    </xf>
    <xf numFmtId="164" fontId="7" fillId="0" borderId="6" xfId="2" applyNumberFormat="1" applyFont="1" applyFill="1" applyBorder="1" applyAlignment="1" applyProtection="1">
      <alignment horizontal="center"/>
    </xf>
    <xf numFmtId="44" fontId="7" fillId="0" borderId="4" xfId="2" applyNumberFormat="1" applyFont="1" applyFill="1" applyBorder="1" applyAlignment="1" applyProtection="1">
      <alignment horizontal="center"/>
    </xf>
    <xf numFmtId="44" fontId="7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1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1" fillId="2" borderId="90" xfId="1" applyNumberFormat="1" applyFont="1" applyFill="1" applyBorder="1" applyAlignment="1" applyProtection="1">
      <alignment horizontal="center"/>
    </xf>
    <xf numFmtId="164" fontId="11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1" fillId="2" borderId="91" xfId="2" applyNumberFormat="1" applyFont="1" applyFill="1" applyBorder="1" applyAlignment="1" applyProtection="1">
      <alignment horizontal="center"/>
    </xf>
    <xf numFmtId="165" fontId="11" fillId="10" borderId="90" xfId="1" applyNumberFormat="1" applyFont="1" applyFill="1" applyBorder="1" applyAlignment="1" applyProtection="1">
      <alignment horizontal="center"/>
    </xf>
    <xf numFmtId="164" fontId="11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1" fillId="10" borderId="91" xfId="2" applyNumberFormat="1" applyFont="1" applyFill="1" applyBorder="1" applyAlignment="1" applyProtection="1">
      <alignment horizontal="center"/>
    </xf>
    <xf numFmtId="167" fontId="7" fillId="0" borderId="75" xfId="3" applyNumberFormat="1" applyFont="1" applyFill="1" applyBorder="1" applyAlignment="1" applyProtection="1">
      <alignment horizontal="center"/>
    </xf>
    <xf numFmtId="0" fontId="19" fillId="9" borderId="0" xfId="0" applyFont="1" applyFill="1" applyAlignment="1"/>
    <xf numFmtId="0" fontId="17" fillId="7" borderId="84" xfId="9" applyFont="1" applyFill="1" applyBorder="1" applyAlignment="1">
      <alignment horizontal="center"/>
    </xf>
    <xf numFmtId="0" fontId="18" fillId="7" borderId="85" xfId="9" applyFont="1" applyFill="1" applyBorder="1" applyAlignment="1">
      <alignment horizontal="center"/>
    </xf>
    <xf numFmtId="0" fontId="17" fillId="7" borderId="85" xfId="9" applyFont="1" applyFill="1" applyBorder="1" applyAlignment="1">
      <alignment horizontal="center"/>
    </xf>
    <xf numFmtId="0" fontId="18" fillId="7" borderId="95" xfId="9" applyFont="1" applyFill="1" applyBorder="1" applyAlignment="1">
      <alignment horizontal="center"/>
    </xf>
    <xf numFmtId="0" fontId="18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1" fillId="2" borderId="2" xfId="2" applyFont="1" applyFill="1" applyBorder="1" applyAlignment="1" applyProtection="1">
      <alignment horizontal="center"/>
    </xf>
    <xf numFmtId="44" fontId="11" fillId="10" borderId="72" xfId="2" applyFont="1" applyFill="1" applyBorder="1" applyAlignment="1" applyProtection="1">
      <alignment horizontal="center"/>
    </xf>
    <xf numFmtId="0" fontId="33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1" fillId="2" borderId="1" xfId="1" applyNumberFormat="1" applyFont="1" applyFill="1" applyBorder="1" applyAlignment="1" applyProtection="1">
      <alignment horizontal="center"/>
    </xf>
    <xf numFmtId="170" fontId="11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1" fillId="10" borderId="74" xfId="1" applyNumberFormat="1" applyFont="1" applyFill="1" applyBorder="1" applyAlignment="1" applyProtection="1">
      <alignment horizontal="center"/>
    </xf>
    <xf numFmtId="170" fontId="11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1" fillId="2" borderId="69" xfId="1" applyNumberFormat="1" applyFont="1" applyFill="1" applyBorder="1" applyAlignment="1" applyProtection="1">
      <alignment horizontal="center"/>
    </xf>
    <xf numFmtId="170" fontId="11" fillId="10" borderId="71" xfId="1" applyNumberFormat="1" applyFont="1" applyFill="1" applyBorder="1" applyAlignment="1" applyProtection="1">
      <alignment horizontal="center"/>
    </xf>
    <xf numFmtId="170" fontId="7" fillId="0" borderId="8" xfId="1" applyNumberFormat="1" applyFont="1" applyFill="1" applyBorder="1" applyAlignment="1" applyProtection="1">
      <alignment horizontal="center"/>
    </xf>
    <xf numFmtId="170" fontId="7" fillId="0" borderId="5" xfId="1" applyNumberFormat="1" applyFont="1" applyFill="1" applyBorder="1" applyAlignment="1" applyProtection="1">
      <alignment horizontal="center"/>
    </xf>
    <xf numFmtId="170" fontId="7" fillId="0" borderId="0" xfId="1" applyNumberFormat="1" applyFont="1" applyFill="1" applyBorder="1" applyAlignment="1" applyProtection="1">
      <alignment horizontal="center"/>
    </xf>
    <xf numFmtId="170" fontId="7" fillId="0" borderId="6" xfId="1" applyNumberFormat="1" applyFont="1" applyFill="1" applyBorder="1" applyAlignment="1" applyProtection="1">
      <alignment horizontal="center"/>
    </xf>
    <xf numFmtId="170" fontId="7" fillId="3" borderId="8" xfId="1" applyNumberFormat="1" applyFont="1" applyFill="1" applyBorder="1" applyAlignment="1" applyProtection="1">
      <alignment horizontal="center"/>
      <protection locked="0"/>
    </xf>
    <xf numFmtId="170" fontId="11" fillId="10" borderId="1" xfId="1" applyNumberFormat="1" applyFont="1" applyFill="1" applyBorder="1" applyAlignment="1" applyProtection="1">
      <alignment horizontal="center"/>
    </xf>
    <xf numFmtId="170" fontId="11" fillId="10" borderId="2" xfId="1" applyNumberFormat="1" applyFont="1" applyFill="1" applyBorder="1" applyAlignment="1" applyProtection="1">
      <alignment horizontal="center"/>
    </xf>
    <xf numFmtId="171" fontId="8" fillId="0" borderId="8" xfId="1" applyNumberFormat="1" applyFont="1" applyFill="1" applyBorder="1" applyAlignment="1" applyProtection="1">
      <alignment horizontal="center"/>
    </xf>
    <xf numFmtId="171" fontId="8" fillId="0" borderId="10" xfId="1" applyNumberFormat="1" applyFont="1" applyFill="1" applyBorder="1" applyAlignment="1" applyProtection="1">
      <alignment horizontal="center"/>
    </xf>
    <xf numFmtId="171" fontId="8" fillId="2" borderId="1" xfId="1" applyNumberFormat="1" applyFont="1" applyFill="1" applyBorder="1" applyAlignment="1" applyProtection="1">
      <alignment horizontal="center"/>
    </xf>
    <xf numFmtId="171" fontId="8" fillId="2" borderId="3" xfId="1" applyNumberFormat="1" applyFont="1" applyFill="1" applyBorder="1" applyAlignment="1" applyProtection="1">
      <alignment horizontal="center"/>
    </xf>
    <xf numFmtId="171" fontId="8" fillId="4" borderId="8" xfId="1" applyNumberFormat="1" applyFont="1" applyFill="1" applyBorder="1" applyAlignment="1" applyProtection="1">
      <alignment horizontal="center"/>
    </xf>
    <xf numFmtId="171" fontId="8" fillId="4" borderId="10" xfId="1" applyNumberFormat="1" applyFont="1" applyFill="1" applyBorder="1" applyAlignment="1" applyProtection="1">
      <alignment horizontal="center"/>
    </xf>
    <xf numFmtId="171" fontId="8" fillId="11" borderId="1" xfId="1" applyNumberFormat="1" applyFont="1" applyFill="1" applyBorder="1" applyAlignment="1" applyProtection="1">
      <alignment horizontal="center"/>
    </xf>
    <xf numFmtId="171" fontId="8" fillId="11" borderId="3" xfId="1" applyNumberFormat="1" applyFont="1" applyFill="1" applyBorder="1" applyAlignment="1" applyProtection="1">
      <alignment horizontal="center"/>
    </xf>
    <xf numFmtId="0" fontId="11" fillId="16" borderId="1" xfId="4" applyFont="1" applyFill="1" applyBorder="1" applyAlignment="1" applyProtection="1">
      <alignment horizontal="center"/>
    </xf>
    <xf numFmtId="164" fontId="11" fillId="16" borderId="1" xfId="1" applyNumberFormat="1" applyFont="1" applyFill="1" applyBorder="1" applyAlignment="1" applyProtection="1">
      <alignment horizontal="center"/>
    </xf>
    <xf numFmtId="164" fontId="11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1" fillId="16" borderId="90" xfId="1" applyNumberFormat="1" applyFont="1" applyFill="1" applyBorder="1" applyAlignment="1" applyProtection="1">
      <alignment horizontal="center"/>
    </xf>
    <xf numFmtId="44" fontId="11" fillId="16" borderId="91" xfId="2" applyNumberFormat="1" applyFont="1" applyFill="1" applyBorder="1" applyAlignment="1" applyProtection="1">
      <alignment horizontal="center"/>
    </xf>
    <xf numFmtId="164" fontId="11" fillId="16" borderId="2" xfId="1" applyNumberFormat="1" applyFont="1" applyFill="1" applyBorder="1" applyAlignment="1" applyProtection="1">
      <alignment horizontal="center"/>
    </xf>
    <xf numFmtId="167" fontId="11" fillId="16" borderId="3" xfId="3" applyNumberFormat="1" applyFont="1" applyFill="1" applyBorder="1" applyAlignment="1" applyProtection="1">
      <alignment horizontal="center"/>
    </xf>
    <xf numFmtId="170" fontId="11" fillId="16" borderId="1" xfId="1" applyNumberFormat="1" applyFont="1" applyFill="1" applyBorder="1" applyAlignment="1" applyProtection="1">
      <alignment horizontal="center"/>
    </xf>
    <xf numFmtId="170" fontId="11" fillId="16" borderId="2" xfId="1" applyNumberFormat="1" applyFont="1" applyFill="1" applyBorder="1" applyAlignment="1" applyProtection="1">
      <alignment horizontal="center"/>
    </xf>
    <xf numFmtId="171" fontId="8" fillId="16" borderId="1" xfId="1" applyNumberFormat="1" applyFont="1" applyFill="1" applyBorder="1" applyAlignment="1" applyProtection="1">
      <alignment horizontal="center"/>
    </xf>
    <xf numFmtId="171" fontId="8" fillId="16" borderId="3" xfId="1" applyNumberFormat="1" applyFont="1" applyFill="1" applyBorder="1" applyAlignment="1" applyProtection="1">
      <alignment horizontal="center"/>
    </xf>
    <xf numFmtId="168" fontId="11" fillId="16" borderId="1" xfId="3" applyNumberFormat="1" applyFont="1" applyFill="1" applyBorder="1" applyAlignment="1" applyProtection="1">
      <alignment horizontal="center"/>
    </xf>
    <xf numFmtId="168" fontId="11" fillId="16" borderId="2" xfId="3" applyNumberFormat="1" applyFont="1" applyFill="1" applyBorder="1" applyAlignment="1" applyProtection="1">
      <alignment horizontal="center"/>
    </xf>
    <xf numFmtId="44" fontId="11" fillId="16" borderId="1" xfId="2" applyNumberFormat="1" applyFont="1" applyFill="1" applyBorder="1" applyAlignment="1" applyProtection="1">
      <alignment horizontal="center"/>
    </xf>
    <xf numFmtId="44" fontId="11" fillId="16" borderId="2" xfId="2" applyNumberFormat="1" applyFont="1" applyFill="1" applyBorder="1" applyAlignment="1" applyProtection="1">
      <alignment horizontal="center"/>
    </xf>
    <xf numFmtId="167" fontId="11" fillId="16" borderId="1" xfId="3" applyNumberFormat="1" applyFont="1" applyFill="1" applyBorder="1" applyAlignment="1" applyProtection="1">
      <alignment horizontal="center"/>
    </xf>
    <xf numFmtId="167" fontId="11" fillId="16" borderId="2" xfId="3" applyNumberFormat="1" applyFont="1" applyFill="1" applyBorder="1" applyAlignment="1" applyProtection="1">
      <alignment horizontal="center"/>
    </xf>
    <xf numFmtId="166" fontId="11" fillId="16" borderId="1" xfId="1" applyNumberFormat="1" applyFont="1" applyFill="1" applyBorder="1" applyAlignment="1" applyProtection="1">
      <alignment horizontal="center"/>
    </xf>
    <xf numFmtId="166" fontId="11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8" fillId="16" borderId="2" xfId="3" applyNumberFormat="1" applyFont="1" applyFill="1" applyBorder="1" applyAlignment="1" applyProtection="1">
      <alignment horizontal="center"/>
    </xf>
    <xf numFmtId="165" fontId="11" fillId="16" borderId="2" xfId="1" applyNumberFormat="1" applyFont="1" applyFill="1" applyBorder="1" applyAlignment="1" applyProtection="1">
      <alignment horizontal="center"/>
    </xf>
    <xf numFmtId="165" fontId="11" fillId="16" borderId="1" xfId="1" applyNumberFormat="1" applyFont="1" applyFill="1" applyBorder="1" applyAlignment="1" applyProtection="1">
      <alignment horizontal="center"/>
    </xf>
    <xf numFmtId="44" fontId="11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1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7" fillId="0" borderId="100" xfId="0" applyFont="1" applyBorder="1"/>
    <xf numFmtId="0" fontId="1" fillId="0" borderId="0" xfId="0" applyFont="1" applyProtection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2" fillId="0" borderId="0" xfId="0" applyFont="1" applyAlignment="1">
      <alignment horizontal="left"/>
    </xf>
    <xf numFmtId="0" fontId="31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1" fillId="16" borderId="119" xfId="1" applyNumberFormat="1" applyFont="1" applyFill="1" applyBorder="1" applyAlignment="1" applyProtection="1">
      <alignment horizontal="center"/>
    </xf>
    <xf numFmtId="165" fontId="11" fillId="2" borderId="119" xfId="1" applyNumberFormat="1" applyFont="1" applyFill="1" applyBorder="1" applyAlignment="1" applyProtection="1">
      <alignment horizontal="center"/>
    </xf>
    <xf numFmtId="165" fontId="11" fillId="10" borderId="119" xfId="1" applyNumberFormat="1" applyFont="1" applyFill="1" applyBorder="1" applyAlignment="1" applyProtection="1">
      <alignment horizontal="center"/>
    </xf>
    <xf numFmtId="0" fontId="27" fillId="0" borderId="113" xfId="0" applyFont="1" applyBorder="1"/>
    <xf numFmtId="0" fontId="31" fillId="8" borderId="116" xfId="4" applyFont="1" applyFill="1" applyBorder="1" applyAlignment="1">
      <alignment horizontal="center" wrapText="1"/>
    </xf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0" fontId="34" fillId="0" borderId="93" xfId="0" applyFont="1" applyBorder="1"/>
    <xf numFmtId="0" fontId="34" fillId="0" borderId="92" xfId="0" applyFont="1" applyFill="1" applyBorder="1" applyAlignment="1">
      <alignment horizontal="left"/>
    </xf>
    <xf numFmtId="0" fontId="36" fillId="0" borderId="92" xfId="0" applyFont="1" applyFill="1" applyBorder="1" applyAlignment="1"/>
    <xf numFmtId="0" fontId="36" fillId="0" borderId="93" xfId="0" applyFont="1" applyFill="1" applyBorder="1" applyAlignment="1">
      <alignment horizontal="center"/>
    </xf>
    <xf numFmtId="0" fontId="36" fillId="0" borderId="92" xfId="0" applyFont="1" applyFill="1" applyBorder="1" applyAlignment="1">
      <alignment horizontal="center"/>
    </xf>
    <xf numFmtId="0" fontId="34" fillId="0" borderId="92" xfId="0" applyFont="1" applyFill="1" applyBorder="1"/>
    <xf numFmtId="0" fontId="36" fillId="0" borderId="94" xfId="0" applyFont="1" applyFill="1" applyBorder="1" applyAlignment="1">
      <alignment horizontal="center"/>
    </xf>
    <xf numFmtId="0" fontId="34" fillId="0" borderId="94" xfId="0" applyFont="1" applyFill="1" applyBorder="1"/>
    <xf numFmtId="0" fontId="34" fillId="0" borderId="93" xfId="0" applyFont="1" applyFill="1" applyBorder="1"/>
    <xf numFmtId="0" fontId="34" fillId="0" borderId="22" xfId="0" applyFont="1" applyBorder="1" applyAlignment="1">
      <alignment vertical="center"/>
    </xf>
    <xf numFmtId="0" fontId="37" fillId="0" borderId="23" xfId="4" applyFont="1" applyFill="1" applyBorder="1" applyAlignment="1">
      <alignment horizontal="left" vertical="center" wrapText="1"/>
    </xf>
    <xf numFmtId="0" fontId="37" fillId="0" borderId="22" xfId="4" applyFont="1" applyFill="1" applyBorder="1" applyAlignment="1">
      <alignment horizontal="center" vertical="center" wrapText="1"/>
    </xf>
    <xf numFmtId="44" fontId="37" fillId="0" borderId="23" xfId="2" applyFont="1" applyFill="1" applyBorder="1" applyAlignment="1">
      <alignment horizontal="center" vertical="center" wrapText="1"/>
    </xf>
    <xf numFmtId="0" fontId="37" fillId="0" borderId="23" xfId="4" applyFont="1" applyFill="1" applyBorder="1" applyAlignment="1">
      <alignment horizontal="center" vertical="center" wrapText="1"/>
    </xf>
    <xf numFmtId="165" fontId="37" fillId="0" borderId="23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165" fontId="37" fillId="0" borderId="22" xfId="1" applyNumberFormat="1" applyFont="1" applyFill="1" applyBorder="1" applyAlignment="1">
      <alignment horizontal="center" vertical="center" wrapText="1"/>
    </xf>
    <xf numFmtId="165" fontId="37" fillId="0" borderId="21" xfId="1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34" fillId="0" borderId="0" xfId="0" applyFont="1" applyBorder="1" applyAlignment="1">
      <alignment horizontal="left"/>
    </xf>
    <xf numFmtId="171" fontId="8" fillId="0" borderId="0" xfId="1" applyNumberFormat="1" applyFont="1" applyFill="1" applyBorder="1" applyAlignment="1" applyProtection="1">
      <alignment horizontal="center"/>
    </xf>
    <xf numFmtId="171" fontId="8" fillId="16" borderId="2" xfId="1" applyNumberFormat="1" applyFont="1" applyFill="1" applyBorder="1" applyAlignment="1" applyProtection="1">
      <alignment horizontal="center"/>
    </xf>
    <xf numFmtId="171" fontId="8" fillId="2" borderId="2" xfId="1" applyNumberFormat="1" applyFont="1" applyFill="1" applyBorder="1" applyAlignment="1" applyProtection="1">
      <alignment horizontal="center"/>
    </xf>
    <xf numFmtId="171" fontId="8" fillId="4" borderId="0" xfId="1" applyNumberFormat="1" applyFont="1" applyFill="1" applyBorder="1" applyAlignment="1" applyProtection="1">
      <alignment horizontal="center"/>
    </xf>
    <xf numFmtId="171" fontId="8" fillId="11" borderId="2" xfId="1" applyNumberFormat="1" applyFont="1" applyFill="1" applyBorder="1" applyAlignment="1" applyProtection="1">
      <alignment horizontal="center"/>
    </xf>
    <xf numFmtId="171" fontId="8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1" fillId="16" borderId="1" xfId="2" applyFont="1" applyFill="1" applyBorder="1" applyAlignment="1" applyProtection="1">
      <alignment horizontal="center"/>
    </xf>
    <xf numFmtId="44" fontId="11" fillId="2" borderId="1" xfId="2" applyFont="1" applyFill="1" applyBorder="1" applyAlignment="1" applyProtection="1">
      <alignment horizontal="center"/>
    </xf>
    <xf numFmtId="44" fontId="11" fillId="10" borderId="74" xfId="2" applyFont="1" applyFill="1" applyBorder="1" applyAlignment="1" applyProtection="1">
      <alignment horizontal="center"/>
    </xf>
    <xf numFmtId="170" fontId="7" fillId="3" borderId="0" xfId="1" applyNumberFormat="1" applyFont="1" applyFill="1" applyBorder="1" applyAlignment="1" applyProtection="1">
      <alignment horizontal="center"/>
      <protection locked="0"/>
    </xf>
    <xf numFmtId="0" fontId="18" fillId="7" borderId="0" xfId="9" applyFont="1" applyFill="1" applyBorder="1" applyAlignment="1">
      <alignment horizontal="center"/>
    </xf>
    <xf numFmtId="0" fontId="9" fillId="0" borderId="0" xfId="11"/>
    <xf numFmtId="0" fontId="20" fillId="3" borderId="52" xfId="11" applyFont="1" applyFill="1" applyBorder="1" applyAlignment="1">
      <alignment horizontal="center"/>
    </xf>
    <xf numFmtId="0" fontId="20" fillId="3" borderId="53" xfId="11" applyFont="1" applyFill="1" applyBorder="1" applyAlignment="1">
      <alignment horizontal="center"/>
    </xf>
    <xf numFmtId="0" fontId="20" fillId="3" borderId="54" xfId="11" applyFont="1" applyFill="1" applyBorder="1" applyAlignment="1">
      <alignment horizontal="center"/>
    </xf>
    <xf numFmtId="0" fontId="41" fillId="0" borderId="122" xfId="23" applyFont="1" applyFill="1" applyBorder="1" applyAlignment="1">
      <alignment horizontal="left" wrapText="1"/>
    </xf>
    <xf numFmtId="0" fontId="41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18" fillId="0" borderId="122" xfId="24" applyFont="1" applyFill="1" applyBorder="1" applyAlignment="1">
      <alignment horizontal="right" wrapText="1"/>
    </xf>
    <xf numFmtId="0" fontId="18" fillId="0" borderId="122" xfId="24" applyFont="1" applyFill="1" applyBorder="1" applyAlignment="1">
      <alignment wrapText="1"/>
    </xf>
    <xf numFmtId="0" fontId="18" fillId="0" borderId="123" xfId="24" applyFont="1" applyFill="1" applyBorder="1" applyAlignment="1">
      <alignment wrapText="1"/>
    </xf>
    <xf numFmtId="0" fontId="43" fillId="0" borderId="0" xfId="0" applyFont="1" applyAlignment="1">
      <alignment horizontal="center"/>
    </xf>
    <xf numFmtId="0" fontId="11" fillId="18" borderId="1" xfId="4" applyFont="1" applyFill="1" applyBorder="1" applyAlignment="1" applyProtection="1">
      <alignment horizontal="center"/>
    </xf>
    <xf numFmtId="164" fontId="11" fillId="18" borderId="1" xfId="1" applyNumberFormat="1" applyFont="1" applyFill="1" applyBorder="1" applyAlignment="1" applyProtection="1">
      <alignment horizontal="center"/>
    </xf>
    <xf numFmtId="164" fontId="11" fillId="18" borderId="90" xfId="1" applyNumberFormat="1" applyFont="1" applyFill="1" applyBorder="1" applyAlignment="1" applyProtection="1">
      <alignment horizontal="center"/>
    </xf>
    <xf numFmtId="167" fontId="2" fillId="18" borderId="89" xfId="3" applyNumberFormat="1" applyFont="1" applyFill="1" applyBorder="1" applyAlignment="1" applyProtection="1">
      <alignment horizontal="center"/>
    </xf>
    <xf numFmtId="165" fontId="11" fillId="18" borderId="90" xfId="1" applyNumberFormat="1" applyFont="1" applyFill="1" applyBorder="1" applyAlignment="1" applyProtection="1">
      <alignment horizontal="center"/>
    </xf>
    <xf numFmtId="44" fontId="11" fillId="18" borderId="91" xfId="2" applyNumberFormat="1" applyFont="1" applyFill="1" applyBorder="1" applyAlignment="1" applyProtection="1">
      <alignment horizontal="center"/>
    </xf>
    <xf numFmtId="165" fontId="11" fillId="18" borderId="119" xfId="1" applyNumberFormat="1" applyFont="1" applyFill="1" applyBorder="1" applyAlignment="1" applyProtection="1">
      <alignment horizontal="center"/>
    </xf>
    <xf numFmtId="164" fontId="11" fillId="18" borderId="2" xfId="1" applyNumberFormat="1" applyFont="1" applyFill="1" applyBorder="1" applyAlignment="1" applyProtection="1">
      <alignment horizontal="center"/>
    </xf>
    <xf numFmtId="167" fontId="11" fillId="18" borderId="3" xfId="3" applyNumberFormat="1" applyFont="1" applyFill="1" applyBorder="1" applyAlignment="1" applyProtection="1">
      <alignment horizontal="center"/>
    </xf>
    <xf numFmtId="170" fontId="11" fillId="18" borderId="2" xfId="1" applyNumberFormat="1" applyFont="1" applyFill="1" applyBorder="1" applyAlignment="1" applyProtection="1">
      <alignment horizontal="center"/>
    </xf>
    <xf numFmtId="171" fontId="8" fillId="18" borderId="1" xfId="1" applyNumberFormat="1" applyFont="1" applyFill="1" applyBorder="1" applyAlignment="1" applyProtection="1">
      <alignment horizontal="center"/>
    </xf>
    <xf numFmtId="171" fontId="8" fillId="18" borderId="2" xfId="1" applyNumberFormat="1" applyFont="1" applyFill="1" applyBorder="1" applyAlignment="1" applyProtection="1">
      <alignment horizontal="center"/>
    </xf>
    <xf numFmtId="171" fontId="8" fillId="18" borderId="3" xfId="1" applyNumberFormat="1" applyFont="1" applyFill="1" applyBorder="1" applyAlignment="1" applyProtection="1">
      <alignment horizontal="center"/>
    </xf>
    <xf numFmtId="168" fontId="11" fillId="18" borderId="1" xfId="3" applyNumberFormat="1" applyFont="1" applyFill="1" applyBorder="1" applyAlignment="1" applyProtection="1">
      <alignment horizontal="center"/>
    </xf>
    <xf numFmtId="168" fontId="11" fillId="18" borderId="2" xfId="3" applyNumberFormat="1" applyFont="1" applyFill="1" applyBorder="1" applyAlignment="1" applyProtection="1">
      <alignment horizontal="center"/>
    </xf>
    <xf numFmtId="44" fontId="11" fillId="18" borderId="1" xfId="2" applyNumberFormat="1" applyFont="1" applyFill="1" applyBorder="1" applyAlignment="1" applyProtection="1">
      <alignment horizontal="center"/>
    </xf>
    <xf numFmtId="44" fontId="11" fillId="18" borderId="2" xfId="2" applyNumberFormat="1" applyFont="1" applyFill="1" applyBorder="1" applyAlignment="1" applyProtection="1">
      <alignment horizontal="center"/>
    </xf>
    <xf numFmtId="167" fontId="11" fillId="18" borderId="1" xfId="3" applyNumberFormat="1" applyFont="1" applyFill="1" applyBorder="1" applyAlignment="1" applyProtection="1">
      <alignment horizontal="center"/>
    </xf>
    <xf numFmtId="167" fontId="11" fillId="18" borderId="2" xfId="3" applyNumberFormat="1" applyFont="1" applyFill="1" applyBorder="1" applyAlignment="1" applyProtection="1">
      <alignment horizontal="center"/>
    </xf>
    <xf numFmtId="170" fontId="11" fillId="18" borderId="1" xfId="1" applyNumberFormat="1" applyFont="1" applyFill="1" applyBorder="1" applyAlignment="1" applyProtection="1">
      <alignment horizontal="center"/>
    </xf>
    <xf numFmtId="166" fontId="11" fillId="18" borderId="1" xfId="1" applyNumberFormat="1" applyFont="1" applyFill="1" applyBorder="1" applyAlignment="1" applyProtection="1">
      <alignment horizontal="center"/>
    </xf>
    <xf numFmtId="166" fontId="11" fillId="18" borderId="70" xfId="1" applyNumberFormat="1" applyFont="1" applyFill="1" applyBorder="1" applyAlignment="1" applyProtection="1">
      <alignment horizontal="center"/>
    </xf>
    <xf numFmtId="168" fontId="2" fillId="18" borderId="27" xfId="3" applyNumberFormat="1" applyFont="1" applyFill="1" applyBorder="1" applyAlignment="1" applyProtection="1">
      <alignment horizontal="center"/>
    </xf>
    <xf numFmtId="168" fontId="8" fillId="18" borderId="2" xfId="3" applyNumberFormat="1" applyFont="1" applyFill="1" applyBorder="1" applyAlignment="1" applyProtection="1">
      <alignment horizontal="center"/>
    </xf>
    <xf numFmtId="165" fontId="11" fillId="18" borderId="2" xfId="1" applyNumberFormat="1" applyFont="1" applyFill="1" applyBorder="1" applyAlignment="1" applyProtection="1">
      <alignment horizontal="center"/>
    </xf>
    <xf numFmtId="44" fontId="11" fillId="18" borderId="1" xfId="2" applyFont="1" applyFill="1" applyBorder="1" applyAlignment="1" applyProtection="1">
      <alignment horizontal="center"/>
    </xf>
    <xf numFmtId="165" fontId="11" fillId="18" borderId="1" xfId="1" applyNumberFormat="1" applyFont="1" applyFill="1" applyBorder="1" applyAlignment="1" applyProtection="1">
      <alignment horizontal="center"/>
    </xf>
    <xf numFmtId="44" fontId="11" fillId="18" borderId="2" xfId="2" applyFont="1" applyFill="1" applyBorder="1" applyAlignment="1" applyProtection="1">
      <alignment horizontal="center"/>
    </xf>
    <xf numFmtId="0" fontId="36" fillId="0" borderId="23" xfId="0" applyFont="1" applyBorder="1" applyAlignment="1"/>
    <xf numFmtId="0" fontId="35" fillId="0" borderId="0" xfId="0" applyFont="1" applyBorder="1" applyAlignment="1"/>
    <xf numFmtId="0" fontId="34" fillId="0" borderId="0" xfId="0" applyFont="1" applyBorder="1" applyAlignment="1"/>
    <xf numFmtId="44" fontId="34" fillId="0" borderId="0" xfId="2" applyFont="1" applyBorder="1"/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/>
    <xf numFmtId="0" fontId="30" fillId="8" borderId="38" xfId="0" applyFont="1" applyFill="1" applyBorder="1" applyAlignment="1"/>
    <xf numFmtId="0" fontId="30" fillId="8" borderId="39" xfId="0" applyFont="1" applyFill="1" applyBorder="1" applyAlignment="1"/>
    <xf numFmtId="0" fontId="27" fillId="8" borderId="39" xfId="0" applyFont="1" applyFill="1" applyBorder="1" applyAlignment="1"/>
    <xf numFmtId="0" fontId="27" fillId="8" borderId="46" xfId="0" applyFont="1" applyFill="1" applyBorder="1" applyAlignment="1"/>
    <xf numFmtId="0" fontId="29" fillId="13" borderId="126" xfId="0" applyFont="1" applyFill="1" applyBorder="1" applyAlignment="1">
      <alignment vertical="center"/>
    </xf>
    <xf numFmtId="0" fontId="29" fillId="13" borderId="31" xfId="0" applyFont="1" applyFill="1" applyBorder="1" applyAlignment="1">
      <alignment vertical="center"/>
    </xf>
    <xf numFmtId="0" fontId="29" fillId="13" borderId="87" xfId="0" applyFont="1" applyFill="1" applyBorder="1" applyAlignment="1">
      <alignment vertical="center"/>
    </xf>
    <xf numFmtId="43" fontId="19" fillId="8" borderId="0" xfId="1" applyFont="1" applyFill="1" applyAlignment="1">
      <alignment horizontal="center"/>
    </xf>
    <xf numFmtId="0" fontId="44" fillId="0" borderId="0" xfId="0" applyFont="1" applyAlignment="1">
      <alignment horizontal="right" indent="1"/>
    </xf>
    <xf numFmtId="0" fontId="45" fillId="0" borderId="0" xfId="0" applyFont="1" applyAlignment="1"/>
    <xf numFmtId="0" fontId="47" fillId="0" borderId="0" xfId="0" applyFont="1" applyAlignment="1">
      <alignment horizontal="left" indent="1"/>
    </xf>
    <xf numFmtId="0" fontId="24" fillId="0" borderId="0" xfId="0" applyFont="1" applyAlignment="1">
      <alignment horizontal="left"/>
    </xf>
    <xf numFmtId="0" fontId="49" fillId="0" borderId="122" xfId="25" applyFont="1" applyFill="1" applyBorder="1" applyAlignment="1">
      <alignment horizontal="right" wrapText="1"/>
    </xf>
    <xf numFmtId="0" fontId="49" fillId="0" borderId="122" xfId="25" applyFont="1" applyFill="1" applyBorder="1" applyAlignment="1">
      <alignment wrapText="1"/>
    </xf>
    <xf numFmtId="0" fontId="18" fillId="0" borderId="122" xfId="23" applyFont="1" applyFill="1" applyBorder="1" applyAlignment="1">
      <alignment horizontal="left" wrapText="1"/>
    </xf>
    <xf numFmtId="0" fontId="18" fillId="0" borderId="123" xfId="23" applyFont="1" applyFill="1" applyBorder="1" applyAlignment="1">
      <alignment horizontal="left" wrapText="1"/>
    </xf>
    <xf numFmtId="0" fontId="35" fillId="6" borderId="0" xfId="0" applyFont="1" applyFill="1" applyBorder="1" applyAlignment="1"/>
    <xf numFmtId="0" fontId="0" fillId="8" borderId="0" xfId="0" applyFill="1" applyProtection="1"/>
    <xf numFmtId="0" fontId="50" fillId="0" borderId="0" xfId="0" applyFont="1"/>
    <xf numFmtId="0" fontId="38" fillId="0" borderId="0" xfId="0" applyFont="1" applyAlignment="1">
      <alignment horizontal="left" vertical="center" wrapText="1" indent="1"/>
    </xf>
    <xf numFmtId="0" fontId="38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30" fillId="0" borderId="8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27" fillId="0" borderId="63" xfId="0" applyFont="1" applyBorder="1" applyAlignment="1">
      <alignment horizontal="center"/>
    </xf>
    <xf numFmtId="0" fontId="27" fillId="0" borderId="64" xfId="0" applyFont="1" applyBorder="1" applyAlignment="1">
      <alignment horizontal="center"/>
    </xf>
    <xf numFmtId="0" fontId="27" fillId="0" borderId="65" xfId="0" applyFont="1" applyBorder="1" applyAlignment="1">
      <alignment horizontal="center"/>
    </xf>
    <xf numFmtId="0" fontId="30" fillId="17" borderId="105" xfId="0" applyFont="1" applyFill="1" applyBorder="1" applyAlignment="1">
      <alignment horizontal="center"/>
    </xf>
    <xf numFmtId="0" fontId="30" fillId="17" borderId="77" xfId="0" applyFont="1" applyFill="1" applyBorder="1" applyAlignment="1">
      <alignment horizontal="center"/>
    </xf>
    <xf numFmtId="0" fontId="30" fillId="17" borderId="106" xfId="0" applyFont="1" applyFill="1" applyBorder="1" applyAlignment="1">
      <alignment horizontal="center"/>
    </xf>
    <xf numFmtId="0" fontId="30" fillId="0" borderId="108" xfId="0" applyFont="1" applyBorder="1" applyAlignment="1">
      <alignment horizontal="center"/>
    </xf>
    <xf numFmtId="0" fontId="30" fillId="0" borderId="89" xfId="0" applyFont="1" applyBorder="1" applyAlignment="1">
      <alignment horizontal="center"/>
    </xf>
    <xf numFmtId="0" fontId="30" fillId="0" borderId="109" xfId="0" applyFont="1" applyBorder="1" applyAlignment="1">
      <alignment horizontal="center"/>
    </xf>
    <xf numFmtId="0" fontId="30" fillId="0" borderId="110" xfId="0" applyFont="1" applyBorder="1" applyAlignment="1">
      <alignment horizontal="center"/>
    </xf>
    <xf numFmtId="0" fontId="30" fillId="0" borderId="111" xfId="0" applyFont="1" applyBorder="1" applyAlignment="1">
      <alignment horizontal="center"/>
    </xf>
    <xf numFmtId="0" fontId="30" fillId="0" borderId="112" xfId="0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30" fillId="0" borderId="102" xfId="0" applyFont="1" applyBorder="1" applyAlignment="1">
      <alignment horizontal="center"/>
    </xf>
    <xf numFmtId="0" fontId="29" fillId="13" borderId="35" xfId="0" applyFont="1" applyFill="1" applyBorder="1" applyAlignment="1">
      <alignment horizontal="center" vertical="center"/>
    </xf>
    <xf numFmtId="0" fontId="29" fillId="13" borderId="37" xfId="0" applyFont="1" applyFill="1" applyBorder="1" applyAlignment="1">
      <alignment horizontal="center" vertical="center"/>
    </xf>
    <xf numFmtId="0" fontId="30" fillId="17" borderId="104" xfId="0" applyFont="1" applyFill="1" applyBorder="1" applyAlignment="1">
      <alignment horizontal="center"/>
    </xf>
    <xf numFmtId="0" fontId="30" fillId="17" borderId="102" xfId="0" applyFont="1" applyFill="1" applyBorder="1" applyAlignment="1">
      <alignment horizontal="center"/>
    </xf>
    <xf numFmtId="0" fontId="30" fillId="17" borderId="103" xfId="0" applyFont="1" applyFill="1" applyBorder="1" applyAlignment="1">
      <alignment horizontal="center"/>
    </xf>
    <xf numFmtId="0" fontId="30" fillId="0" borderId="105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0" fontId="30" fillId="0" borderId="105" xfId="0" applyFont="1" applyFill="1" applyBorder="1" applyAlignment="1">
      <alignment horizontal="center"/>
    </xf>
    <xf numFmtId="0" fontId="30" fillId="0" borderId="77" xfId="0" applyFont="1" applyFill="1" applyBorder="1" applyAlignment="1">
      <alignment horizontal="center"/>
    </xf>
    <xf numFmtId="0" fontId="30" fillId="0" borderId="106" xfId="0" applyFont="1" applyFill="1" applyBorder="1" applyAlignment="1">
      <alignment horizontal="center"/>
    </xf>
    <xf numFmtId="0" fontId="1" fillId="0" borderId="125" xfId="0" applyFont="1" applyBorder="1" applyAlignment="1">
      <alignment horizontal="left"/>
    </xf>
    <xf numFmtId="0" fontId="39" fillId="0" borderId="0" xfId="0" applyFont="1" applyAlignment="1">
      <alignment horizontal="left"/>
    </xf>
    <xf numFmtId="0" fontId="0" fillId="0" borderId="0" xfId="0" applyAlignment="1">
      <alignment horizontal="left"/>
    </xf>
    <xf numFmtId="0" fontId="30" fillId="0" borderId="107" xfId="0" applyFont="1" applyBorder="1" applyAlignment="1">
      <alignment horizontal="center"/>
    </xf>
    <xf numFmtId="0" fontId="40" fillId="0" borderId="125" xfId="0" applyFont="1" applyBorder="1" applyAlignment="1">
      <alignment horizontal="left"/>
    </xf>
    <xf numFmtId="0" fontId="45" fillId="0" borderId="0" xfId="0" applyFont="1" applyAlignment="1">
      <alignment horizontal="left"/>
    </xf>
    <xf numFmtId="0" fontId="29" fillId="15" borderId="45" xfId="0" applyFont="1" applyFill="1" applyBorder="1" applyAlignment="1">
      <alignment horizontal="center" vertical="center"/>
    </xf>
    <xf numFmtId="0" fontId="29" fillId="15" borderId="31" xfId="0" applyFont="1" applyFill="1" applyBorder="1" applyAlignment="1">
      <alignment horizontal="center" vertical="center"/>
    </xf>
    <xf numFmtId="0" fontId="29" fillId="15" borderId="114" xfId="0" applyFont="1" applyFill="1" applyBorder="1" applyAlignment="1">
      <alignment horizontal="center" vertical="center"/>
    </xf>
    <xf numFmtId="0" fontId="29" fillId="13" borderId="31" xfId="0" applyFont="1" applyFill="1" applyBorder="1" applyAlignment="1">
      <alignment horizontal="center" vertical="center"/>
    </xf>
    <xf numFmtId="0" fontId="30" fillId="0" borderId="101" xfId="0" applyFont="1" applyBorder="1" applyAlignment="1">
      <alignment horizontal="center"/>
    </xf>
    <xf numFmtId="0" fontId="30" fillId="0" borderId="115" xfId="0" applyFont="1" applyBorder="1" applyAlignment="1">
      <alignment horizontal="center"/>
    </xf>
    <xf numFmtId="0" fontId="29" fillId="14" borderId="120" xfId="0" applyFont="1" applyFill="1" applyBorder="1" applyAlignment="1">
      <alignment horizontal="center" vertical="center"/>
    </xf>
    <xf numFmtId="0" fontId="29" fillId="14" borderId="31" xfId="0" applyFont="1" applyFill="1" applyBorder="1" applyAlignment="1">
      <alignment horizontal="center" vertical="center"/>
    </xf>
    <xf numFmtId="0" fontId="29" fillId="14" borderId="121" xfId="0" applyFont="1" applyFill="1" applyBorder="1" applyAlignment="1">
      <alignment horizontal="center" vertical="center"/>
    </xf>
    <xf numFmtId="0" fontId="30" fillId="0" borderId="103" xfId="0" applyFont="1" applyBorder="1" applyAlignment="1">
      <alignment horizontal="center"/>
    </xf>
    <xf numFmtId="0" fontId="27" fillId="17" borderId="102" xfId="0" applyFont="1" applyFill="1" applyBorder="1" applyAlignment="1">
      <alignment horizontal="center"/>
    </xf>
    <xf numFmtId="0" fontId="27" fillId="17" borderId="103" xfId="0" applyFont="1" applyFill="1" applyBorder="1" applyAlignment="1">
      <alignment horizontal="center"/>
    </xf>
    <xf numFmtId="43" fontId="30" fillId="0" borderId="104" xfId="1" applyFont="1" applyBorder="1" applyAlignment="1">
      <alignment horizontal="center"/>
    </xf>
    <xf numFmtId="43" fontId="30" fillId="0" borderId="102" xfId="1" applyFont="1" applyBorder="1" applyAlignment="1">
      <alignment horizontal="center"/>
    </xf>
    <xf numFmtId="43" fontId="30" fillId="0" borderId="103" xfId="1" applyFont="1" applyBorder="1" applyAlignment="1">
      <alignment horizontal="center"/>
    </xf>
    <xf numFmtId="0" fontId="30" fillId="8" borderId="8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10" xfId="0" applyFont="1" applyFill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37" xfId="0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39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3" fontId="30" fillId="0" borderId="38" xfId="1" applyFont="1" applyBorder="1" applyAlignment="1">
      <alignment horizontal="center"/>
    </xf>
    <xf numFmtId="43" fontId="30" fillId="0" borderId="39" xfId="1" applyFont="1" applyBorder="1" applyAlignment="1">
      <alignment horizontal="center"/>
    </xf>
    <xf numFmtId="43" fontId="30" fillId="0" borderId="46" xfId="1" applyFont="1" applyBorder="1" applyAlignment="1">
      <alignment horizontal="center"/>
    </xf>
    <xf numFmtId="0" fontId="30" fillId="0" borderId="38" xfId="0" applyFont="1" applyBorder="1" applyAlignment="1">
      <alignment horizontal="center"/>
    </xf>
    <xf numFmtId="0" fontId="29" fillId="14" borderId="84" xfId="0" applyFont="1" applyFill="1" applyBorder="1" applyAlignment="1">
      <alignment horizontal="center" vertical="center"/>
    </xf>
    <xf numFmtId="0" fontId="29" fillId="14" borderId="85" xfId="0" applyFont="1" applyFill="1" applyBorder="1" applyAlignment="1">
      <alignment horizontal="center" vertical="center"/>
    </xf>
    <xf numFmtId="0" fontId="29" fillId="14" borderId="86" xfId="0" applyFont="1" applyFill="1" applyBorder="1" applyAlignment="1">
      <alignment horizontal="center" vertical="center"/>
    </xf>
    <xf numFmtId="0" fontId="30" fillId="8" borderId="38" xfId="0" applyFont="1" applyFill="1" applyBorder="1" applyAlignment="1">
      <alignment horizontal="center"/>
    </xf>
    <xf numFmtId="0" fontId="30" fillId="8" borderId="39" xfId="0" applyFont="1" applyFill="1" applyBorder="1" applyAlignment="1">
      <alignment horizontal="center"/>
    </xf>
    <xf numFmtId="0" fontId="30" fillId="8" borderId="46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6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ettings_1" xfId="25"/>
    <cellStyle name="Normal_Sheet1" xfId="23"/>
    <cellStyle name="Normal_Sheet1_1" xfId="24"/>
    <cellStyle name="Percent" xfId="3" builtinId="5"/>
    <cellStyle name="Percent 2" xfId="19"/>
    <cellStyle name="Percent 2 2" xfId="22"/>
  </cellStyles>
  <dxfs count="406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405"/>
      <tableStyleElement type="totalRow" dxfId="404"/>
      <tableStyleElement type="firstRowStripe" dxfId="403"/>
      <tableStyleElement type="firstColumnStripe" dxfId="402"/>
      <tableStyleElement type="firstSubtotalColumn" dxfId="401"/>
      <tableStyleElement type="firstSubtotalRow" dxfId="400"/>
      <tableStyleElement type="secondSubtotalRow" dxfId="399"/>
      <tableStyleElement type="firstRowSubheading" dxfId="398"/>
      <tableStyleElement type="secondRowSubheading" dxfId="397"/>
      <tableStyleElement type="pageFieldLabels" dxfId="396"/>
      <tableStyleElement type="pageFieldValues" dxfId="395"/>
    </tableStyle>
    <tableStyle name="PivotStyleLightTY 2 2 2 2 2" table="0" count="10">
      <tableStyleElement type="headerRow" dxfId="394"/>
      <tableStyleElement type="totalRow" dxfId="393"/>
      <tableStyleElement type="firstRowStripe" dxfId="392"/>
      <tableStyleElement type="firstSubtotalColumn" dxfId="391"/>
      <tableStyleElement type="firstSubtotalRow" dxfId="390"/>
      <tableStyleElement type="secondSubtotalRow" dxfId="389"/>
      <tableStyleElement type="firstRowSubheading" dxfId="388"/>
      <tableStyleElement type="secondRowSubheading" dxfId="387"/>
      <tableStyleElement type="pageFieldLabels" dxfId="386"/>
      <tableStyleElement type="pageFieldValues" dxfId="385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169070</xdr:rowOff>
    </xdr:from>
    <xdr:to>
      <xdr:col>3</xdr:col>
      <xdr:colOff>1163279</xdr:colOff>
      <xdr:row>4</xdr:row>
      <xdr:rowOff>30957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4</xdr:row>
      <xdr:rowOff>140494</xdr:rowOff>
    </xdr:from>
    <xdr:to>
      <xdr:col>9</xdr:col>
      <xdr:colOff>590552</xdr:colOff>
      <xdr:row>6</xdr:row>
      <xdr:rowOff>269082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183357</xdr:rowOff>
    </xdr:from>
    <xdr:to>
      <xdr:col>9</xdr:col>
      <xdr:colOff>578644</xdr:colOff>
      <xdr:row>3</xdr:row>
      <xdr:rowOff>228601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345337</xdr:colOff>
      <xdr:row>4</xdr:row>
      <xdr:rowOff>168275</xdr:rowOff>
    </xdr:from>
    <xdr:to>
      <xdr:col>52</xdr:col>
      <xdr:colOff>345706</xdr:colOff>
      <xdr:row>6</xdr:row>
      <xdr:rowOff>143669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20</xdr:col>
      <xdr:colOff>156294</xdr:colOff>
      <xdr:row>4</xdr:row>
      <xdr:rowOff>168275</xdr:rowOff>
    </xdr:from>
    <xdr:to>
      <xdr:col>22</xdr:col>
      <xdr:colOff>216826</xdr:colOff>
      <xdr:row>6</xdr:row>
      <xdr:rowOff>143669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18</xdr:col>
      <xdr:colOff>72765</xdr:colOff>
      <xdr:row>4</xdr:row>
      <xdr:rowOff>168275</xdr:rowOff>
    </xdr:from>
    <xdr:to>
      <xdr:col>20</xdr:col>
      <xdr:colOff>491</xdr:colOff>
      <xdr:row>6</xdr:row>
      <xdr:rowOff>143669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gymb/forecast/Gym-Test/api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F11" sqref="F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31.5" customHeight="1" x14ac:dyDescent="0.5">
      <c r="B1" s="399" t="s">
        <v>489</v>
      </c>
    </row>
    <row r="2" spans="2:10" ht="40.5" x14ac:dyDescent="0.7">
      <c r="B2" s="392" t="s">
        <v>45</v>
      </c>
    </row>
    <row r="3" spans="2:10" ht="41.25" customHeight="1" x14ac:dyDescent="0.25">
      <c r="B3" s="403" t="s">
        <v>476</v>
      </c>
      <c r="C3" s="403"/>
      <c r="D3" s="403"/>
      <c r="E3" s="403"/>
      <c r="F3" s="403"/>
      <c r="G3" s="403"/>
      <c r="H3" s="403"/>
    </row>
    <row r="4" spans="2:10" ht="31.5" customHeight="1" x14ac:dyDescent="0.6">
      <c r="B4" s="391" t="s">
        <v>490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402"/>
      <c r="C6" s="402"/>
      <c r="D6" s="402"/>
      <c r="E6" s="402"/>
    </row>
    <row r="7" spans="2:10" ht="25.5" customHeight="1" x14ac:dyDescent="0.25">
      <c r="B7" s="7" t="s">
        <v>10</v>
      </c>
      <c r="D7" s="7" t="s">
        <v>273</v>
      </c>
      <c r="F7" s="7" t="s">
        <v>11</v>
      </c>
    </row>
    <row r="8" spans="2:10" ht="25.5" customHeight="1" x14ac:dyDescent="0.25">
      <c r="B8" s="2" t="s">
        <v>13</v>
      </c>
      <c r="D8" s="2" t="s">
        <v>274</v>
      </c>
      <c r="F8" s="2" t="s">
        <v>16</v>
      </c>
    </row>
    <row r="9" spans="2:10" ht="25.5" customHeight="1" x14ac:dyDescent="0.25"/>
    <row r="10" spans="2:10" ht="25.5" customHeight="1" x14ac:dyDescent="0.25">
      <c r="B10" s="7" t="s">
        <v>19</v>
      </c>
      <c r="D10" s="7" t="s">
        <v>12</v>
      </c>
      <c r="F10" s="7" t="s">
        <v>477</v>
      </c>
    </row>
    <row r="11" spans="2:10" ht="19.5" customHeight="1" x14ac:dyDescent="0.25">
      <c r="B11" s="2">
        <v>2018</v>
      </c>
      <c r="D11" s="2" t="s">
        <v>31</v>
      </c>
      <c r="F11" s="2" t="s">
        <v>337</v>
      </c>
    </row>
    <row r="12" spans="2:10" ht="25.5" customHeight="1" x14ac:dyDescent="0.25"/>
    <row r="13" spans="2:10" ht="25.5" customHeight="1" x14ac:dyDescent="0.25">
      <c r="B13" s="7" t="s">
        <v>34</v>
      </c>
      <c r="D13" s="7" t="s">
        <v>291</v>
      </c>
    </row>
    <row r="14" spans="2:10" ht="25.5" customHeight="1" x14ac:dyDescent="0.25">
      <c r="B14" s="2" t="s">
        <v>37</v>
      </c>
      <c r="D14" s="2" t="s">
        <v>18</v>
      </c>
    </row>
    <row r="15" spans="2:10" ht="25.5" customHeight="1" x14ac:dyDescent="0.25">
      <c r="G15" s="130"/>
      <c r="H15" s="130"/>
      <c r="I15" s="131"/>
      <c r="J15" s="130"/>
    </row>
    <row r="16" spans="2:10" ht="25.5" customHeight="1" x14ac:dyDescent="0.25">
      <c r="G16" s="130"/>
      <c r="H16" s="130"/>
      <c r="I16" s="131"/>
      <c r="J16" s="130"/>
    </row>
    <row r="17" spans="2:10" ht="25.5" customHeight="1" x14ac:dyDescent="0.25">
      <c r="G17" s="130"/>
      <c r="H17" s="130"/>
      <c r="I17" s="131"/>
      <c r="J17" s="130"/>
    </row>
    <row r="18" spans="2:10" ht="25.5" customHeight="1" x14ac:dyDescent="0.25">
      <c r="E18" s="7"/>
      <c r="F18" s="7"/>
    </row>
    <row r="19" spans="2:10" x14ac:dyDescent="0.25">
      <c r="B19" s="4" t="s">
        <v>25</v>
      </c>
      <c r="C19" s="5"/>
      <c r="D19" s="5"/>
    </row>
    <row r="20" spans="2:10" ht="33" customHeight="1" x14ac:dyDescent="0.25">
      <c r="B20" s="400" t="s">
        <v>491</v>
      </c>
      <c r="C20" s="401"/>
      <c r="D20" s="401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D113"/>
  <sheetViews>
    <sheetView showGridLines="0" zoomScale="80" zoomScaleNormal="80" zoomScalePageLayoutView="80" workbookViewId="0">
      <pane xSplit="11" ySplit="10" topLeftCell="L38" activePane="bottomRight" state="frozen"/>
      <selection pane="topRight" activeCell="L1" sqref="L1"/>
      <selection pane="bottomLeft" activeCell="A11" sqref="A11"/>
      <selection pane="bottomRight" activeCell="Q51" sqref="Q5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4" width="24.25" hidden="1" customWidth="1"/>
    <col min="5" max="5" width="6.75" hidden="1" customWidth="1"/>
    <col min="6" max="6" width="7.125" hidden="1" customWidth="1"/>
    <col min="7" max="11" width="6.75" hidden="1" customWidth="1"/>
    <col min="12" max="12" width="9.5" bestFit="1" customWidth="1"/>
    <col min="13" max="13" width="9.375" bestFit="1" customWidth="1"/>
    <col min="14" max="15" width="6.75" bestFit="1" customWidth="1"/>
    <col min="16" max="16" width="7.125" style="82" bestFit="1" customWidth="1"/>
    <col min="17" max="17" width="9.5" style="82" bestFit="1" customWidth="1"/>
    <col min="18" max="18" width="8.75" bestFit="1" customWidth="1"/>
    <col min="19" max="20" width="7.625" bestFit="1" customWidth="1"/>
    <col min="21" max="21" width="7.125" bestFit="1" customWidth="1"/>
    <col min="22" max="22" width="9.5" bestFit="1" customWidth="1"/>
    <col min="23" max="23" width="9.625" bestFit="1" customWidth="1"/>
    <col min="24" max="24" width="7.625" bestFit="1" customWidth="1"/>
    <col min="25" max="25" width="15" hidden="1" customWidth="1" outlineLevel="1"/>
    <col min="26" max="27" width="10.5" hidden="1" customWidth="1" outlineLevel="1"/>
    <col min="28" max="28" width="10.5" style="37" hidden="1" customWidth="1" outlineLevel="1"/>
    <col min="29" max="29" width="7.125" hidden="1" customWidth="1" outlineLevel="1"/>
    <col min="30" max="30" width="10.5" hidden="1" customWidth="1" outlineLevel="1"/>
    <col min="31" max="31" width="10.25" hidden="1" customWidth="1" outlineLevel="1"/>
    <col min="32" max="33" width="7.125" hidden="1" customWidth="1" outlineLevel="1"/>
    <col min="34" max="34" width="9.5" hidden="1" customWidth="1" outlineLevel="1"/>
    <col min="35" max="35" width="8.75" hidden="1" customWidth="1" outlineLevel="1"/>
    <col min="36" max="37" width="5.75" hidden="1" customWidth="1" outlineLevel="1"/>
    <col min="38" max="38" width="7.125" hidden="1" customWidth="1" outlineLevel="1"/>
    <col min="39" max="39" width="9.5" hidden="1" customWidth="1" outlineLevel="1"/>
    <col min="40" max="40" width="8.75" hidden="1" customWidth="1" outlineLevel="1"/>
    <col min="41" max="42" width="5.75" hidden="1" customWidth="1" outlineLevel="1"/>
    <col min="43" max="43" width="7.125" hidden="1" customWidth="1" outlineLevel="1"/>
    <col min="44" max="44" width="9.5" hidden="1" customWidth="1" outlineLevel="1"/>
    <col min="45" max="45" width="8.75" hidden="1" customWidth="1" outlineLevel="1"/>
    <col min="46" max="47" width="5.75" hidden="1" customWidth="1" outlineLevel="1"/>
    <col min="48" max="48" width="7.125" hidden="1" customWidth="1" outlineLevel="1"/>
    <col min="49" max="49" width="9.5" hidden="1" customWidth="1" outlineLevel="1"/>
    <col min="50" max="50" width="8.75" hidden="1" customWidth="1" outlineLevel="1"/>
    <col min="51" max="52" width="7.125" hidden="1" customWidth="1" outlineLevel="1"/>
    <col min="53" max="53" width="10.5" bestFit="1" customWidth="1" collapsed="1"/>
    <col min="54" max="54" width="8.75" bestFit="1" customWidth="1"/>
    <col min="55" max="55" width="5.125" hidden="1" customWidth="1" outlineLevel="1"/>
    <col min="56" max="56" width="10.5" hidden="1" customWidth="1" outlineLevel="1"/>
    <col min="57" max="57" width="7.125" hidden="1" customWidth="1" outlineLevel="1"/>
    <col min="58" max="58" width="9.5" hidden="1" customWidth="1" outlineLevel="1"/>
    <col min="59" max="59" width="5.75" hidden="1" customWidth="1" outlineLevel="1"/>
    <col min="60" max="60" width="9.5" hidden="1" customWidth="1" outlineLevel="1"/>
    <col min="61" max="61" width="5.75" hidden="1" customWidth="1" outlineLevel="1"/>
    <col min="62" max="62" width="9.5" hidden="1" customWidth="1" outlineLevel="1"/>
    <col min="63" max="63" width="7.125" hidden="1" customWidth="1" outlineLevel="1"/>
    <col min="64" max="64" width="9.5" hidden="1" customWidth="1" outlineLevel="1"/>
    <col min="65" max="65" width="4.875" hidden="1" customWidth="1" outlineLevel="1"/>
    <col min="66" max="66" width="9.5" hidden="1" customWidth="1" outlineLevel="1"/>
    <col min="67" max="67" width="4.875" hidden="1" customWidth="1" outlineLevel="1"/>
    <col min="68" max="68" width="9.5" hidden="1" customWidth="1" outlineLevel="1"/>
    <col min="69" max="69" width="4.875" hidden="1" customWidth="1" outlineLevel="1"/>
    <col min="70" max="70" width="9.5" hidden="1" customWidth="1" outlineLevel="1"/>
    <col min="71" max="71" width="4.875" style="36" hidden="1" customWidth="1" outlineLevel="1"/>
    <col min="72" max="72" width="10.5" bestFit="1" customWidth="1" collapsed="1"/>
    <col min="73" max="73" width="4.875" hidden="1" customWidth="1" outlineLevel="1"/>
    <col min="74" max="74" width="9.5" hidden="1" customWidth="1" outlineLevel="1"/>
    <col min="75" max="75" width="8.75" hidden="1" customWidth="1" outlineLevel="1"/>
    <col min="76" max="76" width="5.125" hidden="1" customWidth="1" outlineLevel="1"/>
    <col min="77" max="77" width="4.875" hidden="1" customWidth="1" outlineLevel="1"/>
    <col min="78" max="78" width="7.125" hidden="1" customWidth="1" outlineLevel="1"/>
    <col min="79" max="79" width="10.5" hidden="1" customWidth="1" outlineLevel="1"/>
    <col min="80" max="80" width="7.625" hidden="1" customWidth="1" outlineLevel="1"/>
    <col min="81" max="81" width="9.5" hidden="1" customWidth="1" outlineLevel="1"/>
    <col min="82" max="82" width="8.75" style="119" hidden="1" customWidth="1" outlineLevel="1"/>
    <col min="83" max="84" width="7.625" style="37" hidden="1" customWidth="1" outlineLevel="1"/>
    <col min="85" max="85" width="7.125" style="37" hidden="1" customWidth="1" outlineLevel="1"/>
    <col min="86" max="91" width="10.5" hidden="1" customWidth="1" outlineLevel="1"/>
    <col min="92" max="92" width="7.125" hidden="1" customWidth="1" outlineLevel="1"/>
    <col min="93" max="93" width="5.125" hidden="1" customWidth="1" outlineLevel="1"/>
    <col min="94" max="94" width="5.75" hidden="1" customWidth="1" outlineLevel="1"/>
    <col min="95" max="95" width="7.125" hidden="1" customWidth="1" outlineLevel="1"/>
    <col min="96" max="96" width="5.125" hidden="1" customWidth="1" outlineLevel="1"/>
    <col min="97" max="97" width="5.75" hidden="1" customWidth="1" outlineLevel="1"/>
    <col min="98" max="98" width="7.125" hidden="1" customWidth="1" outlineLevel="1"/>
    <col min="99" max="99" width="10.625" hidden="1" customWidth="1" collapsed="1"/>
    <col min="100" max="100" width="18.625" hidden="1" customWidth="1"/>
    <col min="101" max="101" width="10.5" style="45" hidden="1" customWidth="1"/>
    <col min="102" max="102" width="10.5" hidden="1" customWidth="1"/>
    <col min="103" max="103" width="7.125" hidden="1" customWidth="1"/>
    <col min="104" max="104" width="4.625" hidden="1" customWidth="1"/>
    <col min="105" max="107" width="6.25" hidden="1" customWidth="1"/>
    <col min="108" max="108" width="18.625" hidden="1" customWidth="1"/>
    <col min="109" max="109" width="18.625" customWidth="1"/>
  </cols>
  <sheetData>
    <row r="1" spans="1:107" s="38" customFormat="1" hidden="1" x14ac:dyDescent="0.25">
      <c r="A1" s="38" t="s">
        <v>286</v>
      </c>
      <c r="C1" s="74" t="s">
        <v>290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 t="b">
        <f>R79+R113&lt;=0</f>
        <v>1</v>
      </c>
      <c r="O1" s="81"/>
      <c r="P1" s="81"/>
      <c r="Q1" s="42" t="s">
        <v>401</v>
      </c>
      <c r="R1" s="397"/>
      <c r="S1" s="138"/>
      <c r="T1" s="42"/>
      <c r="U1" s="43"/>
      <c r="V1" s="81"/>
      <c r="W1" s="388" t="s">
        <v>475</v>
      </c>
      <c r="X1" s="388"/>
      <c r="Y1" s="43"/>
      <c r="Z1" s="43"/>
      <c r="AA1" s="43"/>
      <c r="AB1" s="43"/>
      <c r="AC1" s="43"/>
      <c r="AD1" s="43"/>
      <c r="AE1" s="43"/>
      <c r="AF1" s="43"/>
      <c r="AG1" s="43"/>
      <c r="AH1" s="42" t="s">
        <v>297</v>
      </c>
      <c r="AI1" s="42"/>
      <c r="AJ1" s="42"/>
      <c r="AK1" s="42"/>
      <c r="AL1" s="43"/>
      <c r="AM1" s="42" t="s">
        <v>298</v>
      </c>
      <c r="AN1" s="42"/>
      <c r="AO1" s="42"/>
      <c r="AP1" s="42"/>
      <c r="AQ1" s="43"/>
      <c r="AR1" s="42" t="s">
        <v>299</v>
      </c>
      <c r="AS1" s="42"/>
      <c r="AT1" s="42"/>
      <c r="AU1" s="42"/>
      <c r="AV1" s="43"/>
      <c r="AW1" s="43"/>
      <c r="AX1" s="43"/>
      <c r="AY1" s="43"/>
      <c r="AZ1" s="43"/>
      <c r="BA1" s="42" t="s">
        <v>402</v>
      </c>
      <c r="BB1" s="42"/>
      <c r="BC1" s="42"/>
      <c r="BD1" s="42"/>
      <c r="BE1" s="43"/>
      <c r="BF1" s="42" t="s">
        <v>388</v>
      </c>
      <c r="BG1" s="42"/>
      <c r="BH1" s="43"/>
      <c r="BI1" s="43"/>
      <c r="BJ1" s="43"/>
      <c r="BK1" s="43"/>
      <c r="BL1" s="42" t="s">
        <v>389</v>
      </c>
      <c r="BM1" s="42"/>
      <c r="BN1" s="42" t="s">
        <v>395</v>
      </c>
      <c r="BO1" s="42"/>
      <c r="BP1" s="42" t="s">
        <v>396</v>
      </c>
      <c r="BQ1" s="42"/>
      <c r="BR1" s="43"/>
      <c r="BS1" s="43"/>
      <c r="BT1" s="42" t="s">
        <v>390</v>
      </c>
      <c r="BU1" s="42"/>
      <c r="BV1" s="42"/>
      <c r="BW1" s="42"/>
      <c r="BX1" s="42"/>
      <c r="BY1" s="42"/>
      <c r="BZ1" s="43"/>
      <c r="CA1" s="42" t="s">
        <v>391</v>
      </c>
      <c r="CB1" s="42"/>
      <c r="CC1" s="42"/>
      <c r="CD1" s="42"/>
      <c r="CE1" s="42"/>
      <c r="CF1" s="42"/>
      <c r="CG1" s="43"/>
      <c r="CH1" s="42" t="s">
        <v>392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U1" s="397" t="s">
        <v>487</v>
      </c>
      <c r="CV1"/>
      <c r="CW1" s="42"/>
      <c r="CX1" s="42"/>
      <c r="CY1" s="42"/>
    </row>
    <row r="2" spans="1:107" s="38" customFormat="1" hidden="1" x14ac:dyDescent="0.25">
      <c r="C2" s="74" t="s">
        <v>289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U2" s="38">
        <v>24</v>
      </c>
      <c r="CV2"/>
      <c r="CW2" s="43">
        <v>9</v>
      </c>
      <c r="CX2" s="42">
        <f>CW2-1</f>
        <v>8</v>
      </c>
      <c r="CY2" s="43"/>
    </row>
    <row r="3" spans="1:107" s="38" customFormat="1" hidden="1" x14ac:dyDescent="0.25">
      <c r="C3" s="74" t="s">
        <v>288</v>
      </c>
      <c r="D3" s="43" t="s">
        <v>304</v>
      </c>
      <c r="E3" s="43" t="s">
        <v>304</v>
      </c>
      <c r="F3" s="43" t="s">
        <v>304</v>
      </c>
      <c r="G3" s="43" t="s">
        <v>304</v>
      </c>
      <c r="H3" s="43" t="s">
        <v>304</v>
      </c>
      <c r="I3" s="43" t="s">
        <v>304</v>
      </c>
      <c r="J3" s="43" t="s">
        <v>304</v>
      </c>
      <c r="K3" s="43" t="s">
        <v>304</v>
      </c>
      <c r="L3" s="43" t="s">
        <v>304</v>
      </c>
      <c r="M3" s="43" t="s">
        <v>304</v>
      </c>
      <c r="N3" s="43" t="s">
        <v>304</v>
      </c>
      <c r="O3" s="43" t="s">
        <v>304</v>
      </c>
      <c r="P3" s="43" t="s">
        <v>304</v>
      </c>
      <c r="Q3" s="43" t="s">
        <v>305</v>
      </c>
      <c r="R3" s="43" t="s">
        <v>305</v>
      </c>
      <c r="S3" s="43" t="s">
        <v>305</v>
      </c>
      <c r="T3" s="43" t="s">
        <v>305</v>
      </c>
      <c r="U3" s="43"/>
      <c r="V3" s="81" t="s">
        <v>304</v>
      </c>
      <c r="W3" s="81" t="s">
        <v>304</v>
      </c>
      <c r="X3" s="81" t="s">
        <v>304</v>
      </c>
      <c r="Y3" s="43" t="s">
        <v>287</v>
      </c>
      <c r="Z3" s="43" t="s">
        <v>287</v>
      </c>
      <c r="AA3" s="43" t="s">
        <v>287</v>
      </c>
      <c r="AB3" s="43" t="s">
        <v>287</v>
      </c>
      <c r="AC3" s="43"/>
      <c r="AD3" s="43" t="s">
        <v>287</v>
      </c>
      <c r="AE3" s="43"/>
      <c r="AF3" s="43"/>
      <c r="AG3" s="43"/>
      <c r="AH3" s="43" t="s">
        <v>304</v>
      </c>
      <c r="AI3" s="43"/>
      <c r="AJ3" s="43"/>
      <c r="AK3" s="43"/>
      <c r="AL3" s="43"/>
      <c r="AM3" s="43" t="s">
        <v>304</v>
      </c>
      <c r="AN3" s="43"/>
      <c r="AO3" s="43"/>
      <c r="AP3" s="43">
        <v>4</v>
      </c>
      <c r="AQ3" s="43"/>
      <c r="AR3" s="43" t="s">
        <v>304</v>
      </c>
      <c r="AS3" s="43"/>
      <c r="AT3" s="43"/>
      <c r="AU3" s="43">
        <v>4</v>
      </c>
      <c r="AV3" s="43"/>
      <c r="AW3" s="43" t="s">
        <v>304</v>
      </c>
      <c r="AX3" s="43"/>
      <c r="AY3" s="43"/>
      <c r="AZ3" s="43"/>
      <c r="BA3" s="43" t="s">
        <v>287</v>
      </c>
      <c r="BB3" s="43"/>
      <c r="BC3" s="43"/>
      <c r="BD3" s="43" t="s">
        <v>287</v>
      </c>
      <c r="BE3" s="43"/>
      <c r="BF3" s="43" t="s">
        <v>306</v>
      </c>
      <c r="BG3" s="43" t="s">
        <v>306</v>
      </c>
      <c r="BH3" s="43" t="s">
        <v>306</v>
      </c>
      <c r="BI3" s="43" t="s">
        <v>306</v>
      </c>
      <c r="BJ3" s="43" t="s">
        <v>304</v>
      </c>
      <c r="BK3" s="43" t="s">
        <v>304</v>
      </c>
      <c r="BL3" s="43" t="s">
        <v>304</v>
      </c>
      <c r="BM3" s="43"/>
      <c r="BN3" s="43" t="s">
        <v>304</v>
      </c>
      <c r="BO3" s="43"/>
      <c r="BP3" s="43" t="s">
        <v>304</v>
      </c>
      <c r="BQ3" s="43"/>
      <c r="BR3" s="43" t="s">
        <v>304</v>
      </c>
      <c r="BS3" s="43"/>
      <c r="BT3" s="43" t="s">
        <v>287</v>
      </c>
      <c r="BU3" s="43"/>
      <c r="BV3" s="43" t="s">
        <v>305</v>
      </c>
      <c r="BW3" s="43"/>
      <c r="BX3" s="43"/>
      <c r="BY3" s="43"/>
      <c r="BZ3" s="43"/>
      <c r="CA3" s="43" t="s">
        <v>287</v>
      </c>
      <c r="CB3" s="43" t="s">
        <v>305</v>
      </c>
      <c r="CC3" s="43" t="s">
        <v>305</v>
      </c>
      <c r="CD3" s="43" t="s">
        <v>305</v>
      </c>
      <c r="CE3" s="43" t="s">
        <v>305</v>
      </c>
      <c r="CF3" s="43" t="s">
        <v>305</v>
      </c>
      <c r="CG3" s="43"/>
      <c r="CH3" s="43" t="s">
        <v>287</v>
      </c>
      <c r="CI3" s="43" t="s">
        <v>287</v>
      </c>
      <c r="CJ3" s="43" t="s">
        <v>287</v>
      </c>
      <c r="CK3" s="43" t="s">
        <v>287</v>
      </c>
      <c r="CL3" s="43" t="s">
        <v>287</v>
      </c>
      <c r="CM3" s="43" t="s">
        <v>287</v>
      </c>
      <c r="CN3" s="43"/>
      <c r="CO3" s="43"/>
      <c r="CP3" s="43"/>
      <c r="CQ3" s="43"/>
      <c r="CR3" s="43"/>
      <c r="CS3" s="43"/>
      <c r="CT3" s="43"/>
      <c r="CU3" s="38" t="s">
        <v>305</v>
      </c>
      <c r="CV3"/>
      <c r="CW3" s="43" t="s">
        <v>287</v>
      </c>
      <c r="CX3" s="43" t="s">
        <v>287</v>
      </c>
      <c r="CY3" s="43"/>
    </row>
    <row r="4" spans="1:107" s="38" customFormat="1" hidden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354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354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354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354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354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354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354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354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U4" s="38" t="str">
        <f>ForecastVer</f>
        <v>MBR</v>
      </c>
      <c r="CV4"/>
      <c r="CW4" s="43" t="str">
        <f>ForecastVer</f>
        <v>MBR</v>
      </c>
      <c r="CX4" s="43" t="str">
        <f>CompareVer</f>
        <v>LY</v>
      </c>
      <c r="CY4" s="43"/>
    </row>
    <row r="5" spans="1:107" ht="33.75" customHeight="1" x14ac:dyDescent="0.7">
      <c r="C5" s="432" t="str">
        <f>"SEASON CODE " &amp; FiscalYr</f>
        <v>SEASON CODE 2018</v>
      </c>
      <c r="D5" s="432"/>
      <c r="E5" s="432"/>
      <c r="F5" s="432"/>
      <c r="G5" s="432"/>
      <c r="H5" s="432"/>
      <c r="I5" s="432"/>
      <c r="J5" s="432"/>
      <c r="K5" s="432"/>
      <c r="L5" s="432"/>
      <c r="M5" s="432"/>
      <c r="N5" s="432"/>
      <c r="O5" s="433"/>
      <c r="P5" s="433"/>
      <c r="Q5" s="433"/>
      <c r="R5" s="433"/>
    </row>
    <row r="6" spans="1:107" ht="19.5" customHeight="1" x14ac:dyDescent="0.35">
      <c r="D6" s="390"/>
      <c r="E6" s="390"/>
      <c r="F6" s="390"/>
      <c r="G6" s="390"/>
      <c r="H6" s="390"/>
      <c r="I6" s="390"/>
      <c r="J6" s="390"/>
      <c r="K6" s="390"/>
      <c r="L6" s="436" t="str">
        <f>FC &amp; " - " &amp; Channel</f>
        <v>GY 18 BTS - Outlet</v>
      </c>
      <c r="M6" s="436"/>
      <c r="N6" s="436"/>
      <c r="O6" s="436"/>
      <c r="P6" s="436"/>
      <c r="Q6" s="436"/>
      <c r="R6" s="390"/>
    </row>
    <row r="7" spans="1:107" s="289" customFormat="1" ht="29.25" customHeight="1" thickBot="1" x14ac:dyDescent="0.3">
      <c r="A7" s="287"/>
      <c r="B7" s="287"/>
      <c r="C7" s="346" t="str">
        <f>IF(NewPlan=TRUE,"New! Push","")</f>
        <v/>
      </c>
      <c r="D7" s="293" t="str">
        <f>IF(Status=0,"",Status)</f>
        <v>No Forecast records found.</v>
      </c>
      <c r="E7" s="288"/>
      <c r="F7" s="288"/>
      <c r="G7" s="288"/>
      <c r="H7" s="288"/>
      <c r="I7" s="288"/>
      <c r="J7" s="288"/>
      <c r="K7" s="288"/>
      <c r="L7" s="431" t="str">
        <f>Status</f>
        <v>No Forecast records found.</v>
      </c>
      <c r="M7" s="431"/>
      <c r="N7" s="431"/>
      <c r="O7" s="431"/>
      <c r="P7" s="431"/>
      <c r="Q7" s="431"/>
      <c r="R7" s="431"/>
      <c r="S7" s="431"/>
      <c r="T7" s="431"/>
      <c r="U7" s="431"/>
      <c r="V7" s="431"/>
      <c r="W7" s="431"/>
      <c r="X7" s="431"/>
      <c r="Y7" s="389" t="s">
        <v>479</v>
      </c>
      <c r="Z7" s="435" t="str">
        <f>FCLY</f>
        <v xml:space="preserve"> </v>
      </c>
      <c r="AA7" s="435"/>
      <c r="AB7" s="435"/>
      <c r="AC7" s="435"/>
      <c r="AD7" s="435"/>
      <c r="AE7" s="435"/>
      <c r="AF7" s="435"/>
      <c r="AG7" s="435"/>
      <c r="AH7" s="435"/>
      <c r="AI7" s="435"/>
      <c r="AJ7" s="435"/>
      <c r="BS7" s="291"/>
      <c r="CD7" s="292"/>
      <c r="CE7" s="290"/>
      <c r="CF7" s="290"/>
      <c r="CG7" s="290"/>
      <c r="CU7"/>
      <c r="CW7" s="45"/>
    </row>
    <row r="8" spans="1:107" s="139" customFormat="1" ht="21.75" thickBot="1" x14ac:dyDescent="0.3">
      <c r="C8" s="140" t="s">
        <v>37</v>
      </c>
      <c r="D8" s="437" t="s">
        <v>405</v>
      </c>
      <c r="E8" s="438"/>
      <c r="F8" s="438"/>
      <c r="G8" s="438"/>
      <c r="H8" s="438"/>
      <c r="I8" s="438"/>
      <c r="J8" s="438"/>
      <c r="K8" s="439"/>
      <c r="L8" s="440" t="s">
        <v>26</v>
      </c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0"/>
      <c r="X8" s="440"/>
      <c r="Y8" s="440"/>
      <c r="Z8" s="440"/>
      <c r="AA8" s="440"/>
      <c r="AB8" s="440"/>
      <c r="AC8" s="440"/>
      <c r="AD8" s="440"/>
      <c r="AE8" s="440"/>
      <c r="AF8" s="440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AQ8" s="440"/>
      <c r="AR8" s="440"/>
      <c r="AS8" s="440"/>
      <c r="AT8" s="440"/>
      <c r="AU8" s="440"/>
      <c r="AV8" s="440"/>
      <c r="AW8" s="440"/>
      <c r="AX8" s="440"/>
      <c r="AY8" s="440"/>
      <c r="AZ8" s="440"/>
      <c r="BA8" s="443" t="s">
        <v>365</v>
      </c>
      <c r="BB8" s="444"/>
      <c r="BC8" s="444"/>
      <c r="BD8" s="444"/>
      <c r="BE8" s="444"/>
      <c r="BF8" s="444"/>
      <c r="BG8" s="444"/>
      <c r="BH8" s="444"/>
      <c r="BI8" s="444"/>
      <c r="BJ8" s="444"/>
      <c r="BK8" s="444"/>
      <c r="BL8" s="444"/>
      <c r="BM8" s="444"/>
      <c r="BN8" s="444"/>
      <c r="BO8" s="444"/>
      <c r="BP8" s="444"/>
      <c r="BQ8" s="444"/>
      <c r="BR8" s="444"/>
      <c r="BS8" s="445"/>
      <c r="BT8" s="421" t="s">
        <v>345</v>
      </c>
      <c r="BU8" s="421"/>
      <c r="BV8" s="421"/>
      <c r="BW8" s="421"/>
      <c r="BX8" s="421"/>
      <c r="BY8" s="421"/>
      <c r="BZ8" s="421"/>
      <c r="CA8" s="421"/>
      <c r="CB8" s="421"/>
      <c r="CC8" s="421"/>
      <c r="CD8" s="421"/>
      <c r="CE8" s="421"/>
      <c r="CF8" s="421"/>
      <c r="CG8" s="421"/>
      <c r="CH8" s="421"/>
      <c r="CI8" s="421"/>
      <c r="CJ8" s="421"/>
      <c r="CK8" s="421"/>
      <c r="CL8" s="421"/>
      <c r="CM8" s="421"/>
      <c r="CN8" s="421"/>
      <c r="CO8" s="421"/>
      <c r="CP8" s="421"/>
      <c r="CQ8" s="421"/>
      <c r="CR8" s="421"/>
      <c r="CS8" s="421"/>
      <c r="CT8" s="422"/>
      <c r="CW8" s="141"/>
      <c r="CX8" s="142"/>
      <c r="CY8" s="142"/>
      <c r="CZ8" s="143"/>
      <c r="DA8" s="144"/>
      <c r="DB8" s="144"/>
      <c r="DC8" s="145"/>
    </row>
    <row r="9" spans="1:107" s="139" customFormat="1" ht="21.75" thickBot="1" x14ac:dyDescent="0.4">
      <c r="C9" s="286"/>
      <c r="D9" s="441" t="s">
        <v>358</v>
      </c>
      <c r="E9" s="420"/>
      <c r="F9" s="420"/>
      <c r="G9" s="420"/>
      <c r="H9" s="420"/>
      <c r="I9" s="420"/>
      <c r="J9" s="420"/>
      <c r="K9" s="442"/>
      <c r="L9" s="420" t="s">
        <v>6</v>
      </c>
      <c r="M9" s="420"/>
      <c r="N9" s="420"/>
      <c r="O9" s="420"/>
      <c r="P9" s="446"/>
      <c r="Q9" s="423" t="s">
        <v>8</v>
      </c>
      <c r="R9" s="424"/>
      <c r="S9" s="424"/>
      <c r="T9" s="447"/>
      <c r="U9" s="448"/>
      <c r="V9" s="449" t="s">
        <v>359</v>
      </c>
      <c r="W9" s="450"/>
      <c r="X9" s="451"/>
      <c r="Y9" s="419" t="s">
        <v>360</v>
      </c>
      <c r="Z9" s="420"/>
      <c r="AA9" s="419"/>
      <c r="AB9" s="420"/>
      <c r="AC9" s="446"/>
      <c r="AD9" s="419" t="s">
        <v>4</v>
      </c>
      <c r="AE9" s="420"/>
      <c r="AF9" s="420"/>
      <c r="AG9" s="420"/>
      <c r="AH9" s="410" t="s">
        <v>1</v>
      </c>
      <c r="AI9" s="411"/>
      <c r="AJ9" s="411"/>
      <c r="AK9" s="411"/>
      <c r="AL9" s="412"/>
      <c r="AM9" s="423" t="s">
        <v>2</v>
      </c>
      <c r="AN9" s="424"/>
      <c r="AO9" s="424"/>
      <c r="AP9" s="424"/>
      <c r="AQ9" s="425"/>
      <c r="AR9" s="410" t="s">
        <v>3</v>
      </c>
      <c r="AS9" s="411"/>
      <c r="AT9" s="411"/>
      <c r="AU9" s="411"/>
      <c r="AV9" s="411"/>
      <c r="AW9" s="426" t="s">
        <v>7</v>
      </c>
      <c r="AX9" s="427"/>
      <c r="AY9" s="427"/>
      <c r="AZ9" s="427"/>
      <c r="BA9" s="428" t="s">
        <v>403</v>
      </c>
      <c r="BB9" s="429"/>
      <c r="BC9" s="429"/>
      <c r="BD9" s="429"/>
      <c r="BE9" s="430"/>
      <c r="BF9" s="410" t="s">
        <v>404</v>
      </c>
      <c r="BG9" s="411"/>
      <c r="BH9" s="426" t="s">
        <v>272</v>
      </c>
      <c r="BI9" s="427"/>
      <c r="BJ9" s="434" t="s">
        <v>361</v>
      </c>
      <c r="BK9" s="427"/>
      <c r="BL9" s="410" t="s">
        <v>44</v>
      </c>
      <c r="BM9" s="411"/>
      <c r="BN9" s="410" t="s">
        <v>362</v>
      </c>
      <c r="BO9" s="411"/>
      <c r="BP9" s="410" t="s">
        <v>363</v>
      </c>
      <c r="BQ9" s="411"/>
      <c r="BR9" s="426" t="s">
        <v>364</v>
      </c>
      <c r="BS9" s="427"/>
      <c r="BT9" s="410" t="s">
        <v>346</v>
      </c>
      <c r="BU9" s="411"/>
      <c r="BV9" s="411"/>
      <c r="BW9" s="411"/>
      <c r="BX9" s="411"/>
      <c r="BY9" s="411"/>
      <c r="BZ9" s="412"/>
      <c r="CA9" s="410" t="s">
        <v>5</v>
      </c>
      <c r="CB9" s="411"/>
      <c r="CC9" s="411"/>
      <c r="CD9" s="411"/>
      <c r="CE9" s="411"/>
      <c r="CF9" s="411"/>
      <c r="CG9" s="412"/>
      <c r="CH9" s="410" t="s">
        <v>347</v>
      </c>
      <c r="CI9" s="411"/>
      <c r="CJ9" s="411"/>
      <c r="CK9" s="411"/>
      <c r="CL9" s="411"/>
      <c r="CM9" s="411"/>
      <c r="CN9" s="412"/>
      <c r="CO9" s="413" t="s">
        <v>1</v>
      </c>
      <c r="CP9" s="414"/>
      <c r="CQ9" s="415"/>
      <c r="CR9" s="416" t="s">
        <v>3</v>
      </c>
      <c r="CS9" s="417"/>
      <c r="CT9" s="418"/>
      <c r="CU9" s="139" t="s">
        <v>8</v>
      </c>
      <c r="CW9" s="404" t="s">
        <v>29</v>
      </c>
      <c r="CX9" s="405"/>
      <c r="CY9" s="406"/>
      <c r="CZ9" s="407" t="s">
        <v>335</v>
      </c>
      <c r="DA9" s="408"/>
      <c r="DB9" s="408"/>
      <c r="DC9" s="409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353</v>
      </c>
      <c r="F10" s="152" t="s">
        <v>4</v>
      </c>
      <c r="G10" s="152" t="s">
        <v>355</v>
      </c>
      <c r="H10" s="152" t="s">
        <v>2</v>
      </c>
      <c r="I10" s="152" t="s">
        <v>3</v>
      </c>
      <c r="J10" s="152" t="s">
        <v>356</v>
      </c>
      <c r="K10" s="294" t="s">
        <v>357</v>
      </c>
      <c r="L10" s="153" t="s">
        <v>358</v>
      </c>
      <c r="M10" s="153" t="s">
        <v>344</v>
      </c>
      <c r="N10" s="153" t="s">
        <v>354</v>
      </c>
      <c r="O10" s="153" t="s">
        <v>18</v>
      </c>
      <c r="P10" s="154" t="s">
        <v>24</v>
      </c>
      <c r="Q10" s="155" t="s">
        <v>358</v>
      </c>
      <c r="R10" s="153" t="s">
        <v>344</v>
      </c>
      <c r="S10" s="153" t="s">
        <v>354</v>
      </c>
      <c r="T10" s="153" t="s">
        <v>18</v>
      </c>
      <c r="U10" s="154" t="s">
        <v>24</v>
      </c>
      <c r="V10" s="156" t="s">
        <v>358</v>
      </c>
      <c r="W10" s="153" t="s">
        <v>344</v>
      </c>
      <c r="X10" s="157" t="s">
        <v>18</v>
      </c>
      <c r="Y10" s="155" t="s">
        <v>358</v>
      </c>
      <c r="Z10" s="153" t="s">
        <v>344</v>
      </c>
      <c r="AA10" s="153" t="s">
        <v>354</v>
      </c>
      <c r="AB10" s="153" t="s">
        <v>18</v>
      </c>
      <c r="AC10" s="154" t="s">
        <v>24</v>
      </c>
      <c r="AD10" s="155" t="s">
        <v>358</v>
      </c>
      <c r="AE10" s="153" t="s">
        <v>344</v>
      </c>
      <c r="AF10" s="153" t="s">
        <v>354</v>
      </c>
      <c r="AG10" s="153" t="s">
        <v>18</v>
      </c>
      <c r="AH10" s="155" t="s">
        <v>358</v>
      </c>
      <c r="AI10" s="153" t="s">
        <v>344</v>
      </c>
      <c r="AJ10" s="153" t="s">
        <v>354</v>
      </c>
      <c r="AK10" s="153" t="s">
        <v>18</v>
      </c>
      <c r="AL10" s="154" t="s">
        <v>24</v>
      </c>
      <c r="AM10" s="155" t="s">
        <v>358</v>
      </c>
      <c r="AN10" s="153" t="s">
        <v>344</v>
      </c>
      <c r="AO10" s="153" t="s">
        <v>354</v>
      </c>
      <c r="AP10" s="153" t="s">
        <v>18</v>
      </c>
      <c r="AQ10" s="154" t="s">
        <v>24</v>
      </c>
      <c r="AR10" s="155" t="s">
        <v>358</v>
      </c>
      <c r="AS10" s="153" t="s">
        <v>344</v>
      </c>
      <c r="AT10" s="153" t="s">
        <v>354</v>
      </c>
      <c r="AU10" s="153" t="s">
        <v>18</v>
      </c>
      <c r="AV10" s="154" t="s">
        <v>24</v>
      </c>
      <c r="AW10" s="155" t="s">
        <v>358</v>
      </c>
      <c r="AX10" s="153" t="s">
        <v>344</v>
      </c>
      <c r="AY10" s="153" t="s">
        <v>354</v>
      </c>
      <c r="AZ10" s="153" t="s">
        <v>18</v>
      </c>
      <c r="BA10" s="155" t="s">
        <v>358</v>
      </c>
      <c r="BB10" s="153" t="s">
        <v>344</v>
      </c>
      <c r="BC10" s="153" t="s">
        <v>354</v>
      </c>
      <c r="BD10" s="153" t="s">
        <v>18</v>
      </c>
      <c r="BE10" s="154" t="s">
        <v>24</v>
      </c>
      <c r="BF10" s="155" t="s">
        <v>358</v>
      </c>
      <c r="BG10" s="153" t="s">
        <v>18</v>
      </c>
      <c r="BH10" s="155" t="s">
        <v>358</v>
      </c>
      <c r="BI10" s="153" t="s">
        <v>18</v>
      </c>
      <c r="BJ10" s="158" t="s">
        <v>358</v>
      </c>
      <c r="BK10" s="159" t="s">
        <v>18</v>
      </c>
      <c r="BL10" s="155" t="s">
        <v>358</v>
      </c>
      <c r="BM10" s="153" t="s">
        <v>18</v>
      </c>
      <c r="BN10" s="155" t="s">
        <v>358</v>
      </c>
      <c r="BO10" s="153" t="s">
        <v>18</v>
      </c>
      <c r="BP10" s="155" t="s">
        <v>358</v>
      </c>
      <c r="BQ10" s="153" t="s">
        <v>18</v>
      </c>
      <c r="BR10" s="155" t="s">
        <v>358</v>
      </c>
      <c r="BS10" s="153" t="s">
        <v>18</v>
      </c>
      <c r="BT10" s="155" t="s">
        <v>43</v>
      </c>
      <c r="BU10" s="153" t="s">
        <v>42</v>
      </c>
      <c r="BV10" s="153" t="s">
        <v>358</v>
      </c>
      <c r="BW10" s="153" t="s">
        <v>344</v>
      </c>
      <c r="BX10" s="153" t="s">
        <v>354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358</v>
      </c>
      <c r="CD10" s="153" t="s">
        <v>344</v>
      </c>
      <c r="CE10" s="153" t="s">
        <v>354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358</v>
      </c>
      <c r="CK10" s="153" t="s">
        <v>344</v>
      </c>
      <c r="CL10" s="153" t="s">
        <v>354</v>
      </c>
      <c r="CM10" s="153" t="s">
        <v>18</v>
      </c>
      <c r="CN10" s="154" t="s">
        <v>24</v>
      </c>
      <c r="CO10" s="153" t="s">
        <v>354</v>
      </c>
      <c r="CP10" s="153" t="s">
        <v>18</v>
      </c>
      <c r="CQ10" s="153" t="s">
        <v>24</v>
      </c>
      <c r="CR10" s="160" t="s">
        <v>354</v>
      </c>
      <c r="CS10" s="161" t="s">
        <v>18</v>
      </c>
      <c r="CT10" s="162" t="s">
        <v>24</v>
      </c>
      <c r="CU10" s="139" t="s">
        <v>358</v>
      </c>
      <c r="CW10" s="163" t="s">
        <v>358</v>
      </c>
      <c r="CX10" s="164" t="s">
        <v>18</v>
      </c>
      <c r="CY10" s="165" t="s">
        <v>24</v>
      </c>
      <c r="CZ10" s="166" t="s">
        <v>334</v>
      </c>
      <c r="DA10" s="167" t="s">
        <v>298</v>
      </c>
      <c r="DB10" s="167" t="s">
        <v>297</v>
      </c>
      <c r="DC10" s="168" t="s">
        <v>299</v>
      </c>
    </row>
    <row r="11" spans="1:107" s="44" customFormat="1" x14ac:dyDescent="0.25">
      <c r="A11" s="44" t="s">
        <v>301</v>
      </c>
      <c r="B11" s="44">
        <v>2018</v>
      </c>
      <c r="C11" s="88">
        <v>1</v>
      </c>
      <c r="D11" s="89">
        <f>G11*H11</f>
        <v>0</v>
      </c>
      <c r="E11" s="198">
        <f>IFERROR(D11*F11,0)</f>
        <v>0</v>
      </c>
      <c r="F11" s="199">
        <f t="shared" ref="F11" si="3">IF(H11&lt;&gt;0,1-I11/H11,0)</f>
        <v>0</v>
      </c>
      <c r="G11" s="197">
        <f t="shared" ref="G11:I14" si="4">IFERROR(VLOOKUP($B11 &amp; $C11&amp;G$4&amp;$A11,tblForecast,G$2,FALSE),0)</f>
        <v>0</v>
      </c>
      <c r="H11" s="200">
        <f t="shared" si="4"/>
        <v>0</v>
      </c>
      <c r="I11" s="200">
        <f t="shared" si="4"/>
        <v>0</v>
      </c>
      <c r="J11" s="197">
        <f>IFERROR(VLOOKUP($B11 &amp; $C11&amp;J$4&amp;$A11,tblForecast,J$2,FALSE),0)+IFERROR(VLOOKUP($B11 &amp; $C11 &amp; J$4 &amp; $A11,tblForecast,J$2+1,FALSE),0)</f>
        <v>0</v>
      </c>
      <c r="K11" s="295">
        <f>IFERROR(VLOOKUP($B11 &amp; $C11&amp;K$4&amp;$A11,tblForecast,K$2+2,FALSE),0)</f>
        <v>0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U11" s="44">
        <f>IFERROR(VLOOKUP($B11 &amp; $C11&amp;CU$4,tblForecast,CU$2,FALSE),0)</f>
        <v>0</v>
      </c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s="44" customFormat="1" x14ac:dyDescent="0.25">
      <c r="A12" s="44" t="s">
        <v>301</v>
      </c>
      <c r="B12" s="44">
        <v>2018</v>
      </c>
      <c r="C12" s="88">
        <v>2</v>
      </c>
      <c r="D12" s="97">
        <f t="shared" ref="D12:D14" si="37">G12*H12</f>
        <v>0</v>
      </c>
      <c r="E12" s="201">
        <f t="shared" ref="E12:E14" si="38">IFERROR(D12*F12,0)</f>
        <v>0</v>
      </c>
      <c r="F12" s="181">
        <f>IF(H12&lt;&gt;0,1-I12/H12,0)</f>
        <v>0</v>
      </c>
      <c r="G12" s="175">
        <f t="shared" si="4"/>
        <v>0</v>
      </c>
      <c r="H12" s="202">
        <f t="shared" si="4"/>
        <v>0</v>
      </c>
      <c r="I12" s="202">
        <f t="shared" si="4"/>
        <v>0</v>
      </c>
      <c r="J12" s="175">
        <f>IFERROR(VLOOKUP($B12 &amp; $C12&amp;J$4&amp;$A12,tblForecast,J$2,FALSE),0)+IFERROR(VLOOKUP($B12 &amp; $C12 &amp; J$4 &amp; $A12,tblForecast,J$2+1,FALSE),0)</f>
        <v>0</v>
      </c>
      <c r="K12" s="296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U12" s="44">
        <f>IFERROR(VLOOKUP($B12 &amp; $C12&amp;CU$4,tblForecast,CU$2,FALSE),0)</f>
        <v>0</v>
      </c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s="44" customFormat="1" x14ac:dyDescent="0.25">
      <c r="A13" s="44" t="s">
        <v>301</v>
      </c>
      <c r="B13" s="44">
        <v>2018</v>
      </c>
      <c r="C13" s="88">
        <v>3</v>
      </c>
      <c r="D13" s="97">
        <f t="shared" si="37"/>
        <v>0</v>
      </c>
      <c r="E13" s="201">
        <f t="shared" si="38"/>
        <v>0</v>
      </c>
      <c r="F13" s="181">
        <f t="shared" ref="F13:F76" si="45">IF(H13&lt;&gt;0,1-I13/H13,0)</f>
        <v>0</v>
      </c>
      <c r="G13" s="175">
        <f t="shared" si="4"/>
        <v>0</v>
      </c>
      <c r="H13" s="202">
        <f t="shared" si="4"/>
        <v>0</v>
      </c>
      <c r="I13" s="202">
        <f t="shared" si="4"/>
        <v>0</v>
      </c>
      <c r="J13" s="175">
        <f>IFERROR(VLOOKUP($B13 &amp; $C13&amp;J$4&amp;$A13,tblForecast,J$2,FALSE),0)+IFERROR(VLOOKUP($B13 &amp; $C13 &amp; J$4 &amp; $A13,tblForecast,J$2+1,FALSE),0)</f>
        <v>0</v>
      </c>
      <c r="K13" s="296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U13" s="44">
        <f>IFERROR(VLOOKUP($B13 &amp; $C13&amp;CU$4,tblForecast,CU$2,FALSE),0)</f>
        <v>0</v>
      </c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301</v>
      </c>
      <c r="B14" s="44">
        <v>2018</v>
      </c>
      <c r="C14" s="88">
        <v>4</v>
      </c>
      <c r="D14" s="98">
        <f t="shared" si="37"/>
        <v>0</v>
      </c>
      <c r="E14" s="201">
        <f t="shared" si="38"/>
        <v>0</v>
      </c>
      <c r="F14" s="181">
        <f t="shared" si="45"/>
        <v>0</v>
      </c>
      <c r="G14" s="175">
        <f t="shared" si="4"/>
        <v>0</v>
      </c>
      <c r="H14" s="202">
        <f t="shared" si="4"/>
        <v>0</v>
      </c>
      <c r="I14" s="202">
        <f t="shared" si="4"/>
        <v>0</v>
      </c>
      <c r="J14" s="175">
        <f>IFERROR(VLOOKUP($B14 &amp; $C14&amp;J$4&amp;$A14,tblForecast,J$2,FALSE),0)+IFERROR(VLOOKUP($B14 &amp; $C14 &amp; J$4 &amp; $A14,tblForecast,J$2+1,FALSE),0)</f>
        <v>0</v>
      </c>
      <c r="K14" s="296">
        <f>IFERROR(VLOOKUP($B14 &amp; $C14&amp;K$4&amp;$A14,tblForecast,K$2+2,FALSE),0)</f>
        <v>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U14" s="44">
        <f>IFERROR(VLOOKUP($B14 &amp; $C14&amp;CU$4,tblForecast,CU$2,FALSE),0)</f>
        <v>0</v>
      </c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s="44" customFormat="1" ht="16.5" thickBot="1" x14ac:dyDescent="0.3">
      <c r="C15" s="251" t="s">
        <v>20</v>
      </c>
      <c r="D15" s="252">
        <f t="shared" ref="D15:E15" si="48">SUM(D11:D14)</f>
        <v>0</v>
      </c>
      <c r="E15" s="253">
        <f t="shared" si="48"/>
        <v>0</v>
      </c>
      <c r="F15" s="254">
        <f t="shared" si="45"/>
        <v>0</v>
      </c>
      <c r="G15" s="255">
        <f>SUM(G11:G14)</f>
        <v>0</v>
      </c>
      <c r="H15" s="256">
        <f>IFERROR(D15/G15,0)</f>
        <v>0</v>
      </c>
      <c r="I15" s="256">
        <f>IFERROR(SUMPRODUCT(I11:I14,G11:G14)/G15,0)</f>
        <v>0</v>
      </c>
      <c r="J15" s="255">
        <f>SUM(J11:J14)</f>
        <v>0</v>
      </c>
      <c r="K15" s="297">
        <f>SUM(K11:K14)</f>
        <v>0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U15" s="44">
        <f>SUM(CU11:CU14)</f>
        <v>0</v>
      </c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s="44" customFormat="1" x14ac:dyDescent="0.25">
      <c r="A16" s="44" t="s">
        <v>301</v>
      </c>
      <c r="B16" s="44">
        <v>2018</v>
      </c>
      <c r="C16" s="88">
        <v>5</v>
      </c>
      <c r="D16" s="97">
        <f>G16*H16</f>
        <v>0</v>
      </c>
      <c r="E16" s="198">
        <f>IFERROR(D16*F16,0)</f>
        <v>0</v>
      </c>
      <c r="F16" s="199">
        <f t="shared" si="45"/>
        <v>0</v>
      </c>
      <c r="G16" s="197">
        <f t="shared" ref="G16:I20" si="57">IFERROR(VLOOKUP($B16 &amp; $C16&amp;G$4&amp;$A16,tblForecast,G$2,FALSE),0)</f>
        <v>0</v>
      </c>
      <c r="H16" s="200">
        <f t="shared" si="57"/>
        <v>0</v>
      </c>
      <c r="I16" s="200">
        <f t="shared" si="57"/>
        <v>0</v>
      </c>
      <c r="J16" s="197">
        <f>IFERROR(VLOOKUP($B16 &amp; $C16&amp;J$4&amp;$A16,tblForecast,J$2,FALSE),0)+IFERROR(VLOOKUP($B16 &amp; $C16 &amp; J$4 &amp; $A16,tblForecast,J$2+1,FALSE),0)</f>
        <v>0</v>
      </c>
      <c r="K16" s="295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U16" s="44">
        <f>IFERROR(VLOOKUP($B16 &amp; $C16&amp;CU$4,tblForecast,CU$2,FALSE),0)</f>
        <v>0</v>
      </c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s="44" customFormat="1" x14ac:dyDescent="0.25">
      <c r="A17" s="44" t="s">
        <v>301</v>
      </c>
      <c r="B17" s="44">
        <v>2018</v>
      </c>
      <c r="C17" s="88">
        <v>6</v>
      </c>
      <c r="D17" s="97">
        <f t="shared" ref="D17:D20" si="74">G17*H17</f>
        <v>0</v>
      </c>
      <c r="E17" s="201">
        <f t="shared" ref="E17:E20" si="75">IFERROR(D17*F17,0)</f>
        <v>0</v>
      </c>
      <c r="F17" s="181">
        <f t="shared" si="45"/>
        <v>0</v>
      </c>
      <c r="G17" s="175">
        <f t="shared" si="57"/>
        <v>0</v>
      </c>
      <c r="H17" s="202">
        <f t="shared" si="57"/>
        <v>0</v>
      </c>
      <c r="I17" s="202">
        <f t="shared" si="57"/>
        <v>0</v>
      </c>
      <c r="J17" s="175">
        <f>IFERROR(VLOOKUP($B17 &amp; $C17&amp;J$4&amp;$A17,tblForecast,J$2,FALSE),0)+IFERROR(VLOOKUP($B17 &amp; $C17 &amp; J$4 &amp; $A17,tblForecast,J$2+1,FALSE),0)</f>
        <v>0</v>
      </c>
      <c r="K17" s="296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W20" si="76">IFERROR(IF(Q16&lt;&gt;0,Q17/Q16,0),0)</f>
        <v>0</v>
      </c>
      <c r="W17" s="324">
        <f t="shared" si="76"/>
        <v>0</v>
      </c>
      <c r="X17" s="244">
        <f t="shared" ref="X17:X20" ca="1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U17" s="44">
        <f>IFERROR(VLOOKUP($B17 &amp; $C17&amp;CU$4,tblForecast,CU$2,FALSE),0)</f>
        <v>0</v>
      </c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s="44" customFormat="1" x14ac:dyDescent="0.25">
      <c r="A18" s="44" t="s">
        <v>301</v>
      </c>
      <c r="B18" s="44">
        <v>2018</v>
      </c>
      <c r="C18" s="88">
        <v>7</v>
      </c>
      <c r="D18" s="97">
        <f t="shared" si="74"/>
        <v>0</v>
      </c>
      <c r="E18" s="201">
        <f t="shared" si="75"/>
        <v>0</v>
      </c>
      <c r="F18" s="181">
        <f t="shared" si="45"/>
        <v>0</v>
      </c>
      <c r="G18" s="175">
        <f t="shared" si="57"/>
        <v>0</v>
      </c>
      <c r="H18" s="202">
        <f t="shared" si="57"/>
        <v>0</v>
      </c>
      <c r="I18" s="202">
        <f t="shared" si="57"/>
        <v>0</v>
      </c>
      <c r="J18" s="175">
        <f>IFERROR(VLOOKUP($B18 &amp; $C18&amp;J$4&amp;$A18,tblForecast,J$2,FALSE),0)+IFERROR(VLOOKUP($B18 &amp; $C18 &amp; J$4 &amp; $A18,tblForecast,J$2+1,FALSE),0)</f>
        <v>0</v>
      </c>
      <c r="K18" s="296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6"/>
        <v>0</v>
      </c>
      <c r="X18" s="244">
        <f t="shared" ca="1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U18" s="44">
        <f>IFERROR(VLOOKUP($B18 &amp; $C18&amp;CU$4,tblForecast,CU$2,FALSE),0)</f>
        <v>0</v>
      </c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s="44" customFormat="1" x14ac:dyDescent="0.25">
      <c r="A19" s="44" t="s">
        <v>301</v>
      </c>
      <c r="B19" s="44">
        <v>2018</v>
      </c>
      <c r="C19" s="88">
        <v>8</v>
      </c>
      <c r="D19" s="97">
        <f t="shared" si="74"/>
        <v>0</v>
      </c>
      <c r="E19" s="201">
        <f t="shared" si="75"/>
        <v>0</v>
      </c>
      <c r="F19" s="181">
        <f t="shared" si="45"/>
        <v>0</v>
      </c>
      <c r="G19" s="175">
        <f t="shared" si="57"/>
        <v>0</v>
      </c>
      <c r="H19" s="202">
        <f t="shared" si="57"/>
        <v>0</v>
      </c>
      <c r="I19" s="202">
        <f t="shared" si="57"/>
        <v>0</v>
      </c>
      <c r="J19" s="175">
        <f>IFERROR(VLOOKUP($B19 &amp; $C19&amp;J$4&amp;$A19,tblForecast,J$2,FALSE),0)+IFERROR(VLOOKUP($B19 &amp; $C19 &amp; J$4 &amp; $A19,tblForecast,J$2+1,FALSE),0)</f>
        <v>0</v>
      </c>
      <c r="K19" s="296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6"/>
        <v>0</v>
      </c>
      <c r="X19" s="244">
        <f t="shared" ca="1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U19" s="44">
        <f>IFERROR(VLOOKUP($B19 &amp; $C19&amp;CU$4,tblForecast,CU$2,FALSE),0)</f>
        <v>0</v>
      </c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301</v>
      </c>
      <c r="B20" s="44">
        <v>2018</v>
      </c>
      <c r="C20" s="88">
        <v>9</v>
      </c>
      <c r="D20" s="97">
        <f t="shared" si="74"/>
        <v>0</v>
      </c>
      <c r="E20" s="201">
        <f t="shared" si="75"/>
        <v>0</v>
      </c>
      <c r="F20" s="181">
        <f t="shared" si="45"/>
        <v>0</v>
      </c>
      <c r="G20" s="175">
        <f t="shared" si="57"/>
        <v>0</v>
      </c>
      <c r="H20" s="202">
        <f t="shared" si="57"/>
        <v>0</v>
      </c>
      <c r="I20" s="202">
        <f t="shared" si="57"/>
        <v>0</v>
      </c>
      <c r="J20" s="175">
        <f>IFERROR(VLOOKUP($B20 &amp; $C20&amp;J$4&amp;$A20,tblForecast,J$2,FALSE),0)+IFERROR(VLOOKUP($B20 &amp; $C20 &amp; J$4 &amp; $A20,tblForecast,J$2+1,FALSE),0)</f>
        <v>0</v>
      </c>
      <c r="K20" s="296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6"/>
        <v>0</v>
      </c>
      <c r="X20" s="244">
        <f t="shared" ca="1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U20" s="44">
        <f>IFERROR(VLOOKUP($B20 &amp; $C20&amp;CU$4,tblForecast,CU$2,FALSE),0)</f>
        <v>0</v>
      </c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s="44" customFormat="1" ht="16.5" thickBot="1" x14ac:dyDescent="0.3">
      <c r="C21" s="251" t="s">
        <v>21</v>
      </c>
      <c r="D21" s="252">
        <f>SUM(D16:D20)</f>
        <v>0</v>
      </c>
      <c r="E21" s="253">
        <f>SUM(E16:E20)</f>
        <v>0</v>
      </c>
      <c r="F21" s="254">
        <f t="shared" si="45"/>
        <v>0</v>
      </c>
      <c r="G21" s="255">
        <f>SUM(G16:G20)</f>
        <v>0</v>
      </c>
      <c r="H21" s="256">
        <f>IFERROR(D21/G21,0)</f>
        <v>0</v>
      </c>
      <c r="I21" s="256">
        <f>IFERROR(SUMPRODUCT(I16:I20,G16:G20)/G21,0)</f>
        <v>0</v>
      </c>
      <c r="J21" s="255">
        <f>SUM(J16:J20)</f>
        <v>0</v>
      </c>
      <c r="K21" s="297">
        <f>SUM(K16:K20)</f>
        <v>0</v>
      </c>
      <c r="L21" s="257">
        <f>SUM(L16:L20)</f>
        <v>0</v>
      </c>
      <c r="M21" s="257">
        <f t="shared" ref="M21:O21" si="78">SUM(M16:M20)</f>
        <v>0</v>
      </c>
      <c r="N21" s="257">
        <f t="shared" si="78"/>
        <v>0</v>
      </c>
      <c r="O21" s="257">
        <f t="shared" ca="1" si="78"/>
        <v>0</v>
      </c>
      <c r="P21" s="258">
        <f t="shared" ca="1" si="39"/>
        <v>0</v>
      </c>
      <c r="Q21" s="259">
        <f>SUM(Q16:Q20)</f>
        <v>0</v>
      </c>
      <c r="R21" s="260">
        <f t="shared" ref="R21:S21" si="79">SUM(R16:R20)</f>
        <v>0</v>
      </c>
      <c r="S21" s="260">
        <f t="shared" si="79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0">SUM(Z16:Z20)</f>
        <v>0</v>
      </c>
      <c r="AA21" s="257">
        <f t="shared" si="80"/>
        <v>0</v>
      </c>
      <c r="AB21" s="257">
        <f t="shared" ca="1" si="80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1">BB20</f>
        <v>0</v>
      </c>
      <c r="BC21" s="260">
        <f t="shared" si="81"/>
        <v>0</v>
      </c>
      <c r="BD21" s="260">
        <f t="shared" ca="1" si="81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2">SUM(BO16:BO20)</f>
        <v>0</v>
      </c>
      <c r="BP21" s="259">
        <f>SUM(BP16:BP20)</f>
        <v>0</v>
      </c>
      <c r="BQ21" s="260">
        <f t="shared" ca="1" si="82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3">SUM(BT16:BT20)</f>
        <v>0</v>
      </c>
      <c r="BU21" s="260">
        <f t="shared" si="83"/>
        <v>0</v>
      </c>
      <c r="BV21" s="260">
        <f>SUM(BV16:BV20)</f>
        <v>0</v>
      </c>
      <c r="BW21" s="260">
        <f t="shared" si="83"/>
        <v>0</v>
      </c>
      <c r="BX21" s="260">
        <f t="shared" si="83"/>
        <v>0</v>
      </c>
      <c r="BY21" s="273">
        <f t="shared" ca="1" si="83"/>
        <v>0</v>
      </c>
      <c r="BZ21" s="258">
        <f t="shared" ca="1" si="25"/>
        <v>0</v>
      </c>
      <c r="CA21" s="257">
        <f t="shared" ref="CA21:CF21" si="84">SUM(CA16:CA20)</f>
        <v>0</v>
      </c>
      <c r="CB21" s="257">
        <f t="shared" si="84"/>
        <v>0</v>
      </c>
      <c r="CC21" s="257">
        <f>SUM(CC16:CC20)</f>
        <v>0</v>
      </c>
      <c r="CD21" s="257">
        <f t="shared" si="84"/>
        <v>0</v>
      </c>
      <c r="CE21" s="257">
        <f t="shared" si="84"/>
        <v>0</v>
      </c>
      <c r="CF21" s="257">
        <f t="shared" ca="1" si="84"/>
        <v>0</v>
      </c>
      <c r="CG21" s="258">
        <f t="shared" ca="1" si="28"/>
        <v>0</v>
      </c>
      <c r="CH21" s="257">
        <f t="shared" ref="CH21:CM21" si="85">SUM(CH16:CH20)</f>
        <v>0</v>
      </c>
      <c r="CI21" s="257">
        <f t="shared" si="85"/>
        <v>0</v>
      </c>
      <c r="CJ21" s="257">
        <f>SUM(CJ16:CJ20)</f>
        <v>0</v>
      </c>
      <c r="CK21" s="257">
        <f t="shared" si="85"/>
        <v>0</v>
      </c>
      <c r="CL21" s="257">
        <f t="shared" si="85"/>
        <v>0</v>
      </c>
      <c r="CM21" s="257">
        <f t="shared" ca="1" si="85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U21" s="44">
        <f>SUM(CU16:CU20)</f>
        <v>0</v>
      </c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s="44" customFormat="1" x14ac:dyDescent="0.25">
      <c r="A22" s="44" t="s">
        <v>301</v>
      </c>
      <c r="B22" s="44">
        <v>2018</v>
      </c>
      <c r="C22" s="88">
        <v>10</v>
      </c>
      <c r="D22" s="97">
        <f>G22*H22</f>
        <v>0</v>
      </c>
      <c r="E22" s="198">
        <f>IFERROR(D22*F22,0)</f>
        <v>0</v>
      </c>
      <c r="F22" s="199">
        <f t="shared" si="45"/>
        <v>0</v>
      </c>
      <c r="G22" s="197">
        <f t="shared" ref="G22:I25" si="86">IFERROR(VLOOKUP($B22 &amp; $C22&amp;G$4&amp;$A22,tblForecast,G$2,FALSE),0)</f>
        <v>0</v>
      </c>
      <c r="H22" s="200">
        <f t="shared" si="86"/>
        <v>0</v>
      </c>
      <c r="I22" s="200">
        <f t="shared" si="86"/>
        <v>0</v>
      </c>
      <c r="J22" s="197">
        <f>IFERROR(VLOOKUP($B22 &amp; $C22&amp;J$4&amp;$A22,tblForecast,J$2,FALSE),0)+IFERROR(VLOOKUP($B22 &amp; $C22 &amp; J$4 &amp; $A22,tblForecast,J$2+1,FALSE),0)</f>
        <v>0</v>
      </c>
      <c r="K22" s="295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ca="1" si="87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88">IFERROR(VLOOKUP($B22 &amp; $C22&amp;R$4,tblForecast,R$2,FALSE),0)</f>
        <v>0</v>
      </c>
      <c r="S22" s="237">
        <f t="shared" si="88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ca="1" si="89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ca="1" si="90"/>
        <v>0</v>
      </c>
      <c r="AH22" s="104">
        <f>IFERROR(VLOOKUP($B22 &amp; $C22&amp;AH$4,tblForecast,AH$2,FALSE),0)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4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5">IFERROR(VLOOKUP($B22 &amp; $C22&amp;BC$4,tblForecast,BC$2,FALSE),0)</f>
        <v>0</v>
      </c>
      <c r="BD22" s="226">
        <f t="shared" ref="BD22:BD25" ca="1" si="96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7">IFERROR(VLOOKUP($B22 &amp; $C22&amp;BT$4,tblForecast,BT$2,FALSE),0)</f>
        <v>0</v>
      </c>
      <c r="BU22" s="226">
        <f t="shared" si="97"/>
        <v>0</v>
      </c>
      <c r="BV22" s="226">
        <f>IFERROR(VLOOKUP($B22 &amp; $C22&amp;BV$4,tblForecast,BV$2,FALSE),0)</f>
        <v>0</v>
      </c>
      <c r="BW22" s="226">
        <f t="shared" ref="BW22:BX25" si="98">IFERROR(VLOOKUP($B22 &amp; $C22&amp;BW$4,tblForecast,BW$2,FALSE),0)</f>
        <v>0</v>
      </c>
      <c r="BX22" s="226">
        <f t="shared" si="98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$C22&amp;CC$4,tblForecast,CC$2,FALSE),0)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$C22&amp;CJ$4,tblForecast,CJ$2,FALSE),0)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U22" s="44">
        <f>IFERROR(VLOOKUP($B22 &amp; $C22&amp;CU$4,tblForecast,CU$2,FALSE),0)</f>
        <v>0</v>
      </c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s="44" customFormat="1" x14ac:dyDescent="0.25">
      <c r="A23" s="44" t="s">
        <v>301</v>
      </c>
      <c r="B23" s="44">
        <v>2018</v>
      </c>
      <c r="C23" s="88">
        <v>11</v>
      </c>
      <c r="D23" s="97">
        <f t="shared" ref="D23:D25" si="103">G23*H23</f>
        <v>0</v>
      </c>
      <c r="E23" s="201">
        <f t="shared" ref="E23:E25" si="104">IFERROR(D23*F23,0)</f>
        <v>0</v>
      </c>
      <c r="F23" s="181">
        <f t="shared" si="45"/>
        <v>0</v>
      </c>
      <c r="G23" s="175">
        <f t="shared" si="86"/>
        <v>0</v>
      </c>
      <c r="H23" s="202">
        <f t="shared" si="86"/>
        <v>0</v>
      </c>
      <c r="I23" s="202">
        <f t="shared" si="86"/>
        <v>0</v>
      </c>
      <c r="J23" s="175">
        <f>IFERROR(VLOOKUP($B23 &amp; $C23&amp;J$4&amp;$A23,tblForecast,J$2,FALSE),0)+IFERROR(VLOOKUP($B23 &amp; $C23 &amp; J$4 &amp; $A23,tblForecast,J$2+1,FALSE),0)</f>
        <v>0</v>
      </c>
      <c r="K23" s="296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ca="1" si="87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88"/>
        <v>0</v>
      </c>
      <c r="S23" s="238">
        <f t="shared" si="88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W25" si="105">IFERROR(IF(Q22&lt;&gt;0,Q23/Q22,0),0)</f>
        <v>0</v>
      </c>
      <c r="W23" s="324">
        <f t="shared" si="105"/>
        <v>0</v>
      </c>
      <c r="X23" s="244">
        <f t="shared" ref="X23:X25" ca="1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ca="1" si="89"/>
        <v>0</v>
      </c>
      <c r="AC23" s="91">
        <f t="shared" ca="1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ca="1" si="90"/>
        <v>0</v>
      </c>
      <c r="AH23" s="104">
        <f>IFERROR(VLOOKUP($B23 &amp; $C23&amp;AH$4,tblForecast,AH$2,FALSE),0)</f>
        <v>0</v>
      </c>
      <c r="AI23" s="94">
        <f t="shared" si="91"/>
        <v>0</v>
      </c>
      <c r="AJ23" s="94">
        <f t="shared" si="91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2"/>
        <v>0</v>
      </c>
      <c r="AO23" s="94">
        <f t="shared" si="92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3"/>
        <v>0</v>
      </c>
      <c r="AT23" s="94">
        <f t="shared" si="93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4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5"/>
        <v>0</v>
      </c>
      <c r="BD23" s="226">
        <f t="shared" ca="1" si="96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7"/>
        <v>0</v>
      </c>
      <c r="BU23" s="226">
        <f t="shared" si="97"/>
        <v>0</v>
      </c>
      <c r="BV23" s="226">
        <f>IFERROR(VLOOKUP($B23 &amp; $C23&amp;BV$4,tblForecast,BV$2,FALSE),0)</f>
        <v>0</v>
      </c>
      <c r="BW23" s="226">
        <f t="shared" si="98"/>
        <v>0</v>
      </c>
      <c r="BX23" s="226">
        <f t="shared" si="98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$C23&amp;CC$4,tblForecast,CC$2,FALSE),0)</f>
        <v>0</v>
      </c>
      <c r="CD23" s="90">
        <f t="shared" si="100"/>
        <v>0</v>
      </c>
      <c r="CE23" s="90">
        <f t="shared" si="100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$C23&amp;CJ$4,tblForecast,CJ$2,FALSE),0)</f>
        <v>0</v>
      </c>
      <c r="CK23" s="90">
        <f t="shared" si="102"/>
        <v>0</v>
      </c>
      <c r="CL23" s="90">
        <f t="shared" si="102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U23" s="44">
        <f>IFERROR(VLOOKUP($B23 &amp; $C23&amp;CU$4,tblForecast,CU$2,FALSE),0)</f>
        <v>0</v>
      </c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s="44" customFormat="1" x14ac:dyDescent="0.25">
      <c r="A24" s="44" t="s">
        <v>301</v>
      </c>
      <c r="B24" s="44">
        <v>2018</v>
      </c>
      <c r="C24" s="88">
        <v>12</v>
      </c>
      <c r="D24" s="97">
        <f t="shared" si="103"/>
        <v>0</v>
      </c>
      <c r="E24" s="201">
        <f t="shared" si="104"/>
        <v>0</v>
      </c>
      <c r="F24" s="181">
        <f t="shared" si="45"/>
        <v>0</v>
      </c>
      <c r="G24" s="175">
        <f t="shared" si="86"/>
        <v>0</v>
      </c>
      <c r="H24" s="202">
        <f t="shared" si="86"/>
        <v>0</v>
      </c>
      <c r="I24" s="202">
        <f t="shared" si="86"/>
        <v>0</v>
      </c>
      <c r="J24" s="175">
        <f>IFERROR(VLOOKUP($B24 &amp; $C24&amp;J$4&amp;$A24,tblForecast,J$2,FALSE),0)+IFERROR(VLOOKUP($B24 &amp; $C24 &amp; J$4 &amp; $A24,tblForecast,J$2+1,FALSE),0)</f>
        <v>0</v>
      </c>
      <c r="K24" s="296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ca="1" si="87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88"/>
        <v>0</v>
      </c>
      <c r="S24" s="238">
        <f t="shared" si="88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5"/>
        <v>0</v>
      </c>
      <c r="W24" s="324">
        <f t="shared" si="105"/>
        <v>0</v>
      </c>
      <c r="X24" s="244">
        <f t="shared" ca="1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ca="1" si="89"/>
        <v>0</v>
      </c>
      <c r="AC24" s="91">
        <f t="shared" ca="1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ca="1" si="90"/>
        <v>0</v>
      </c>
      <c r="AH24" s="104">
        <f>IFERROR(VLOOKUP($B24 &amp; $C24&amp;AH$4,tblForecast,AH$2,FALSE),0)</f>
        <v>0</v>
      </c>
      <c r="AI24" s="94">
        <f t="shared" si="91"/>
        <v>0</v>
      </c>
      <c r="AJ24" s="94">
        <f t="shared" si="91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2"/>
        <v>0</v>
      </c>
      <c r="AO24" s="94">
        <f t="shared" si="92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3"/>
        <v>0</v>
      </c>
      <c r="AT24" s="94">
        <f t="shared" si="93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4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5"/>
        <v>0</v>
      </c>
      <c r="BD24" s="226">
        <f t="shared" ca="1" si="96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7"/>
        <v>0</v>
      </c>
      <c r="BU24" s="226">
        <f t="shared" si="97"/>
        <v>0</v>
      </c>
      <c r="BV24" s="226">
        <f>IFERROR(VLOOKUP($B24 &amp; $C24&amp;BV$4,tblForecast,BV$2,FALSE),0)</f>
        <v>0</v>
      </c>
      <c r="BW24" s="226">
        <f t="shared" si="98"/>
        <v>0</v>
      </c>
      <c r="BX24" s="226">
        <f t="shared" si="98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$C24&amp;CC$4,tblForecast,CC$2,FALSE),0)</f>
        <v>0</v>
      </c>
      <c r="CD24" s="90">
        <f t="shared" si="100"/>
        <v>0</v>
      </c>
      <c r="CE24" s="90">
        <f t="shared" si="100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$C24&amp;CJ$4,tblForecast,CJ$2,FALSE),0)</f>
        <v>0</v>
      </c>
      <c r="CK24" s="90">
        <f t="shared" si="102"/>
        <v>0</v>
      </c>
      <c r="CL24" s="90">
        <f t="shared" si="102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U24" s="44">
        <f>IFERROR(VLOOKUP($B24 &amp; $C24&amp;CU$4,tblForecast,CU$2,FALSE),0)</f>
        <v>0</v>
      </c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301</v>
      </c>
      <c r="B25" s="44">
        <v>2018</v>
      </c>
      <c r="C25" s="88">
        <v>13</v>
      </c>
      <c r="D25" s="97">
        <f t="shared" si="103"/>
        <v>0</v>
      </c>
      <c r="E25" s="201">
        <f t="shared" si="104"/>
        <v>0</v>
      </c>
      <c r="F25" s="181">
        <f t="shared" si="45"/>
        <v>0</v>
      </c>
      <c r="G25" s="175">
        <f t="shared" si="86"/>
        <v>0</v>
      </c>
      <c r="H25" s="202">
        <f t="shared" si="86"/>
        <v>0</v>
      </c>
      <c r="I25" s="202">
        <f t="shared" si="86"/>
        <v>0</v>
      </c>
      <c r="J25" s="175">
        <f>IFERROR(VLOOKUP($B25 &amp; $C25&amp;J$4&amp;$A25,tblForecast,J$2,FALSE),0)+IFERROR(VLOOKUP($B25 &amp; $C25 &amp; J$4 &amp; $A25,tblForecast,J$2+1,FALSE),0)</f>
        <v>0</v>
      </c>
      <c r="K25" s="296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ca="1" si="87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88"/>
        <v>0</v>
      </c>
      <c r="S25" s="239">
        <f t="shared" si="88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5"/>
        <v>0</v>
      </c>
      <c r="W25" s="324">
        <f t="shared" si="105"/>
        <v>0</v>
      </c>
      <c r="X25" s="244">
        <f t="shared" ca="1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ca="1" si="89"/>
        <v>0</v>
      </c>
      <c r="AC25" s="91">
        <f t="shared" ca="1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ca="1" si="90"/>
        <v>0</v>
      </c>
      <c r="AH25" s="104">
        <f>IFERROR(VLOOKUP($B25 &amp; $C25&amp;AH$4,tblForecast,AH$2,FALSE),0)</f>
        <v>0</v>
      </c>
      <c r="AI25" s="94">
        <f t="shared" si="91"/>
        <v>0</v>
      </c>
      <c r="AJ25" s="94">
        <f t="shared" si="91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2"/>
        <v>0</v>
      </c>
      <c r="AO25" s="94">
        <f t="shared" si="92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3"/>
        <v>0</v>
      </c>
      <c r="AT25" s="94">
        <f t="shared" si="93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4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5"/>
        <v>0</v>
      </c>
      <c r="BD25" s="226">
        <f t="shared" ca="1" si="96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7"/>
        <v>0</v>
      </c>
      <c r="BU25" s="226">
        <f t="shared" si="97"/>
        <v>0</v>
      </c>
      <c r="BV25" s="226">
        <f>IFERROR(VLOOKUP($B25 &amp; $C25&amp;BV$4,tblForecast,BV$2,FALSE),0)</f>
        <v>0</v>
      </c>
      <c r="BW25" s="226">
        <f t="shared" si="98"/>
        <v>0</v>
      </c>
      <c r="BX25" s="226">
        <f t="shared" si="98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$C25&amp;CC$4,tblForecast,CC$2,FALSE),0)</f>
        <v>0</v>
      </c>
      <c r="CD25" s="90">
        <f t="shared" si="100"/>
        <v>0</v>
      </c>
      <c r="CE25" s="90">
        <f t="shared" si="100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$C25&amp;CJ$4,tblForecast,CJ$2,FALSE),0)</f>
        <v>0</v>
      </c>
      <c r="CK25" s="90">
        <f t="shared" si="102"/>
        <v>0</v>
      </c>
      <c r="CL25" s="90">
        <f t="shared" si="102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U25" s="44">
        <f>IFERROR(VLOOKUP($B25 &amp; $C25&amp;CU$4,tblForecast,CU$2,FALSE),0)</f>
        <v>0</v>
      </c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s="44" customFormat="1" ht="16.5" thickBot="1" x14ac:dyDescent="0.3">
      <c r="C26" s="251" t="s">
        <v>22</v>
      </c>
      <c r="D26" s="252">
        <f t="shared" ref="D26" si="107">SUM(D22:D25)</f>
        <v>0</v>
      </c>
      <c r="E26" s="253">
        <f t="shared" ref="E26" si="108">SUM(E22:E25)</f>
        <v>0</v>
      </c>
      <c r="F26" s="254">
        <f t="shared" si="45"/>
        <v>0</v>
      </c>
      <c r="G26" s="255">
        <f>SUM(G22:G25)</f>
        <v>0</v>
      </c>
      <c r="H26" s="256">
        <f>IFERROR(D26/G26,0)</f>
        <v>0</v>
      </c>
      <c r="I26" s="256">
        <f>IFERROR(SUMPRODUCT(I22:I25,G22:G25)/G26,0)</f>
        <v>0</v>
      </c>
      <c r="J26" s="255">
        <f>SUM(J22:J25)</f>
        <v>0</v>
      </c>
      <c r="K26" s="297">
        <f>SUM(K22:K25)</f>
        <v>0</v>
      </c>
      <c r="L26" s="257">
        <f>SUM(L22:L25)</f>
        <v>0</v>
      </c>
      <c r="M26" s="257">
        <f t="shared" ref="M26:O26" si="109">SUM(M22:M25)</f>
        <v>0</v>
      </c>
      <c r="N26" s="257">
        <f t="shared" si="109"/>
        <v>0</v>
      </c>
      <c r="O26" s="257">
        <f t="shared" ca="1" si="109"/>
        <v>0</v>
      </c>
      <c r="P26" s="258">
        <f t="shared" ca="1" si="39"/>
        <v>0</v>
      </c>
      <c r="Q26" s="259">
        <f>SUM(Q22:Q25)</f>
        <v>0</v>
      </c>
      <c r="R26" s="260">
        <f t="shared" ref="R26:S26" si="110">SUM(R22:R25)</f>
        <v>0</v>
      </c>
      <c r="S26" s="260">
        <f t="shared" si="110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1">V25</f>
        <v>0</v>
      </c>
      <c r="W26" s="325">
        <f t="shared" si="111"/>
        <v>0</v>
      </c>
      <c r="X26" s="262">
        <f t="shared" ca="1" si="111"/>
        <v>0</v>
      </c>
      <c r="Y26" s="252">
        <f>SUM(Y22:Y25)</f>
        <v>0</v>
      </c>
      <c r="Z26" s="257">
        <f t="shared" ref="Z26:AB26" si="112">SUM(Z22:Z25)</f>
        <v>0</v>
      </c>
      <c r="AA26" s="257">
        <f t="shared" si="112"/>
        <v>0</v>
      </c>
      <c r="AB26" s="257">
        <f t="shared" ca="1" si="112"/>
        <v>0</v>
      </c>
      <c r="AC26" s="258">
        <f t="shared" ca="1" si="9"/>
        <v>0</v>
      </c>
      <c r="AD26" s="263">
        <f t="shared" ref="AD26:AG27" si="113">IFERROR(Y26/L26,0)</f>
        <v>0</v>
      </c>
      <c r="AE26" s="264">
        <f t="shared" si="113"/>
        <v>0</v>
      </c>
      <c r="AF26" s="264">
        <f t="shared" si="113"/>
        <v>0</v>
      </c>
      <c r="AG26" s="264">
        <f t="shared" ca="1" si="113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4">IFERROR(SUMPRODUCT(AJ22:AJ25,S22:S25)/S26,0)</f>
        <v>0</v>
      </c>
      <c r="AK26" s="266">
        <f t="shared" ca="1" si="114"/>
        <v>0</v>
      </c>
      <c r="AL26" s="258">
        <f t="shared" ca="1" si="12"/>
        <v>0</v>
      </c>
      <c r="AM26" s="265">
        <f t="shared" ref="AM26:AP27" si="115">IF(Q26&lt;&gt;0,L26/Q26,0)</f>
        <v>0</v>
      </c>
      <c r="AN26" s="266">
        <f t="shared" si="115"/>
        <v>0</v>
      </c>
      <c r="AO26" s="266">
        <f t="shared" si="115"/>
        <v>0</v>
      </c>
      <c r="AP26" s="266">
        <f t="shared" ca="1" si="115"/>
        <v>0</v>
      </c>
      <c r="AQ26" s="258">
        <f t="shared" ca="1" si="14"/>
        <v>0</v>
      </c>
      <c r="AR26" s="265">
        <f t="shared" ref="AR26:AU27" si="116">IFERROR((L26*(1-AD26))/Q26,0)</f>
        <v>0</v>
      </c>
      <c r="AS26" s="266">
        <f t="shared" si="116"/>
        <v>0</v>
      </c>
      <c r="AT26" s="266">
        <f t="shared" si="116"/>
        <v>0</v>
      </c>
      <c r="AU26" s="266">
        <f t="shared" ca="1" si="116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17">BA25</f>
        <v>0</v>
      </c>
      <c r="BB26" s="260">
        <f t="shared" si="117"/>
        <v>0</v>
      </c>
      <c r="BC26" s="260">
        <f t="shared" si="117"/>
        <v>0</v>
      </c>
      <c r="BD26" s="260">
        <f t="shared" ca="1" si="117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18">SUM(BO22:BO25)</f>
        <v>0</v>
      </c>
      <c r="BP26" s="259">
        <f>SUM(BP22:BP25)</f>
        <v>0</v>
      </c>
      <c r="BQ26" s="260">
        <f t="shared" ca="1" si="118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19">SUM(BT22:BT25)</f>
        <v>0</v>
      </c>
      <c r="BU26" s="260">
        <f t="shared" si="119"/>
        <v>0</v>
      </c>
      <c r="BV26" s="260">
        <f>SUM(BV22:BV25)</f>
        <v>0</v>
      </c>
      <c r="BW26" s="260">
        <f t="shared" si="119"/>
        <v>0</v>
      </c>
      <c r="BX26" s="260">
        <f t="shared" si="119"/>
        <v>0</v>
      </c>
      <c r="BY26" s="273">
        <f t="shared" ca="1" si="119"/>
        <v>0</v>
      </c>
      <c r="BZ26" s="258">
        <f t="shared" ca="1" si="25"/>
        <v>0</v>
      </c>
      <c r="CA26" s="257">
        <f t="shared" ref="CA26:CF26" si="120">SUM(CA22:CA25)</f>
        <v>0</v>
      </c>
      <c r="CB26" s="257">
        <f t="shared" si="120"/>
        <v>0</v>
      </c>
      <c r="CC26" s="257">
        <f>SUM(CC22:CC25)</f>
        <v>0</v>
      </c>
      <c r="CD26" s="257">
        <f t="shared" si="120"/>
        <v>0</v>
      </c>
      <c r="CE26" s="257">
        <f t="shared" si="120"/>
        <v>0</v>
      </c>
      <c r="CF26" s="257">
        <f t="shared" ca="1" si="120"/>
        <v>0</v>
      </c>
      <c r="CG26" s="258">
        <f t="shared" ca="1" si="28"/>
        <v>0</v>
      </c>
      <c r="CH26" s="257">
        <f t="shared" ref="CH26:CM26" si="121">SUM(CH22:CH25)</f>
        <v>0</v>
      </c>
      <c r="CI26" s="257">
        <f t="shared" si="121"/>
        <v>0</v>
      </c>
      <c r="CJ26" s="257">
        <f>SUM(CJ22:CJ25)</f>
        <v>0</v>
      </c>
      <c r="CK26" s="257">
        <f t="shared" si="121"/>
        <v>0</v>
      </c>
      <c r="CL26" s="257">
        <f t="shared" si="121"/>
        <v>0</v>
      </c>
      <c r="CM26" s="257">
        <f t="shared" ca="1" si="121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U26" s="44">
        <f>SUM(CU22:CU25)</f>
        <v>0</v>
      </c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s="44" customFormat="1" ht="16.5" thickBot="1" x14ac:dyDescent="0.3">
      <c r="C27" s="105" t="s">
        <v>23</v>
      </c>
      <c r="D27" s="52">
        <f t="shared" ref="D27:E27" si="122">D15+D21+D26</f>
        <v>0</v>
      </c>
      <c r="E27" s="204">
        <f t="shared" si="122"/>
        <v>0</v>
      </c>
      <c r="F27" s="205">
        <f t="shared" si="45"/>
        <v>0</v>
      </c>
      <c r="G27" s="203">
        <f>G15+G21+G26</f>
        <v>0</v>
      </c>
      <c r="H27" s="206">
        <f>IFERROR(D27/G27,0)</f>
        <v>0</v>
      </c>
      <c r="I27" s="58">
        <f>IFERROR((I15*G15+I21*G21+I26*G26)/G27,0)</f>
        <v>0</v>
      </c>
      <c r="J27" s="203">
        <f t="shared" ref="J27:K27" si="123">J15+J21+J26</f>
        <v>0</v>
      </c>
      <c r="K27" s="298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ca="1" si="124"/>
        <v>0</v>
      </c>
      <c r="P27" s="54">
        <f t="shared" ca="1" si="39"/>
        <v>0</v>
      </c>
      <c r="Q27" s="228">
        <f t="shared" ref="Q27:S27" si="125">Q15+Q21+Q26</f>
        <v>0</v>
      </c>
      <c r="R27" s="228">
        <f t="shared" si="125"/>
        <v>0</v>
      </c>
      <c r="S27" s="228">
        <f t="shared" si="125"/>
        <v>0</v>
      </c>
      <c r="T27" s="228">
        <f ca="1">T15+T21+T26</f>
        <v>0</v>
      </c>
      <c r="U27" s="54">
        <f t="shared" ca="1" si="7"/>
        <v>0</v>
      </c>
      <c r="V27" s="245">
        <f t="shared" si="111"/>
        <v>0</v>
      </c>
      <c r="W27" s="326">
        <f t="shared" si="111"/>
        <v>0</v>
      </c>
      <c r="X27" s="246">
        <f t="shared" ca="1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ca="1" si="126"/>
        <v>0</v>
      </c>
      <c r="AC27" s="54">
        <f t="shared" ca="1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ca="1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ca="1" si="127"/>
        <v>0</v>
      </c>
      <c r="AL27" s="54">
        <f t="shared" ca="1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ca="1" si="115"/>
        <v>0</v>
      </c>
      <c r="AQ27" s="54">
        <f t="shared" ca="1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ca="1" si="116"/>
        <v>0</v>
      </c>
      <c r="AV27" s="54">
        <f t="shared" ca="1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ca="1" si="128"/>
        <v>0</v>
      </c>
      <c r="BA27" s="227">
        <f t="shared" si="117"/>
        <v>0</v>
      </c>
      <c r="BB27" s="228">
        <f t="shared" si="117"/>
        <v>0</v>
      </c>
      <c r="BC27" s="228">
        <f t="shared" si="117"/>
        <v>0</v>
      </c>
      <c r="BD27" s="228">
        <f t="shared" ca="1" si="117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29">BL15+BL21+BL26</f>
        <v>0</v>
      </c>
      <c r="BM27" s="228">
        <f t="shared" ca="1" si="129"/>
        <v>0</v>
      </c>
      <c r="BN27" s="227">
        <f t="shared" si="129"/>
        <v>0</v>
      </c>
      <c r="BO27" s="228">
        <f t="shared" ca="1" si="129"/>
        <v>0</v>
      </c>
      <c r="BP27" s="227">
        <f t="shared" si="129"/>
        <v>0</v>
      </c>
      <c r="BQ27" s="228">
        <f t="shared" ca="1" si="129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0">BT15+BT21+BT26</f>
        <v>0</v>
      </c>
      <c r="BU27" s="228">
        <f t="shared" si="130"/>
        <v>0</v>
      </c>
      <c r="BV27" s="228">
        <f t="shared" si="130"/>
        <v>0</v>
      </c>
      <c r="BW27" s="228">
        <f t="shared" si="130"/>
        <v>0</v>
      </c>
      <c r="BX27" s="228">
        <f t="shared" si="130"/>
        <v>0</v>
      </c>
      <c r="BY27" s="56">
        <f t="shared" ca="1" si="130"/>
        <v>0</v>
      </c>
      <c r="BZ27" s="54">
        <f t="shared" ca="1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ca="1" si="131"/>
        <v>0</v>
      </c>
      <c r="CG27" s="54">
        <f t="shared" ca="1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ca="1" si="132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U27" s="44">
        <f t="shared" ref="CU27" si="133">CU15+CU21+CU26</f>
        <v>0</v>
      </c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s="44" customFormat="1" x14ac:dyDescent="0.25">
      <c r="A28" s="44" t="s">
        <v>301</v>
      </c>
      <c r="B28" s="44">
        <v>2018</v>
      </c>
      <c r="C28" s="88">
        <v>14</v>
      </c>
      <c r="D28" s="97">
        <f t="shared" ref="D28:D31" si="134">G28*H28</f>
        <v>0</v>
      </c>
      <c r="E28" s="198">
        <f t="shared" ref="E28:E31" si="135">IFERROR(D28*F28,0)</f>
        <v>0</v>
      </c>
      <c r="F28" s="199">
        <f t="shared" si="45"/>
        <v>0</v>
      </c>
      <c r="G28" s="197">
        <f t="shared" ref="G28:I31" si="136">IFERROR(VLOOKUP($B28 &amp; $C28&amp;G$4&amp;$A28,tblForecast,G$2,FALSE),0)</f>
        <v>0</v>
      </c>
      <c r="H28" s="200">
        <f t="shared" si="136"/>
        <v>0</v>
      </c>
      <c r="I28" s="200">
        <f t="shared" si="136"/>
        <v>0</v>
      </c>
      <c r="J28" s="197">
        <f>IFERROR(VLOOKUP($B28 &amp; $C28&amp;J$4&amp;$A28,tblForecast,J$2,FALSE),0)+IFERROR(VLOOKUP($B28 &amp; $C28 &amp; J$4 &amp; $A28,tblForecast,J$2+1,FALSE),0)</f>
        <v>0</v>
      </c>
      <c r="K28" s="295">
        <f>IFERROR(VLOOKUP($B28 &amp; $C28&amp;K$4&amp;$A28,tblForecast,K$2+2,FALSE),0)</f>
        <v>0</v>
      </c>
      <c r="L28" s="90">
        <f>Q28*AM28</f>
        <v>0</v>
      </c>
      <c r="M28" s="90">
        <f t="shared" ref="M28:O31" si="137">R28*AN28</f>
        <v>0</v>
      </c>
      <c r="N28" s="90">
        <f t="shared" si="137"/>
        <v>0</v>
      </c>
      <c r="O28" s="90">
        <f t="shared" ca="1" si="137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38">IFERROR(VLOOKUP($B28 &amp; $C28&amp;R$4,tblForecast,R$2,FALSE),0)</f>
        <v>0</v>
      </c>
      <c r="S28" s="237">
        <f t="shared" si="138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39">IFERROR(L28*AD28,0)</f>
        <v>0</v>
      </c>
      <c r="Z28" s="90">
        <f t="shared" si="139"/>
        <v>0</v>
      </c>
      <c r="AA28" s="90">
        <f t="shared" si="139"/>
        <v>0</v>
      </c>
      <c r="AB28" s="90">
        <f t="shared" ca="1" si="139"/>
        <v>0</v>
      </c>
      <c r="AC28" s="91">
        <f t="shared" ca="1" si="9"/>
        <v>0</v>
      </c>
      <c r="AD28" s="75">
        <f t="shared" ref="AD28:AG31" si="140">IF(AM28&lt;&gt;0,1-AR28/AM28,0)</f>
        <v>0</v>
      </c>
      <c r="AE28" s="93">
        <f t="shared" si="140"/>
        <v>0</v>
      </c>
      <c r="AF28" s="93">
        <f t="shared" si="140"/>
        <v>0</v>
      </c>
      <c r="AG28" s="93">
        <f t="shared" ca="1" si="140"/>
        <v>0</v>
      </c>
      <c r="AH28" s="104">
        <f>IFERROR(VLOOKUP($B28 &amp; $C28&amp;AH$4,tblForecast,AH$2,FALSE),0)</f>
        <v>0</v>
      </c>
      <c r="AI28" s="94">
        <f t="shared" ref="AI28:AJ31" si="141">IFERROR(VLOOKUP($B28 &amp; $C28&amp;AI$4,tblForecast,AI$2,FALSE),0)</f>
        <v>0</v>
      </c>
      <c r="AJ28" s="94">
        <f t="shared" si="141"/>
        <v>0</v>
      </c>
      <c r="AK28" s="94">
        <f ca="1">IFERROR(CF28/BY28,0)</f>
        <v>0</v>
      </c>
      <c r="AL28" s="91">
        <f t="shared" ref="AL28:AL43" ca="1" si="142">IFERROR(AH28/AK28-1,)</f>
        <v>0</v>
      </c>
      <c r="AM28" s="104">
        <f>IFERROR(VLOOKUP($B28 &amp; $C28&amp;AM$4,tblForecast,AM$2,FALSE),0)</f>
        <v>0</v>
      </c>
      <c r="AN28" s="94">
        <f t="shared" ref="AN28:AO31" si="143">IFERROR(VLOOKUP($B28 &amp; $C28&amp;AN$4,tblForecast,AN$2,FALSE),0)</f>
        <v>0</v>
      </c>
      <c r="AO28" s="94">
        <f t="shared" si="143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4">IFERROR(VLOOKUP($B28 &amp; $C28&amp;AS$4,tblForecast,AS$2,FALSE),0)</f>
        <v>0</v>
      </c>
      <c r="AT28" s="94">
        <f t="shared" si="144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28"/>
        <v>0</v>
      </c>
      <c r="AX28" s="181">
        <f t="shared" si="128"/>
        <v>0</v>
      </c>
      <c r="AY28" s="181">
        <f t="shared" si="128"/>
        <v>0</v>
      </c>
      <c r="AZ28" s="181">
        <f t="shared" ca="1" si="128"/>
        <v>0</v>
      </c>
      <c r="BA28" s="225">
        <f t="shared" ref="BA28:BA31" si="145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46">IFERROR(VLOOKUP($B28 &amp; $C28&amp;BC$4,tblForecast,BC$2,FALSE),0)</f>
        <v>0</v>
      </c>
      <c r="BD28" s="226">
        <f t="shared" ref="BD28:BD37" ca="1" si="147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48">IF(T28&lt;&gt;0,BD28/T28,0)</f>
        <v>0</v>
      </c>
      <c r="BJ28" s="183">
        <f t="shared" ref="BJ28:BJ31" si="149">IF(BA28&lt;&gt;0,Q28/BA28,0)</f>
        <v>0</v>
      </c>
      <c r="BK28" s="96">
        <f t="shared" ref="BK28:BK31" ca="1" si="150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1">IFERROR(VLOOKUP($B28 &amp; $C28&amp;BT$4,tblForecast,BT$2,FALSE),0)</f>
        <v>0</v>
      </c>
      <c r="BU28" s="226">
        <f t="shared" si="151"/>
        <v>0</v>
      </c>
      <c r="BV28" s="226">
        <f>IFERROR(VLOOKUP($B28 &amp; $C28&amp;BV$4,tblForecast,BV$2,FALSE),0)</f>
        <v>0</v>
      </c>
      <c r="BW28" s="226">
        <f t="shared" ref="BW28:BX31" si="152">IFERROR(VLOOKUP($B28 &amp; $C28&amp;BW$4,tblForecast,BW$2,FALSE),0)</f>
        <v>0</v>
      </c>
      <c r="BX28" s="226">
        <f t="shared" si="152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3">IFERROR(VLOOKUP($B28 &amp; $C28&amp;CA$4,tblForecast,CA$2,FALSE),0)</f>
        <v>0</v>
      </c>
      <c r="CB28" s="90">
        <f t="shared" si="153"/>
        <v>0</v>
      </c>
      <c r="CC28" s="90">
        <f>IFERROR(VLOOKUP($B28 &amp; $C28&amp;CC$4,tblForecast,CC$2,FALSE),0)</f>
        <v>0</v>
      </c>
      <c r="CD28" s="90">
        <f t="shared" ref="CD28:CE31" si="154">IFERROR(VLOOKUP($B28 &amp; $C28&amp;CD$4,tblForecast,CD$2,FALSE),0)</f>
        <v>0</v>
      </c>
      <c r="CE28" s="90">
        <f t="shared" si="154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5">IFERROR(VLOOKUP($B28 &amp; $C28&amp;CH$4,tblForecast,CH$2,FALSE),0)</f>
        <v>0</v>
      </c>
      <c r="CI28" s="90">
        <f t="shared" si="155"/>
        <v>0</v>
      </c>
      <c r="CJ28" s="90">
        <f>IFERROR(VLOOKUP($B28 &amp; $C28&amp;CJ$4,tblForecast,CJ$2,FALSE),0)</f>
        <v>0</v>
      </c>
      <c r="CK28" s="90">
        <f t="shared" ref="CK28:CL31" si="156">IFERROR(VLOOKUP($B28 &amp; $C28&amp;CK$4,tblForecast,CK$2,FALSE),0)</f>
        <v>0</v>
      </c>
      <c r="CL28" s="90">
        <f t="shared" si="156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U28" s="44">
        <f>IFERROR(VLOOKUP($B28 &amp; $C28&amp;CU$4,tblForecast,CU$2,FALSE),0)</f>
        <v>0</v>
      </c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301</v>
      </c>
      <c r="B29" s="44">
        <v>2018</v>
      </c>
      <c r="C29" s="88">
        <v>15</v>
      </c>
      <c r="D29" s="97">
        <f t="shared" si="134"/>
        <v>0</v>
      </c>
      <c r="E29" s="201">
        <f t="shared" si="135"/>
        <v>0</v>
      </c>
      <c r="F29" s="181">
        <f t="shared" si="45"/>
        <v>0</v>
      </c>
      <c r="G29" s="175">
        <f t="shared" si="136"/>
        <v>0</v>
      </c>
      <c r="H29" s="202">
        <f t="shared" si="136"/>
        <v>0</v>
      </c>
      <c r="I29" s="202">
        <f t="shared" si="136"/>
        <v>0</v>
      </c>
      <c r="J29" s="175">
        <f>IFERROR(VLOOKUP($B29 &amp; $C29&amp;J$4&amp;$A29,tblForecast,J$2,FALSE),0)+IFERROR(VLOOKUP($B29 &amp; $C29 &amp; J$4 &amp; $A29,tblForecast,J$2+1,FALSE),0)</f>
        <v>0</v>
      </c>
      <c r="K29" s="296">
        <f>IFERROR(VLOOKUP($B29 &amp; $C29&amp;K$4&amp;$A29,tblForecast,K$2+2,FALSE),0)</f>
        <v>0</v>
      </c>
      <c r="L29" s="90">
        <f>Q29*AM29</f>
        <v>0</v>
      </c>
      <c r="M29" s="90">
        <f t="shared" si="137"/>
        <v>0</v>
      </c>
      <c r="N29" s="90">
        <f t="shared" si="137"/>
        <v>0</v>
      </c>
      <c r="O29" s="90">
        <f t="shared" ca="1" si="137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38"/>
        <v>0</v>
      </c>
      <c r="S29" s="238">
        <f t="shared" si="138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W31" si="157">IFERROR(IF(Q28&lt;&gt;0,Q29/Q28,0),0)</f>
        <v>0</v>
      </c>
      <c r="W29" s="324">
        <f t="shared" si="157"/>
        <v>0</v>
      </c>
      <c r="X29" s="244">
        <f ca="1">IFERROR(IF(T28&lt;&gt;0,T29/T28,0),0)</f>
        <v>0</v>
      </c>
      <c r="Y29" s="97">
        <f t="shared" si="139"/>
        <v>0</v>
      </c>
      <c r="Z29" s="90">
        <f t="shared" si="139"/>
        <v>0</v>
      </c>
      <c r="AA29" s="90">
        <f t="shared" si="139"/>
        <v>0</v>
      </c>
      <c r="AB29" s="90">
        <f t="shared" ca="1" si="139"/>
        <v>0</v>
      </c>
      <c r="AC29" s="91">
        <f t="shared" ca="1" si="9"/>
        <v>0</v>
      </c>
      <c r="AD29" s="75">
        <f t="shared" si="140"/>
        <v>0</v>
      </c>
      <c r="AE29" s="93">
        <f t="shared" si="140"/>
        <v>0</v>
      </c>
      <c r="AF29" s="93">
        <f t="shared" si="140"/>
        <v>0</v>
      </c>
      <c r="AG29" s="93">
        <f t="shared" ca="1" si="140"/>
        <v>0</v>
      </c>
      <c r="AH29" s="104">
        <f>IFERROR(VLOOKUP($B29 &amp; $C29&amp;AH$4,tblForecast,AH$2,FALSE),0)</f>
        <v>0</v>
      </c>
      <c r="AI29" s="94">
        <f t="shared" si="141"/>
        <v>0</v>
      </c>
      <c r="AJ29" s="94">
        <f t="shared" si="141"/>
        <v>0</v>
      </c>
      <c r="AK29" s="94">
        <f ca="1">IFERROR(CF29/BY29,0)</f>
        <v>0</v>
      </c>
      <c r="AL29" s="91">
        <f t="shared" ca="1" si="142"/>
        <v>0</v>
      </c>
      <c r="AM29" s="104">
        <f>IFERROR(VLOOKUP($B29 &amp; $C29&amp;AM$4,tblForecast,AM$2,FALSE),0)</f>
        <v>0</v>
      </c>
      <c r="AN29" s="94">
        <f t="shared" si="143"/>
        <v>0</v>
      </c>
      <c r="AO29" s="94">
        <f t="shared" si="143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4"/>
        <v>0</v>
      </c>
      <c r="AT29" s="94">
        <f t="shared" si="144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28"/>
        <v>0</v>
      </c>
      <c r="AX29" s="181">
        <f t="shared" si="128"/>
        <v>0</v>
      </c>
      <c r="AY29" s="181">
        <f t="shared" si="128"/>
        <v>0</v>
      </c>
      <c r="AZ29" s="181">
        <f t="shared" ca="1" si="128"/>
        <v>0</v>
      </c>
      <c r="BA29" s="225">
        <f t="shared" si="145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46"/>
        <v>0</v>
      </c>
      <c r="BD29" s="226">
        <f t="shared" ca="1" si="147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48"/>
        <v>0</v>
      </c>
      <c r="BJ29" s="183">
        <f t="shared" si="149"/>
        <v>0</v>
      </c>
      <c r="BK29" s="96">
        <f t="shared" ca="1" si="150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1"/>
        <v>0</v>
      </c>
      <c r="BU29" s="226">
        <f t="shared" si="151"/>
        <v>0</v>
      </c>
      <c r="BV29" s="226">
        <f>IFERROR(VLOOKUP($B29 &amp; $C29&amp;BV$4,tblForecast,BV$2,FALSE),0)</f>
        <v>0</v>
      </c>
      <c r="BW29" s="226">
        <f t="shared" si="152"/>
        <v>0</v>
      </c>
      <c r="BX29" s="226">
        <f t="shared" si="152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3"/>
        <v>0</v>
      </c>
      <c r="CB29" s="90">
        <f t="shared" si="153"/>
        <v>0</v>
      </c>
      <c r="CC29" s="90">
        <f>IFERROR(VLOOKUP($B29 &amp; $C29&amp;CC$4,tblForecast,CC$2,FALSE),0)</f>
        <v>0</v>
      </c>
      <c r="CD29" s="90">
        <f t="shared" si="154"/>
        <v>0</v>
      </c>
      <c r="CE29" s="90">
        <f t="shared" si="154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5"/>
        <v>0</v>
      </c>
      <c r="CI29" s="90">
        <f t="shared" si="155"/>
        <v>0</v>
      </c>
      <c r="CJ29" s="90">
        <f>IFERROR(VLOOKUP($B29 &amp; $C29&amp;CJ$4,tblForecast,CJ$2,FALSE),0)</f>
        <v>0</v>
      </c>
      <c r="CK29" s="90">
        <f t="shared" si="156"/>
        <v>0</v>
      </c>
      <c r="CL29" s="90">
        <f t="shared" si="156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>
        <f>IFERROR(VLOOKUP($B29 &amp; $C29&amp;CU$4,tblForecast,CU$2,FALSE),0)</f>
        <v>0</v>
      </c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301</v>
      </c>
      <c r="B30" s="44">
        <v>2018</v>
      </c>
      <c r="C30" s="88">
        <v>16</v>
      </c>
      <c r="D30" s="97">
        <f t="shared" si="134"/>
        <v>0</v>
      </c>
      <c r="E30" s="201">
        <f t="shared" si="135"/>
        <v>0</v>
      </c>
      <c r="F30" s="181">
        <f t="shared" si="45"/>
        <v>0</v>
      </c>
      <c r="G30" s="175">
        <f t="shared" si="136"/>
        <v>0</v>
      </c>
      <c r="H30" s="202">
        <f t="shared" si="136"/>
        <v>0</v>
      </c>
      <c r="I30" s="202">
        <f t="shared" si="136"/>
        <v>0</v>
      </c>
      <c r="J30" s="175">
        <f>IFERROR(VLOOKUP($B30 &amp; $C30&amp;J$4&amp;$A30,tblForecast,J$2,FALSE),0)+IFERROR(VLOOKUP($B30 &amp; $C30 &amp; J$4 &amp; $A30,tblForecast,J$2+1,FALSE),0)</f>
        <v>0</v>
      </c>
      <c r="K30" s="296">
        <f>IFERROR(VLOOKUP($B30 &amp; $C30&amp;K$4&amp;$A30,tblForecast,K$2+2,FALSE),0)</f>
        <v>0</v>
      </c>
      <c r="L30" s="90">
        <f>Q30*AM30</f>
        <v>0</v>
      </c>
      <c r="M30" s="90">
        <f t="shared" si="137"/>
        <v>0</v>
      </c>
      <c r="N30" s="90">
        <f t="shared" si="137"/>
        <v>0</v>
      </c>
      <c r="O30" s="90">
        <f t="shared" ca="1" si="137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38"/>
        <v>0</v>
      </c>
      <c r="S30" s="238">
        <f t="shared" si="138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57"/>
        <v>0</v>
      </c>
      <c r="W30" s="324">
        <f t="shared" si="157"/>
        <v>0</v>
      </c>
      <c r="X30" s="244">
        <f ca="1">IFERROR(IF(T29&lt;&gt;0,T30/T29,0),0)</f>
        <v>0</v>
      </c>
      <c r="Y30" s="97">
        <f t="shared" si="139"/>
        <v>0</v>
      </c>
      <c r="Z30" s="90">
        <f t="shared" si="139"/>
        <v>0</v>
      </c>
      <c r="AA30" s="90">
        <f t="shared" si="139"/>
        <v>0</v>
      </c>
      <c r="AB30" s="90">
        <f t="shared" ca="1" si="139"/>
        <v>0</v>
      </c>
      <c r="AC30" s="91">
        <f t="shared" ca="1" si="9"/>
        <v>0</v>
      </c>
      <c r="AD30" s="75">
        <f t="shared" si="140"/>
        <v>0</v>
      </c>
      <c r="AE30" s="93">
        <f t="shared" si="140"/>
        <v>0</v>
      </c>
      <c r="AF30" s="93">
        <f t="shared" si="140"/>
        <v>0</v>
      </c>
      <c r="AG30" s="93">
        <f t="shared" ca="1" si="140"/>
        <v>0</v>
      </c>
      <c r="AH30" s="104">
        <f>IFERROR(VLOOKUP($B30 &amp; $C30&amp;AH$4,tblForecast,AH$2,FALSE),0)</f>
        <v>0</v>
      </c>
      <c r="AI30" s="94">
        <f t="shared" si="141"/>
        <v>0</v>
      </c>
      <c r="AJ30" s="94">
        <f t="shared" si="141"/>
        <v>0</v>
      </c>
      <c r="AK30" s="94">
        <f ca="1">IFERROR(CF30/BY30,0)</f>
        <v>0</v>
      </c>
      <c r="AL30" s="91">
        <f t="shared" ca="1" si="142"/>
        <v>0</v>
      </c>
      <c r="AM30" s="104">
        <f>IFERROR(VLOOKUP($B30 &amp; $C30&amp;AM$4,tblForecast,AM$2,FALSE),0)</f>
        <v>0</v>
      </c>
      <c r="AN30" s="94">
        <f t="shared" si="143"/>
        <v>0</v>
      </c>
      <c r="AO30" s="94">
        <f t="shared" si="143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4"/>
        <v>0</v>
      </c>
      <c r="AT30" s="94">
        <f t="shared" si="144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28"/>
        <v>0</v>
      </c>
      <c r="AX30" s="181">
        <f t="shared" si="128"/>
        <v>0</v>
      </c>
      <c r="AY30" s="181">
        <f t="shared" si="128"/>
        <v>0</v>
      </c>
      <c r="AZ30" s="181">
        <f t="shared" ca="1" si="128"/>
        <v>0</v>
      </c>
      <c r="BA30" s="225">
        <f t="shared" si="145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46"/>
        <v>0</v>
      </c>
      <c r="BD30" s="226">
        <f t="shared" ca="1" si="147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48"/>
        <v>0</v>
      </c>
      <c r="BJ30" s="183">
        <f t="shared" si="149"/>
        <v>0</v>
      </c>
      <c r="BK30" s="96">
        <f t="shared" ca="1" si="150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1"/>
        <v>0</v>
      </c>
      <c r="BU30" s="226">
        <f t="shared" si="151"/>
        <v>0</v>
      </c>
      <c r="BV30" s="226">
        <f>IFERROR(VLOOKUP($B30 &amp; $C30&amp;BV$4,tblForecast,BV$2,FALSE),0)</f>
        <v>0</v>
      </c>
      <c r="BW30" s="226">
        <f t="shared" si="152"/>
        <v>0</v>
      </c>
      <c r="BX30" s="226">
        <f t="shared" si="152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3"/>
        <v>0</v>
      </c>
      <c r="CB30" s="90">
        <f t="shared" si="153"/>
        <v>0</v>
      </c>
      <c r="CC30" s="90">
        <f>IFERROR(VLOOKUP($B30 &amp; $C30&amp;CC$4,tblForecast,CC$2,FALSE),0)</f>
        <v>0</v>
      </c>
      <c r="CD30" s="90">
        <f t="shared" si="154"/>
        <v>0</v>
      </c>
      <c r="CE30" s="90">
        <f t="shared" si="154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5"/>
        <v>0</v>
      </c>
      <c r="CI30" s="90">
        <f t="shared" si="155"/>
        <v>0</v>
      </c>
      <c r="CJ30" s="90">
        <f>IFERROR(VLOOKUP($B30 &amp; $C30&amp;CJ$4,tblForecast,CJ$2,FALSE),0)</f>
        <v>0</v>
      </c>
      <c r="CK30" s="90">
        <f t="shared" si="156"/>
        <v>0</v>
      </c>
      <c r="CL30" s="90">
        <f t="shared" si="156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>
        <f>IFERROR(VLOOKUP($B30 &amp; $C30&amp;CU$4,tblForecast,CU$2,FALSE),0)</f>
        <v>0</v>
      </c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301</v>
      </c>
      <c r="B31" s="44">
        <v>2018</v>
      </c>
      <c r="C31" s="88">
        <v>17</v>
      </c>
      <c r="D31" s="97">
        <f t="shared" si="134"/>
        <v>0</v>
      </c>
      <c r="E31" s="201">
        <f t="shared" si="135"/>
        <v>0</v>
      </c>
      <c r="F31" s="181">
        <f t="shared" si="45"/>
        <v>0</v>
      </c>
      <c r="G31" s="175">
        <f t="shared" si="136"/>
        <v>0</v>
      </c>
      <c r="H31" s="202">
        <f t="shared" si="136"/>
        <v>0</v>
      </c>
      <c r="I31" s="202">
        <f t="shared" si="136"/>
        <v>0</v>
      </c>
      <c r="J31" s="175">
        <f>IFERROR(VLOOKUP($B31 &amp; $C31&amp;J$4&amp;$A31,tblForecast,J$2,FALSE),0)+IFERROR(VLOOKUP($B31 &amp; $C31 &amp; J$4 &amp; $A31,tblForecast,J$2+1,FALSE),0)</f>
        <v>0</v>
      </c>
      <c r="K31" s="296">
        <f>IFERROR(VLOOKUP($B31 &amp; $C31&amp;K$4&amp;$A31,tblForecast,K$2+2,FALSE),0)</f>
        <v>0</v>
      </c>
      <c r="L31" s="90">
        <f>Q31*AM31</f>
        <v>0</v>
      </c>
      <c r="M31" s="90">
        <f t="shared" si="137"/>
        <v>0</v>
      </c>
      <c r="N31" s="90">
        <f t="shared" si="137"/>
        <v>0</v>
      </c>
      <c r="O31" s="90">
        <f t="shared" ca="1" si="137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38"/>
        <v>0</v>
      </c>
      <c r="S31" s="238">
        <f t="shared" si="138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57"/>
        <v>0</v>
      </c>
      <c r="W31" s="324">
        <f t="shared" si="157"/>
        <v>0</v>
      </c>
      <c r="X31" s="244">
        <f ca="1">IFERROR(IF(T30&lt;&gt;0,T31/T30,0),0)</f>
        <v>0</v>
      </c>
      <c r="Y31" s="97">
        <f t="shared" si="139"/>
        <v>0</v>
      </c>
      <c r="Z31" s="90">
        <f t="shared" si="139"/>
        <v>0</v>
      </c>
      <c r="AA31" s="90">
        <f t="shared" si="139"/>
        <v>0</v>
      </c>
      <c r="AB31" s="90">
        <f t="shared" ca="1" si="139"/>
        <v>0</v>
      </c>
      <c r="AC31" s="91">
        <f t="shared" ca="1" si="9"/>
        <v>0</v>
      </c>
      <c r="AD31" s="75">
        <f t="shared" si="140"/>
        <v>0</v>
      </c>
      <c r="AE31" s="93">
        <f t="shared" si="140"/>
        <v>0</v>
      </c>
      <c r="AF31" s="93">
        <f t="shared" si="140"/>
        <v>0</v>
      </c>
      <c r="AG31" s="93">
        <f t="shared" ca="1" si="140"/>
        <v>0</v>
      </c>
      <c r="AH31" s="104">
        <f>IFERROR(VLOOKUP($B31 &amp; $C31&amp;AH$4,tblForecast,AH$2,FALSE),0)</f>
        <v>0</v>
      </c>
      <c r="AI31" s="94">
        <f t="shared" si="141"/>
        <v>0</v>
      </c>
      <c r="AJ31" s="94">
        <f t="shared" si="141"/>
        <v>0</v>
      </c>
      <c r="AK31" s="94">
        <f ca="1">IFERROR(CF31/BY31,0)</f>
        <v>0</v>
      </c>
      <c r="AL31" s="91">
        <f t="shared" ca="1" si="142"/>
        <v>0</v>
      </c>
      <c r="AM31" s="104">
        <f>IFERROR(VLOOKUP($B31 &amp; $C31&amp;AM$4,tblForecast,AM$2,FALSE),0)</f>
        <v>0</v>
      </c>
      <c r="AN31" s="94">
        <f t="shared" si="143"/>
        <v>0</v>
      </c>
      <c r="AO31" s="94">
        <f t="shared" si="143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4"/>
        <v>0</v>
      </c>
      <c r="AT31" s="94">
        <f t="shared" si="144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28"/>
        <v>0</v>
      </c>
      <c r="AX31" s="181">
        <f t="shared" si="128"/>
        <v>0</v>
      </c>
      <c r="AY31" s="181">
        <f t="shared" si="128"/>
        <v>0</v>
      </c>
      <c r="AZ31" s="181">
        <f t="shared" ca="1" si="128"/>
        <v>0</v>
      </c>
      <c r="BA31" s="225">
        <f t="shared" si="145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46"/>
        <v>0</v>
      </c>
      <c r="BD31" s="226">
        <f t="shared" ca="1" si="147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48"/>
        <v>0</v>
      </c>
      <c r="BJ31" s="183">
        <f t="shared" si="149"/>
        <v>0</v>
      </c>
      <c r="BK31" s="96">
        <f t="shared" ca="1" si="150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1"/>
        <v>0</v>
      </c>
      <c r="BU31" s="226">
        <f t="shared" si="151"/>
        <v>0</v>
      </c>
      <c r="BV31" s="226">
        <f>IFERROR(VLOOKUP($B31 &amp; $C31&amp;BV$4,tblForecast,BV$2,FALSE),0)</f>
        <v>0</v>
      </c>
      <c r="BW31" s="226">
        <f t="shared" si="152"/>
        <v>0</v>
      </c>
      <c r="BX31" s="226">
        <f t="shared" si="152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3"/>
        <v>0</v>
      </c>
      <c r="CB31" s="90">
        <f t="shared" si="153"/>
        <v>0</v>
      </c>
      <c r="CC31" s="90">
        <f>IFERROR(VLOOKUP($B31 &amp; $C31&amp;CC$4,tblForecast,CC$2,FALSE),0)</f>
        <v>0</v>
      </c>
      <c r="CD31" s="90">
        <f t="shared" si="154"/>
        <v>0</v>
      </c>
      <c r="CE31" s="90">
        <f t="shared" si="154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5"/>
        <v>0</v>
      </c>
      <c r="CI31" s="90">
        <f t="shared" si="155"/>
        <v>0</v>
      </c>
      <c r="CJ31" s="90">
        <f>IFERROR(VLOOKUP($B31 &amp; $C31&amp;CJ$4,tblForecast,CJ$2,FALSE),0)</f>
        <v>0</v>
      </c>
      <c r="CK31" s="90">
        <f t="shared" si="156"/>
        <v>0</v>
      </c>
      <c r="CL31" s="90">
        <f t="shared" si="156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>
        <f>IFERROR(VLOOKUP($B31 &amp; $C31&amp;CU$4,tblForecast,CU$2,FALSE),0)</f>
        <v>0</v>
      </c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s="44" customFormat="1" ht="16.5" thickBot="1" x14ac:dyDescent="0.3">
      <c r="C32" s="251" t="s">
        <v>27</v>
      </c>
      <c r="D32" s="252">
        <f t="shared" ref="D32" si="158">SUM(D28:D31)</f>
        <v>0</v>
      </c>
      <c r="E32" s="253">
        <f t="shared" ref="E32" si="159">SUM(E28:E31)</f>
        <v>0</v>
      </c>
      <c r="F32" s="254">
        <f t="shared" si="45"/>
        <v>0</v>
      </c>
      <c r="G32" s="255">
        <f>SUM(G28:G31)</f>
        <v>0</v>
      </c>
      <c r="H32" s="256">
        <f>IFERROR(D32/G32,0)</f>
        <v>0</v>
      </c>
      <c r="I32" s="256">
        <f>IFERROR(SUMPRODUCT(I28:I31,G28:G31)/G32,0)</f>
        <v>0</v>
      </c>
      <c r="J32" s="255">
        <f>SUM(J28:J31)</f>
        <v>0</v>
      </c>
      <c r="K32" s="297">
        <f>SUM(K28:K31)</f>
        <v>0</v>
      </c>
      <c r="L32" s="257">
        <f>SUM(L28:L31)</f>
        <v>0</v>
      </c>
      <c r="M32" s="257">
        <f t="shared" ref="M32:O32" si="160">SUM(M28:M31)</f>
        <v>0</v>
      </c>
      <c r="N32" s="257">
        <f t="shared" si="160"/>
        <v>0</v>
      </c>
      <c r="O32" s="257">
        <f t="shared" ca="1" si="160"/>
        <v>0</v>
      </c>
      <c r="P32" s="258">
        <f t="shared" ca="1" si="39"/>
        <v>0</v>
      </c>
      <c r="Q32" s="259">
        <f>SUM(Q28:Q31)</f>
        <v>0</v>
      </c>
      <c r="R32" s="260">
        <f t="shared" ref="R32:S32" si="161">SUM(R28:R31)</f>
        <v>0</v>
      </c>
      <c r="S32" s="260">
        <f t="shared" si="161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2">SUM(Z28:Z31)</f>
        <v>0</v>
      </c>
      <c r="AA32" s="257">
        <f t="shared" si="162"/>
        <v>0</v>
      </c>
      <c r="AB32" s="257">
        <f t="shared" ca="1" si="162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3">IFERROR(SUMPRODUCT(AJ28:AJ31,S28:S31)/S32,0)</f>
        <v>0</v>
      </c>
      <c r="AK32" s="266">
        <f t="shared" ca="1" si="163"/>
        <v>0</v>
      </c>
      <c r="AL32" s="258">
        <f t="shared" ca="1" si="142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28"/>
        <v>0</v>
      </c>
      <c r="AX32" s="268">
        <f t="shared" si="128"/>
        <v>0</v>
      </c>
      <c r="AY32" s="268">
        <f t="shared" si="128"/>
        <v>0</v>
      </c>
      <c r="AZ32" s="268">
        <f t="shared" ca="1" si="128"/>
        <v>0</v>
      </c>
      <c r="BA32" s="259">
        <f>BA31</f>
        <v>0</v>
      </c>
      <c r="BB32" s="260">
        <f t="shared" ref="BB32:BD32" si="164">BB31</f>
        <v>0</v>
      </c>
      <c r="BC32" s="260">
        <f t="shared" si="164"/>
        <v>0</v>
      </c>
      <c r="BD32" s="260">
        <f t="shared" ca="1" si="164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65">IF(BA32&lt;&gt;0,(Q32/COUNTIF(BJ28:BJ31,"&lt;&gt;0"))/BA32,0)</f>
        <v>0</v>
      </c>
      <c r="BK32" s="272">
        <f t="shared" ref="BK32" ca="1" si="166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67">SUM(BO28:BO31)</f>
        <v>0</v>
      </c>
      <c r="BP32" s="259">
        <f>SUM(BP28:BP31)</f>
        <v>0</v>
      </c>
      <c r="BQ32" s="260">
        <f t="shared" ca="1" si="167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68">SUM(BW28:BW31)</f>
        <v>0</v>
      </c>
      <c r="BX32" s="260">
        <f t="shared" si="168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69">SUM(CA28:CA31)</f>
        <v>0</v>
      </c>
      <c r="CB32" s="257">
        <f t="shared" si="169"/>
        <v>0</v>
      </c>
      <c r="CC32" s="257">
        <f>SUM(CC28:CC31)</f>
        <v>0</v>
      </c>
      <c r="CD32" s="257">
        <f t="shared" si="169"/>
        <v>0</v>
      </c>
      <c r="CE32" s="257">
        <f t="shared" si="169"/>
        <v>0</v>
      </c>
      <c r="CF32" s="257">
        <f t="shared" ca="1" si="169"/>
        <v>0</v>
      </c>
      <c r="CG32" s="258">
        <f t="shared" ca="1" si="28"/>
        <v>0</v>
      </c>
      <c r="CH32" s="257">
        <f t="shared" ref="CH32:CM32" si="170">SUM(CH28:CH31)</f>
        <v>0</v>
      </c>
      <c r="CI32" s="257">
        <f t="shared" si="170"/>
        <v>0</v>
      </c>
      <c r="CJ32" s="257">
        <f>SUM(CJ28:CJ31)</f>
        <v>0</v>
      </c>
      <c r="CK32" s="257">
        <f t="shared" si="170"/>
        <v>0</v>
      </c>
      <c r="CL32" s="257">
        <f t="shared" si="170"/>
        <v>0</v>
      </c>
      <c r="CM32" s="257">
        <f t="shared" ca="1" si="170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U32" s="44">
        <f>SUM(CU28:CU31)</f>
        <v>0</v>
      </c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301</v>
      </c>
      <c r="B33" s="44">
        <v>2018</v>
      </c>
      <c r="C33" s="88">
        <v>18</v>
      </c>
      <c r="D33" s="97">
        <f>G33*H33</f>
        <v>0</v>
      </c>
      <c r="E33" s="198">
        <f>IFERROR(D33*F33,0)</f>
        <v>0</v>
      </c>
      <c r="F33" s="199">
        <f t="shared" si="45"/>
        <v>0</v>
      </c>
      <c r="G33" s="197">
        <f t="shared" ref="G33:I42" si="171">IFERROR(VLOOKUP($B33 &amp; $C33&amp;G$4&amp;$A33,tblForecast,G$2,FALSE),0)</f>
        <v>0</v>
      </c>
      <c r="H33" s="200">
        <f t="shared" si="171"/>
        <v>0</v>
      </c>
      <c r="I33" s="200">
        <f t="shared" si="171"/>
        <v>0</v>
      </c>
      <c r="J33" s="197">
        <f>IFERROR(VLOOKUP($B33 &amp; $C33&amp;J$4&amp;$A33,tblForecast,J$2,FALSE),0)+IFERROR(VLOOKUP($B33 &amp; $C33 &amp; J$4 &amp; $A33,tblForecast,J$2+1,FALSE),0)</f>
        <v>0</v>
      </c>
      <c r="K33" s="295">
        <f>IFERROR(VLOOKUP($B33 &amp; $C33&amp;K$4&amp;$A33,tblForecast,K$2+2,FALSE),0)</f>
        <v>0</v>
      </c>
      <c r="L33" s="90">
        <f>Q33*AM33</f>
        <v>0</v>
      </c>
      <c r="M33" s="90">
        <f t="shared" ref="M33:O37" si="172">R33*AN33</f>
        <v>0</v>
      </c>
      <c r="N33" s="90">
        <f t="shared" si="172"/>
        <v>0</v>
      </c>
      <c r="O33" s="90">
        <f t="shared" ca="1" si="172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3">IFERROR(VLOOKUP($B33 &amp; $C33&amp;R$4,tblForecast,R$2,FALSE),0)</f>
        <v>0</v>
      </c>
      <c r="S33" s="237">
        <f t="shared" si="173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7" si="174">IFERROR(L33*AD33,0)</f>
        <v>0</v>
      </c>
      <c r="Z33" s="90">
        <f t="shared" si="174"/>
        <v>0</v>
      </c>
      <c r="AA33" s="90">
        <f t="shared" si="174"/>
        <v>0</v>
      </c>
      <c r="AB33" s="90">
        <f t="shared" ca="1" si="174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7" si="175">IF(AN33&lt;&gt;0,1-AS33/AN33,0)</f>
        <v>0</v>
      </c>
      <c r="AF33" s="93">
        <f t="shared" si="175"/>
        <v>0</v>
      </c>
      <c r="AG33" s="93">
        <f t="shared" ca="1" si="175"/>
        <v>0</v>
      </c>
      <c r="AH33" s="104">
        <f>IFERROR(VLOOKUP($B33 &amp; $C33&amp;AH$4,tblForecast,AH$2,FALSE),0)</f>
        <v>0</v>
      </c>
      <c r="AI33" s="94">
        <f t="shared" ref="AI33:AJ42" si="176">IFERROR(VLOOKUP($B33 &amp; $C33&amp;AI$4,tblForecast,AI$2,FALSE),0)</f>
        <v>0</v>
      </c>
      <c r="AJ33" s="94">
        <f t="shared" si="176"/>
        <v>0</v>
      </c>
      <c r="AK33" s="94">
        <f ca="1">IFERROR(CF33/BY33,0)</f>
        <v>0</v>
      </c>
      <c r="AL33" s="91">
        <f t="shared" ca="1" si="142"/>
        <v>0</v>
      </c>
      <c r="AM33" s="104">
        <f>IFERROR(VLOOKUP($B33 &amp; $C33&amp;AM$4,tblForecast,AM$2,FALSE),0)</f>
        <v>0</v>
      </c>
      <c r="AN33" s="94">
        <f t="shared" ref="AN33:AO42" si="177">IFERROR(VLOOKUP($B33 &amp; $C33&amp;AN$4,tblForecast,AN$2,FALSE),0)</f>
        <v>0</v>
      </c>
      <c r="AO33" s="94">
        <f t="shared" si="177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78">IFERROR(VLOOKUP($B33 &amp; $C33&amp;AS$4,tblForecast,AS$2,FALSE),0)</f>
        <v>0</v>
      </c>
      <c r="AT33" s="94">
        <f t="shared" si="178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28"/>
        <v>0</v>
      </c>
      <c r="AX33" s="181">
        <f t="shared" si="128"/>
        <v>0</v>
      </c>
      <c r="AY33" s="181">
        <f t="shared" si="128"/>
        <v>0</v>
      </c>
      <c r="AZ33" s="181">
        <f t="shared" ca="1" si="128"/>
        <v>0</v>
      </c>
      <c r="BA33" s="225">
        <f t="shared" ref="BA33:BA37" si="179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80">IFERROR(VLOOKUP($B33 &amp; $C33&amp;BC$4,tblForecast,BC$2,FALSE),0)</f>
        <v>0</v>
      </c>
      <c r="BD33" s="226">
        <f t="shared" ca="1" si="147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7" si="181">IF(BA33&lt;&gt;0,Q33/BA33,0)</f>
        <v>0</v>
      </c>
      <c r="BK33" s="96">
        <f t="shared" ref="BK33:BK37" ca="1" si="182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3">IFERROR(VLOOKUP($B33 &amp; $C33&amp;BT$4,tblForecast,BT$2,FALSE),0)</f>
        <v>0</v>
      </c>
      <c r="BU33" s="226">
        <f t="shared" si="183"/>
        <v>0</v>
      </c>
      <c r="BV33" s="226">
        <f>IFERROR(VLOOKUP($B33 &amp; $C33&amp;BV$4,tblForecast,BV$2,FALSE),0)</f>
        <v>0</v>
      </c>
      <c r="BW33" s="226">
        <f t="shared" ref="BW33:BX42" si="184">IFERROR(VLOOKUP($B33 &amp; $C33&amp;BW$4,tblForecast,BW$2,FALSE),0)</f>
        <v>0</v>
      </c>
      <c r="BX33" s="226">
        <f t="shared" si="184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5">IFERROR(VLOOKUP($B33 &amp; $C33&amp;CA$4,tblForecast,CA$2,FALSE),0)</f>
        <v>0</v>
      </c>
      <c r="CB33" s="90">
        <f t="shared" si="185"/>
        <v>0</v>
      </c>
      <c r="CC33" s="90">
        <f>IFERROR(VLOOKUP($B33 &amp; $C33&amp;CC$4,tblForecast,CC$2,FALSE),0)</f>
        <v>0</v>
      </c>
      <c r="CD33" s="90">
        <f t="shared" ref="CD33:CE42" si="186">IFERROR(VLOOKUP($B33 &amp; $C33&amp;CD$4,tblForecast,CD$2,FALSE),0)</f>
        <v>0</v>
      </c>
      <c r="CE33" s="90">
        <f t="shared" si="186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87">IFERROR(VLOOKUP($B33 &amp; $C33&amp;CH$4,tblForecast,CH$2,FALSE),0)</f>
        <v>0</v>
      </c>
      <c r="CI33" s="90">
        <f t="shared" si="187"/>
        <v>0</v>
      </c>
      <c r="CJ33" s="90">
        <f>IFERROR(VLOOKUP($B33 &amp; $C33&amp;CJ$4,tblForecast,CJ$2,FALSE),0)</f>
        <v>0</v>
      </c>
      <c r="CK33" s="90">
        <f t="shared" ref="CK33:CL42" si="188">IFERROR(VLOOKUP($B33 &amp; $C33&amp;CK$4,tblForecast,CK$2,FALSE),0)</f>
        <v>0</v>
      </c>
      <c r="CL33" s="90">
        <f t="shared" si="188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>
        <f>IFERROR(VLOOKUP($B33 &amp; $C33&amp;CU$4,tblForecast,CU$2,FALSE),0)</f>
        <v>0</v>
      </c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301</v>
      </c>
      <c r="B34" s="44">
        <v>2018</v>
      </c>
      <c r="C34" s="88">
        <v>19</v>
      </c>
      <c r="D34" s="97">
        <f t="shared" ref="D34:D37" si="189">G34*H34</f>
        <v>0</v>
      </c>
      <c r="E34" s="201">
        <f t="shared" ref="E34:E37" si="190">IFERROR(D34*F34,0)</f>
        <v>0</v>
      </c>
      <c r="F34" s="181">
        <f t="shared" si="45"/>
        <v>0</v>
      </c>
      <c r="G34" s="175">
        <f t="shared" si="171"/>
        <v>0</v>
      </c>
      <c r="H34" s="202">
        <f t="shared" si="171"/>
        <v>0</v>
      </c>
      <c r="I34" s="202">
        <f t="shared" si="171"/>
        <v>0</v>
      </c>
      <c r="J34" s="175">
        <f>IFERROR(VLOOKUP($B34 &amp; $C34&amp;J$4&amp;$A34,tblForecast,J$2,FALSE),0)+IFERROR(VLOOKUP($B34 &amp; $C34 &amp; J$4 &amp; $A34,tblForecast,J$2+1,FALSE),0)</f>
        <v>0</v>
      </c>
      <c r="K34" s="296">
        <f>IFERROR(VLOOKUP($B34 &amp; $C34&amp;K$4&amp;$A34,tblForecast,K$2+2,FALSE),0)</f>
        <v>0</v>
      </c>
      <c r="L34" s="90">
        <f>Q34*AM34</f>
        <v>0</v>
      </c>
      <c r="M34" s="90">
        <f t="shared" si="172"/>
        <v>0</v>
      </c>
      <c r="N34" s="90">
        <f t="shared" si="172"/>
        <v>0</v>
      </c>
      <c r="O34" s="90">
        <f t="shared" ca="1" si="172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3"/>
        <v>0</v>
      </c>
      <c r="S34" s="238">
        <f t="shared" si="173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W37" si="191">IFERROR(IF(Q33&lt;&gt;0,Q34/Q33,0),0)</f>
        <v>0</v>
      </c>
      <c r="W34" s="324">
        <f t="shared" si="191"/>
        <v>0</v>
      </c>
      <c r="X34" s="244">
        <f t="shared" ref="X34:X37" ca="1" si="192">IFERROR(IF(T33&lt;&gt;0,T34/T33,0),0)</f>
        <v>0</v>
      </c>
      <c r="Y34" s="97">
        <f t="shared" si="174"/>
        <v>0</v>
      </c>
      <c r="Z34" s="90">
        <f t="shared" si="174"/>
        <v>0</v>
      </c>
      <c r="AA34" s="90">
        <f t="shared" si="174"/>
        <v>0</v>
      </c>
      <c r="AB34" s="90">
        <f t="shared" ca="1" si="174"/>
        <v>0</v>
      </c>
      <c r="AC34" s="91">
        <f t="shared" ca="1" si="9"/>
        <v>0</v>
      </c>
      <c r="AD34" s="75">
        <f t="shared" ref="AD34:AD37" si="193">IF(AM34&lt;&gt;0,1-AR34/AM34,0)</f>
        <v>0</v>
      </c>
      <c r="AE34" s="93">
        <f t="shared" si="175"/>
        <v>0</v>
      </c>
      <c r="AF34" s="93">
        <f t="shared" si="175"/>
        <v>0</v>
      </c>
      <c r="AG34" s="93">
        <f t="shared" ca="1" si="175"/>
        <v>0</v>
      </c>
      <c r="AH34" s="104">
        <f>IFERROR(VLOOKUP($B34 &amp; $C34&amp;AH$4,tblForecast,AH$2,FALSE),0)</f>
        <v>0</v>
      </c>
      <c r="AI34" s="94">
        <f t="shared" si="176"/>
        <v>0</v>
      </c>
      <c r="AJ34" s="94">
        <f t="shared" si="176"/>
        <v>0</v>
      </c>
      <c r="AK34" s="94">
        <f ca="1">IFERROR(CF34/BY34,0)</f>
        <v>0</v>
      </c>
      <c r="AL34" s="91">
        <f t="shared" ca="1" si="142"/>
        <v>0</v>
      </c>
      <c r="AM34" s="104">
        <f>IFERROR(VLOOKUP($B34 &amp; $C34&amp;AM$4,tblForecast,AM$2,FALSE),0)</f>
        <v>0</v>
      </c>
      <c r="AN34" s="94">
        <f t="shared" si="177"/>
        <v>0</v>
      </c>
      <c r="AO34" s="94">
        <f t="shared" si="177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78"/>
        <v>0</v>
      </c>
      <c r="AT34" s="94">
        <f t="shared" si="178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28"/>
        <v>0</v>
      </c>
      <c r="AX34" s="181">
        <f t="shared" si="128"/>
        <v>0</v>
      </c>
      <c r="AY34" s="181">
        <f t="shared" si="128"/>
        <v>0</v>
      </c>
      <c r="AZ34" s="181">
        <f t="shared" ca="1" si="128"/>
        <v>0</v>
      </c>
      <c r="BA34" s="225">
        <f t="shared" si="179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80"/>
        <v>0</v>
      </c>
      <c r="BD34" s="226">
        <f t="shared" ca="1" si="147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:BI37" ca="1" si="194">IF(T34&lt;&gt;0,BD34/T34,0)</f>
        <v>0</v>
      </c>
      <c r="BJ34" s="183">
        <f t="shared" si="181"/>
        <v>0</v>
      </c>
      <c r="BK34" s="96">
        <f t="shared" ca="1" si="182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3"/>
        <v>0</v>
      </c>
      <c r="BU34" s="226">
        <f t="shared" si="183"/>
        <v>0</v>
      </c>
      <c r="BV34" s="226">
        <f>IFERROR(VLOOKUP($B34 &amp; $C34&amp;BV$4,tblForecast,BV$2,FALSE),0)</f>
        <v>0</v>
      </c>
      <c r="BW34" s="226">
        <f t="shared" si="184"/>
        <v>0</v>
      </c>
      <c r="BX34" s="226">
        <f t="shared" si="184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85"/>
        <v>0</v>
      </c>
      <c r="CB34" s="90">
        <f t="shared" si="185"/>
        <v>0</v>
      </c>
      <c r="CC34" s="90">
        <f>IFERROR(VLOOKUP($B34 &amp; $C34&amp;CC$4,tblForecast,CC$2,FALSE),0)</f>
        <v>0</v>
      </c>
      <c r="CD34" s="90">
        <f t="shared" si="186"/>
        <v>0</v>
      </c>
      <c r="CE34" s="90">
        <f t="shared" si="186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87"/>
        <v>0</v>
      </c>
      <c r="CI34" s="90">
        <f t="shared" si="187"/>
        <v>0</v>
      </c>
      <c r="CJ34" s="90">
        <f>IFERROR(VLOOKUP($B34 &amp; $C34&amp;CJ$4,tblForecast,CJ$2,FALSE),0)</f>
        <v>0</v>
      </c>
      <c r="CK34" s="90">
        <f t="shared" si="188"/>
        <v>0</v>
      </c>
      <c r="CL34" s="90">
        <f t="shared" si="188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>
        <f>IFERROR(VLOOKUP($B34 &amp; $C34&amp;CU$4,tblForecast,CU$2,FALSE),0)</f>
        <v>0</v>
      </c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301</v>
      </c>
      <c r="B35" s="44">
        <v>2018</v>
      </c>
      <c r="C35" s="88">
        <v>20</v>
      </c>
      <c r="D35" s="97">
        <f t="shared" si="189"/>
        <v>0</v>
      </c>
      <c r="E35" s="201">
        <f t="shared" si="190"/>
        <v>0</v>
      </c>
      <c r="F35" s="181">
        <f t="shared" si="45"/>
        <v>0</v>
      </c>
      <c r="G35" s="175">
        <f t="shared" si="171"/>
        <v>0</v>
      </c>
      <c r="H35" s="202">
        <f t="shared" si="171"/>
        <v>0</v>
      </c>
      <c r="I35" s="202">
        <f t="shared" si="171"/>
        <v>0</v>
      </c>
      <c r="J35" s="175">
        <f>IFERROR(VLOOKUP($B35 &amp; $C35&amp;J$4&amp;$A35,tblForecast,J$2,FALSE),0)+IFERROR(VLOOKUP($B35 &amp; $C35 &amp; J$4 &amp; $A35,tblForecast,J$2+1,FALSE),0)</f>
        <v>0</v>
      </c>
      <c r="K35" s="296">
        <f>IFERROR(VLOOKUP($B35 &amp; $C35&amp;K$4&amp;$A35,tblForecast,K$2+2,FALSE),0)</f>
        <v>0</v>
      </c>
      <c r="L35" s="90">
        <f>Q35*AM35</f>
        <v>0</v>
      </c>
      <c r="M35" s="90">
        <f t="shared" si="172"/>
        <v>0</v>
      </c>
      <c r="N35" s="90">
        <f t="shared" si="172"/>
        <v>0</v>
      </c>
      <c r="O35" s="90">
        <f t="shared" ca="1" si="172"/>
        <v>0</v>
      </c>
      <c r="P35" s="91">
        <f t="shared" ca="1" si="39"/>
        <v>0</v>
      </c>
      <c r="Q35" s="236">
        <f>IFERROR(VLOOKUP($B35 &amp; $C35&amp;Q$4,tblForecast,Q$2,FALSE),0)</f>
        <v>0</v>
      </c>
      <c r="R35" s="238">
        <f t="shared" si="173"/>
        <v>0</v>
      </c>
      <c r="S35" s="238">
        <f t="shared" si="173"/>
        <v>0</v>
      </c>
      <c r="T35" s="238">
        <f ca="1">SUMIFS(OFFSET(tblForecast,,T$2,,1),OFFSET(tblForecast,,,,1),$B35-IF(CompareVer="LY",1,0)&amp; $C35 &amp;T$4)</f>
        <v>0</v>
      </c>
      <c r="U35" s="91">
        <f t="shared" ca="1" si="7"/>
        <v>0</v>
      </c>
      <c r="V35" s="243">
        <f t="shared" si="191"/>
        <v>0</v>
      </c>
      <c r="W35" s="324">
        <f t="shared" si="191"/>
        <v>0</v>
      </c>
      <c r="X35" s="244">
        <f t="shared" ca="1" si="192"/>
        <v>0</v>
      </c>
      <c r="Y35" s="97">
        <f t="shared" si="174"/>
        <v>0</v>
      </c>
      <c r="Z35" s="90">
        <f t="shared" si="174"/>
        <v>0</v>
      </c>
      <c r="AA35" s="90">
        <f t="shared" si="174"/>
        <v>0</v>
      </c>
      <c r="AB35" s="90">
        <f t="shared" ca="1" si="174"/>
        <v>0</v>
      </c>
      <c r="AC35" s="91">
        <f t="shared" ca="1" si="9"/>
        <v>0</v>
      </c>
      <c r="AD35" s="75">
        <f t="shared" si="193"/>
        <v>0</v>
      </c>
      <c r="AE35" s="93">
        <f t="shared" si="175"/>
        <v>0</v>
      </c>
      <c r="AF35" s="93">
        <f t="shared" si="175"/>
        <v>0</v>
      </c>
      <c r="AG35" s="93">
        <f t="shared" ca="1" si="175"/>
        <v>0</v>
      </c>
      <c r="AH35" s="104">
        <f>IFERROR(VLOOKUP($B35 &amp; $C35&amp;AH$4,tblForecast,AH$2,FALSE),0)</f>
        <v>0</v>
      </c>
      <c r="AI35" s="94">
        <f t="shared" si="176"/>
        <v>0</v>
      </c>
      <c r="AJ35" s="94">
        <f t="shared" si="176"/>
        <v>0</v>
      </c>
      <c r="AK35" s="94">
        <f ca="1">IFERROR(CF35/BY35,0)</f>
        <v>0</v>
      </c>
      <c r="AL35" s="91">
        <f t="shared" ca="1" si="142"/>
        <v>0</v>
      </c>
      <c r="AM35" s="104">
        <f>IFERROR(VLOOKUP($B35 &amp; $C35&amp;AM$4,tblForecast,AM$2,FALSE),0)</f>
        <v>0</v>
      </c>
      <c r="AN35" s="94">
        <f t="shared" si="177"/>
        <v>0</v>
      </c>
      <c r="AO35" s="94">
        <f t="shared" si="177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ca="1" si="14"/>
        <v>0</v>
      </c>
      <c r="AR35" s="104">
        <f>IFERROR(VLOOKUP($B35 &amp; $C35&amp;AR$4,tblForecast,AR$2,FALSE),0)</f>
        <v>0</v>
      </c>
      <c r="AS35" s="94">
        <f t="shared" si="178"/>
        <v>0</v>
      </c>
      <c r="AT35" s="94">
        <f t="shared" si="178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ca="1" si="16"/>
        <v>0</v>
      </c>
      <c r="AW35" s="180">
        <f t="shared" si="128"/>
        <v>0</v>
      </c>
      <c r="AX35" s="181">
        <f t="shared" si="128"/>
        <v>0</v>
      </c>
      <c r="AY35" s="181">
        <f t="shared" si="128"/>
        <v>0</v>
      </c>
      <c r="AZ35" s="181">
        <f t="shared" ca="1" si="128"/>
        <v>0</v>
      </c>
      <c r="BA35" s="225">
        <f t="shared" si="179"/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80"/>
        <v>0</v>
      </c>
      <c r="BD35" s="226">
        <f t="shared" ca="1" si="147"/>
        <v>0</v>
      </c>
      <c r="BE35" s="176">
        <f t="shared" ca="1" si="19"/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ca="1" si="194"/>
        <v>0</v>
      </c>
      <c r="BJ35" s="183">
        <f t="shared" si="181"/>
        <v>0</v>
      </c>
      <c r="BK35" s="96">
        <f t="shared" ca="1" si="182"/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si="43"/>
        <v>0</v>
      </c>
      <c r="BS35" s="226">
        <f t="shared" ca="1" si="22"/>
        <v>0</v>
      </c>
      <c r="BT35" s="225">
        <f t="shared" si="183"/>
        <v>0</v>
      </c>
      <c r="BU35" s="226">
        <f t="shared" si="183"/>
        <v>0</v>
      </c>
      <c r="BV35" s="226">
        <f>IFERROR(VLOOKUP($B35 &amp; $C35&amp;BV$4,tblForecast,BV$2,FALSE),0)</f>
        <v>0</v>
      </c>
      <c r="BW35" s="226">
        <f t="shared" si="184"/>
        <v>0</v>
      </c>
      <c r="BX35" s="226">
        <f t="shared" si="184"/>
        <v>0</v>
      </c>
      <c r="BY35" s="175">
        <f ca="1">SUMIFS(OFFSET(tblForecast,,BY$2,,1),OFFSET(tblForecast,,,,1),$B35-IF(CompareVer="LY",1,0)&amp; $C35 &amp;BY$4)</f>
        <v>0</v>
      </c>
      <c r="BZ35" s="176">
        <f t="shared" ca="1" si="25"/>
        <v>0</v>
      </c>
      <c r="CA35" s="90">
        <f t="shared" si="185"/>
        <v>0</v>
      </c>
      <c r="CB35" s="90">
        <f t="shared" si="185"/>
        <v>0</v>
      </c>
      <c r="CC35" s="90">
        <f>IFERROR(VLOOKUP($B35 &amp; $C35&amp;CC$4,tblForecast,CC$2,FALSE),0)</f>
        <v>0</v>
      </c>
      <c r="CD35" s="90">
        <f t="shared" si="186"/>
        <v>0</v>
      </c>
      <c r="CE35" s="90">
        <f t="shared" si="186"/>
        <v>0</v>
      </c>
      <c r="CF35" s="90">
        <f ca="1">SUMIFS(OFFSET(tblForecast,,CF$2,,1),OFFSET(tblForecast,,,,1),$B35-IF(CompareVer="LY",1,0)&amp; $C35 &amp;CF$4)</f>
        <v>0</v>
      </c>
      <c r="CG35" s="176">
        <f t="shared" ca="1" si="28"/>
        <v>0</v>
      </c>
      <c r="CH35" s="90">
        <f t="shared" si="187"/>
        <v>0</v>
      </c>
      <c r="CI35" s="90">
        <f t="shared" si="187"/>
        <v>0</v>
      </c>
      <c r="CJ35" s="90">
        <f>IFERROR(VLOOKUP($B35 &amp; $C35&amp;CJ$4,tblForecast,CJ$2,FALSE),0)</f>
        <v>0</v>
      </c>
      <c r="CK35" s="90">
        <f t="shared" si="188"/>
        <v>0</v>
      </c>
      <c r="CL35" s="90">
        <f t="shared" si="188"/>
        <v>0</v>
      </c>
      <c r="CM35" s="90">
        <f ca="1">SUMIFS(OFFSET(tblForecast,,CM$2,,1),OFFSET(tblForecast,,,,1),$B35-IF(CompareVer="LY",1,0)&amp; $C35 &amp;CM$4)</f>
        <v>0</v>
      </c>
      <c r="CN35" s="176">
        <f t="shared" ca="1" si="31"/>
        <v>0</v>
      </c>
      <c r="CO35" s="177">
        <f t="shared" si="46"/>
        <v>0</v>
      </c>
      <c r="CP35" s="221">
        <f t="shared" ca="1" si="46"/>
        <v>0</v>
      </c>
      <c r="CQ35" s="176">
        <f t="shared" ca="1" si="33"/>
        <v>0</v>
      </c>
      <c r="CR35" s="177">
        <f t="shared" si="44"/>
        <v>0</v>
      </c>
      <c r="CS35" s="221">
        <f t="shared" ca="1" si="34"/>
        <v>0</v>
      </c>
      <c r="CT35" s="176">
        <f t="shared" ca="1" si="47"/>
        <v>0</v>
      </c>
      <c r="CU35" s="44">
        <f>IFERROR(VLOOKUP($B35 &amp; $C35&amp;CU$4,tblForecast,CU$2,FALSE),0)</f>
        <v>0</v>
      </c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ca="1" si="36"/>
        <v>0</v>
      </c>
      <c r="CZ35" s="276">
        <f>IFERROR(VLOOKUP(Brand&amp;Channel&amp;Country&amp;$C35,tblDiscount,6,FALSE),0)</f>
        <v>0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301</v>
      </c>
      <c r="B36" s="44">
        <v>2018</v>
      </c>
      <c r="C36" s="88">
        <v>21</v>
      </c>
      <c r="D36" s="97">
        <f t="shared" si="189"/>
        <v>0</v>
      </c>
      <c r="E36" s="201">
        <f t="shared" si="190"/>
        <v>0</v>
      </c>
      <c r="F36" s="181">
        <f t="shared" si="45"/>
        <v>0</v>
      </c>
      <c r="G36" s="175">
        <f t="shared" si="171"/>
        <v>0</v>
      </c>
      <c r="H36" s="202">
        <f t="shared" si="171"/>
        <v>0</v>
      </c>
      <c r="I36" s="202">
        <f t="shared" si="171"/>
        <v>0</v>
      </c>
      <c r="J36" s="175">
        <f>IFERROR(VLOOKUP($B36 &amp; $C36&amp;J$4&amp;$A36,tblForecast,J$2,FALSE),0)+IFERROR(VLOOKUP($B36 &amp; $C36 &amp; J$4 &amp; $A36,tblForecast,J$2+1,FALSE),0)</f>
        <v>0</v>
      </c>
      <c r="K36" s="296">
        <f>IFERROR(VLOOKUP($B36 &amp; $C36&amp;K$4&amp;$A36,tblForecast,K$2+2,FALSE),0)</f>
        <v>0</v>
      </c>
      <c r="L36" s="90">
        <f t="shared" ref="L36:L37" si="195">Q36*AM36</f>
        <v>0</v>
      </c>
      <c r="M36" s="90">
        <f t="shared" si="172"/>
        <v>0</v>
      </c>
      <c r="N36" s="90">
        <f t="shared" si="172"/>
        <v>0</v>
      </c>
      <c r="O36" s="90">
        <f t="shared" ca="1" si="172"/>
        <v>0</v>
      </c>
      <c r="P36" s="91">
        <f t="shared" ca="1" si="39"/>
        <v>0</v>
      </c>
      <c r="Q36" s="236">
        <f>IFERROR(VLOOKUP($B36 &amp; $C36&amp;Q$4,tblForecast,Q$2,FALSE),0)</f>
        <v>0</v>
      </c>
      <c r="R36" s="238">
        <f t="shared" si="173"/>
        <v>0</v>
      </c>
      <c r="S36" s="238">
        <f t="shared" si="173"/>
        <v>0</v>
      </c>
      <c r="T36" s="238">
        <f ca="1">SUMIFS(OFFSET(tblForecast,,T$2,,1),OFFSET(tblForecast,,,,1),$B36-IF(CompareVer="LY",1,0)&amp; $C36 &amp;T$4)</f>
        <v>0</v>
      </c>
      <c r="U36" s="91">
        <f t="shared" ca="1" si="7"/>
        <v>0</v>
      </c>
      <c r="V36" s="243">
        <f t="shared" si="191"/>
        <v>0</v>
      </c>
      <c r="W36" s="324">
        <f t="shared" si="191"/>
        <v>0</v>
      </c>
      <c r="X36" s="244">
        <f t="shared" ca="1" si="192"/>
        <v>0</v>
      </c>
      <c r="Y36" s="97">
        <f t="shared" si="174"/>
        <v>0</v>
      </c>
      <c r="Z36" s="90">
        <f t="shared" si="174"/>
        <v>0</v>
      </c>
      <c r="AA36" s="90">
        <f t="shared" si="174"/>
        <v>0</v>
      </c>
      <c r="AB36" s="90">
        <f t="shared" ca="1" si="174"/>
        <v>0</v>
      </c>
      <c r="AC36" s="91">
        <f t="shared" ca="1" si="9"/>
        <v>0</v>
      </c>
      <c r="AD36" s="75">
        <f t="shared" si="193"/>
        <v>0</v>
      </c>
      <c r="AE36" s="93">
        <f t="shared" si="175"/>
        <v>0</v>
      </c>
      <c r="AF36" s="93">
        <f t="shared" si="175"/>
        <v>0</v>
      </c>
      <c r="AG36" s="93">
        <f t="shared" ca="1" si="175"/>
        <v>0</v>
      </c>
      <c r="AH36" s="104">
        <f>IFERROR(VLOOKUP($B36 &amp; $C36&amp;AH$4,tblForecast,AH$2,FALSE),0)</f>
        <v>0</v>
      </c>
      <c r="AI36" s="94">
        <f t="shared" si="176"/>
        <v>0</v>
      </c>
      <c r="AJ36" s="94">
        <f t="shared" si="176"/>
        <v>0</v>
      </c>
      <c r="AK36" s="94">
        <f ca="1">IFERROR(CF36/BY36,0)</f>
        <v>0</v>
      </c>
      <c r="AL36" s="91">
        <f t="shared" ca="1" si="142"/>
        <v>0</v>
      </c>
      <c r="AM36" s="104">
        <f>IFERROR(VLOOKUP($B36 &amp; $C36&amp;AM$4,tblForecast,AM$2,FALSE),0)</f>
        <v>0</v>
      </c>
      <c r="AN36" s="94">
        <f t="shared" si="177"/>
        <v>0</v>
      </c>
      <c r="AO36" s="94">
        <f t="shared" si="177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ca="1" si="14"/>
        <v>0</v>
      </c>
      <c r="AR36" s="104">
        <f>IFERROR(VLOOKUP($B36 &amp; $C36&amp;AR$4,tblForecast,AR$2,FALSE),0)</f>
        <v>0</v>
      </c>
      <c r="AS36" s="94">
        <f t="shared" si="178"/>
        <v>0</v>
      </c>
      <c r="AT36" s="94">
        <f t="shared" si="178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ca="1" si="16"/>
        <v>0</v>
      </c>
      <c r="AW36" s="180">
        <f t="shared" si="128"/>
        <v>0</v>
      </c>
      <c r="AX36" s="181">
        <f t="shared" si="128"/>
        <v>0</v>
      </c>
      <c r="AY36" s="181">
        <f t="shared" si="128"/>
        <v>0</v>
      </c>
      <c r="AZ36" s="181">
        <f t="shared" ca="1" si="128"/>
        <v>0</v>
      </c>
      <c r="BA36" s="225">
        <f t="shared" si="179"/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80"/>
        <v>0</v>
      </c>
      <c r="BD36" s="226">
        <f t="shared" ca="1" si="147"/>
        <v>0</v>
      </c>
      <c r="BE36" s="176">
        <f t="shared" ca="1" si="19"/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196">IF(Q36&lt;&gt;0,BA36/Q36,0)</f>
        <v>0</v>
      </c>
      <c r="BI36" s="186">
        <f t="shared" ca="1" si="194"/>
        <v>0</v>
      </c>
      <c r="BJ36" s="183">
        <f t="shared" si="181"/>
        <v>0</v>
      </c>
      <c r="BK36" s="96">
        <f t="shared" ca="1" si="182"/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si="43"/>
        <v>0</v>
      </c>
      <c r="BS36" s="226">
        <f t="shared" ca="1" si="22"/>
        <v>0</v>
      </c>
      <c r="BT36" s="225">
        <f t="shared" si="183"/>
        <v>0</v>
      </c>
      <c r="BU36" s="226">
        <f t="shared" si="183"/>
        <v>0</v>
      </c>
      <c r="BV36" s="226">
        <f>IFERROR(VLOOKUP($B36 &amp; $C36&amp;BV$4,tblForecast,BV$2,FALSE),0)</f>
        <v>0</v>
      </c>
      <c r="BW36" s="226">
        <f t="shared" si="184"/>
        <v>0</v>
      </c>
      <c r="BX36" s="226">
        <f t="shared" si="184"/>
        <v>0</v>
      </c>
      <c r="BY36" s="175">
        <f ca="1">SUMIFS(OFFSET(tblForecast,,BY$2,,1),OFFSET(tblForecast,,,,1),$B36-IF(CompareVer="LY",1,0)&amp; $C36 &amp;BY$4)</f>
        <v>0</v>
      </c>
      <c r="BZ36" s="176">
        <f t="shared" ca="1" si="25"/>
        <v>0</v>
      </c>
      <c r="CA36" s="90">
        <f t="shared" si="185"/>
        <v>0</v>
      </c>
      <c r="CB36" s="90">
        <f t="shared" si="185"/>
        <v>0</v>
      </c>
      <c r="CC36" s="90">
        <f>IFERROR(VLOOKUP($B36 &amp; $C36&amp;CC$4,tblForecast,CC$2,FALSE),0)</f>
        <v>0</v>
      </c>
      <c r="CD36" s="90">
        <f t="shared" si="186"/>
        <v>0</v>
      </c>
      <c r="CE36" s="90">
        <f t="shared" si="186"/>
        <v>0</v>
      </c>
      <c r="CF36" s="90">
        <f ca="1">SUMIFS(OFFSET(tblForecast,,CF$2,,1),OFFSET(tblForecast,,,,1),$B36-IF(CompareVer="LY",1,0)&amp; $C36 &amp;CF$4)</f>
        <v>0</v>
      </c>
      <c r="CG36" s="176">
        <f t="shared" ca="1" si="28"/>
        <v>0</v>
      </c>
      <c r="CH36" s="90">
        <f t="shared" si="187"/>
        <v>0</v>
      </c>
      <c r="CI36" s="90">
        <f t="shared" si="187"/>
        <v>0</v>
      </c>
      <c r="CJ36" s="90">
        <f>IFERROR(VLOOKUP($B36 &amp; $C36&amp;CJ$4,tblForecast,CJ$2,FALSE),0)</f>
        <v>0</v>
      </c>
      <c r="CK36" s="90">
        <f t="shared" si="188"/>
        <v>0</v>
      </c>
      <c r="CL36" s="90">
        <f t="shared" si="188"/>
        <v>0</v>
      </c>
      <c r="CM36" s="90">
        <f ca="1">SUMIFS(OFFSET(tblForecast,,CM$2,,1),OFFSET(tblForecast,,,,1),$B36-IF(CompareVer="LY",1,0)&amp; $C36 &amp;CM$4)</f>
        <v>0</v>
      </c>
      <c r="CN36" s="176">
        <f t="shared" ca="1" si="31"/>
        <v>0</v>
      </c>
      <c r="CO36" s="177">
        <f t="shared" si="46"/>
        <v>0</v>
      </c>
      <c r="CP36" s="221">
        <f t="shared" ca="1" si="46"/>
        <v>0</v>
      </c>
      <c r="CQ36" s="176">
        <f t="shared" ca="1" si="33"/>
        <v>0</v>
      </c>
      <c r="CR36" s="177">
        <f t="shared" si="44"/>
        <v>0</v>
      </c>
      <c r="CS36" s="221">
        <f t="shared" ca="1" si="34"/>
        <v>0</v>
      </c>
      <c r="CT36" s="176">
        <f t="shared" ca="1" si="47"/>
        <v>0</v>
      </c>
      <c r="CU36" s="44">
        <f>IFERROR(VLOOKUP($B36 &amp; $C36&amp;CU$4,tblForecast,CU$2,FALSE),0)</f>
        <v>0</v>
      </c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ca="1" si="36"/>
        <v>0</v>
      </c>
      <c r="CZ36" s="276">
        <f>IFERROR(VLOOKUP(Brand&amp;Channel&amp;Country&amp;$C36,tblDiscount,6,FALSE),0)</f>
        <v>0</v>
      </c>
      <c r="DA36" s="277">
        <f t="shared" ref="DA36:DA37" si="197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301</v>
      </c>
      <c r="B37" s="44">
        <v>2018</v>
      </c>
      <c r="C37" s="88">
        <v>22</v>
      </c>
      <c r="D37" s="97">
        <f t="shared" si="189"/>
        <v>0</v>
      </c>
      <c r="E37" s="201">
        <f t="shared" si="190"/>
        <v>0</v>
      </c>
      <c r="F37" s="181">
        <f t="shared" si="45"/>
        <v>0</v>
      </c>
      <c r="G37" s="175">
        <f t="shared" si="171"/>
        <v>0</v>
      </c>
      <c r="H37" s="202">
        <f t="shared" si="171"/>
        <v>0</v>
      </c>
      <c r="I37" s="202">
        <f t="shared" si="171"/>
        <v>0</v>
      </c>
      <c r="J37" s="175">
        <f>IFERROR(VLOOKUP($B37 &amp; $C37&amp;J$4&amp;$A37,tblForecast,J$2,FALSE),0)+IFERROR(VLOOKUP($B37 &amp; $C37 &amp; J$4 &amp; $A37,tblForecast,J$2+1,FALSE),0)</f>
        <v>0</v>
      </c>
      <c r="K37" s="296">
        <f>IFERROR(VLOOKUP($B37 &amp; $C37&amp;K$4&amp;$A37,tblForecast,K$2+2,FALSE),0)</f>
        <v>0</v>
      </c>
      <c r="L37" s="90">
        <f t="shared" si="195"/>
        <v>0</v>
      </c>
      <c r="M37" s="90">
        <f t="shared" si="172"/>
        <v>0</v>
      </c>
      <c r="N37" s="90">
        <f t="shared" si="172"/>
        <v>0</v>
      </c>
      <c r="O37" s="90">
        <f t="shared" ca="1" si="172"/>
        <v>0</v>
      </c>
      <c r="P37" s="91">
        <f t="shared" ca="1" si="39"/>
        <v>0</v>
      </c>
      <c r="Q37" s="236">
        <f>IFERROR(VLOOKUP($B37 &amp; $C37&amp;Q$4,tblForecast,Q$2,FALSE),0)</f>
        <v>0</v>
      </c>
      <c r="R37" s="238">
        <f t="shared" si="173"/>
        <v>0</v>
      </c>
      <c r="S37" s="238">
        <f t="shared" si="173"/>
        <v>0</v>
      </c>
      <c r="T37" s="238">
        <f ca="1">SUMIFS(OFFSET(tblForecast,,T$2,,1),OFFSET(tblForecast,,,,1),$B37-IF(CompareVer="LY",1,0)&amp; $C37 &amp;T$4)</f>
        <v>0</v>
      </c>
      <c r="U37" s="91">
        <f t="shared" ca="1" si="7"/>
        <v>0</v>
      </c>
      <c r="V37" s="243">
        <f t="shared" si="191"/>
        <v>0</v>
      </c>
      <c r="W37" s="324">
        <f t="shared" si="191"/>
        <v>0</v>
      </c>
      <c r="X37" s="244">
        <f t="shared" ca="1" si="192"/>
        <v>0</v>
      </c>
      <c r="Y37" s="97">
        <f t="shared" si="174"/>
        <v>0</v>
      </c>
      <c r="Z37" s="90">
        <f t="shared" si="174"/>
        <v>0</v>
      </c>
      <c r="AA37" s="90">
        <f t="shared" si="174"/>
        <v>0</v>
      </c>
      <c r="AB37" s="90">
        <f t="shared" ca="1" si="174"/>
        <v>0</v>
      </c>
      <c r="AC37" s="91">
        <f t="shared" ca="1" si="9"/>
        <v>0</v>
      </c>
      <c r="AD37" s="75">
        <f t="shared" si="193"/>
        <v>0</v>
      </c>
      <c r="AE37" s="93">
        <f t="shared" si="175"/>
        <v>0</v>
      </c>
      <c r="AF37" s="93">
        <f t="shared" si="175"/>
        <v>0</v>
      </c>
      <c r="AG37" s="93">
        <f t="shared" ca="1" si="175"/>
        <v>0</v>
      </c>
      <c r="AH37" s="104">
        <f>IFERROR(VLOOKUP($B37 &amp; $C37&amp;AH$4,tblForecast,AH$2,FALSE),0)</f>
        <v>0</v>
      </c>
      <c r="AI37" s="94">
        <f t="shared" si="176"/>
        <v>0</v>
      </c>
      <c r="AJ37" s="94">
        <f t="shared" si="176"/>
        <v>0</v>
      </c>
      <c r="AK37" s="94">
        <f ca="1">IFERROR(CF37/BY37,0)</f>
        <v>0</v>
      </c>
      <c r="AL37" s="91">
        <f t="shared" ca="1" si="142"/>
        <v>0</v>
      </c>
      <c r="AM37" s="104">
        <f>IFERROR(VLOOKUP($B37 &amp; $C37&amp;AM$4,tblForecast,AM$2,FALSE),0)</f>
        <v>0</v>
      </c>
      <c r="AN37" s="94">
        <f t="shared" si="177"/>
        <v>0</v>
      </c>
      <c r="AO37" s="94">
        <f t="shared" si="177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14"/>
        <v>0</v>
      </c>
      <c r="AR37" s="104">
        <f>IFERROR(VLOOKUP($B37 &amp; $C37&amp;AR$4,tblForecast,AR$2,FALSE),0)</f>
        <v>0</v>
      </c>
      <c r="AS37" s="94">
        <f t="shared" si="178"/>
        <v>0</v>
      </c>
      <c r="AT37" s="94">
        <f t="shared" si="178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16"/>
        <v>0</v>
      </c>
      <c r="AW37" s="180">
        <f t="shared" si="128"/>
        <v>0</v>
      </c>
      <c r="AX37" s="181">
        <f t="shared" si="128"/>
        <v>0</v>
      </c>
      <c r="AY37" s="181">
        <f t="shared" si="128"/>
        <v>0</v>
      </c>
      <c r="AZ37" s="181">
        <f t="shared" ca="1" si="128"/>
        <v>0</v>
      </c>
      <c r="BA37" s="225">
        <f t="shared" si="179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80"/>
        <v>0</v>
      </c>
      <c r="BD37" s="226">
        <f t="shared" ca="1" si="147"/>
        <v>0</v>
      </c>
      <c r="BE37" s="176">
        <f t="shared" ca="1" si="19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196"/>
        <v>0</v>
      </c>
      <c r="BI37" s="186">
        <f t="shared" ca="1" si="194"/>
        <v>0</v>
      </c>
      <c r="BJ37" s="183">
        <f t="shared" si="181"/>
        <v>0</v>
      </c>
      <c r="BK37" s="96">
        <f t="shared" ca="1" si="182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43"/>
        <v>0</v>
      </c>
      <c r="BS37" s="226">
        <f t="shared" ca="1" si="22"/>
        <v>0</v>
      </c>
      <c r="BT37" s="225">
        <f t="shared" si="183"/>
        <v>0</v>
      </c>
      <c r="BU37" s="226">
        <f t="shared" si="183"/>
        <v>0</v>
      </c>
      <c r="BV37" s="226">
        <f>IFERROR(VLOOKUP($B37 &amp; $C37&amp;BV$4,tblForecast,BV$2,FALSE),0)</f>
        <v>0</v>
      </c>
      <c r="BW37" s="226">
        <f t="shared" si="184"/>
        <v>0</v>
      </c>
      <c r="BX37" s="226">
        <f t="shared" si="184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5"/>
        <v>0</v>
      </c>
      <c r="CA37" s="90">
        <f t="shared" si="185"/>
        <v>0</v>
      </c>
      <c r="CB37" s="90">
        <f t="shared" si="185"/>
        <v>0</v>
      </c>
      <c r="CC37" s="90">
        <f>IFERROR(VLOOKUP($B37 &amp; $C37&amp;CC$4,tblForecast,CC$2,FALSE),0)</f>
        <v>0</v>
      </c>
      <c r="CD37" s="90">
        <f t="shared" si="186"/>
        <v>0</v>
      </c>
      <c r="CE37" s="90">
        <f t="shared" si="186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"/>
        <v>0</v>
      </c>
      <c r="CH37" s="90">
        <f t="shared" si="187"/>
        <v>0</v>
      </c>
      <c r="CI37" s="90">
        <f t="shared" si="187"/>
        <v>0</v>
      </c>
      <c r="CJ37" s="90">
        <f>IFERROR(VLOOKUP($B37 &amp; $C37&amp;CJ$4,tblForecast,CJ$2,FALSE),0)</f>
        <v>0</v>
      </c>
      <c r="CK37" s="90">
        <f t="shared" si="188"/>
        <v>0</v>
      </c>
      <c r="CL37" s="90">
        <f t="shared" si="188"/>
        <v>0</v>
      </c>
      <c r="CM37" s="90">
        <f ca="1">SUMIFS(OFFSET(tblForecast,,CM$2,,1),OFFSET(tblForecast,,,,1),$B37-IF(CompareVer="LY",1,0)&amp; $C37 &amp;CM$4)</f>
        <v>0</v>
      </c>
      <c r="CN37" s="176">
        <f t="shared" ca="1" si="31"/>
        <v>0</v>
      </c>
      <c r="CO37" s="177">
        <f t="shared" si="46"/>
        <v>0</v>
      </c>
      <c r="CP37" s="221">
        <f t="shared" ca="1" si="46"/>
        <v>0</v>
      </c>
      <c r="CQ37" s="176">
        <f t="shared" ca="1" si="33"/>
        <v>0</v>
      </c>
      <c r="CR37" s="177">
        <f t="shared" si="44"/>
        <v>0</v>
      </c>
      <c r="CS37" s="221">
        <f t="shared" ca="1" si="34"/>
        <v>0</v>
      </c>
      <c r="CT37" s="176">
        <f t="shared" ca="1" si="47"/>
        <v>0</v>
      </c>
      <c r="CU37" s="44">
        <f>IFERROR(VLOOKUP($B37 &amp; $C37&amp;CU$4,tblForecast,CU$2,FALSE),0)</f>
        <v>0</v>
      </c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36"/>
        <v>0</v>
      </c>
      <c r="CZ37" s="276">
        <f>IFERROR(VLOOKUP(Brand&amp;Channel&amp;Country&amp;$C37,tblDiscount,6,FALSE),0)</f>
        <v>0</v>
      </c>
      <c r="DA37" s="277">
        <f t="shared" si="197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s="44" customFormat="1" ht="16.5" thickBot="1" x14ac:dyDescent="0.3">
      <c r="C38" s="251" t="s">
        <v>28</v>
      </c>
      <c r="D38" s="252">
        <f>SUM(D33:D37)</f>
        <v>0</v>
      </c>
      <c r="E38" s="253">
        <f>SUM(E33:E37)</f>
        <v>0</v>
      </c>
      <c r="F38" s="254">
        <f t="shared" si="45"/>
        <v>0</v>
      </c>
      <c r="G38" s="255">
        <f>SUM(G33:G37)</f>
        <v>0</v>
      </c>
      <c r="H38" s="256">
        <f>IFERROR(D38/G38,0)</f>
        <v>0</v>
      </c>
      <c r="I38" s="256">
        <f>IFERROR(SUMPRODUCT(I33:I37,G33:G37)/G38,0)</f>
        <v>0</v>
      </c>
      <c r="J38" s="255">
        <f>SUM(J33:J37)</f>
        <v>0</v>
      </c>
      <c r="K38" s="297">
        <f>SUM(K33:K37)</f>
        <v>0</v>
      </c>
      <c r="L38" s="257">
        <f>SUM(L33:L37)</f>
        <v>0</v>
      </c>
      <c r="M38" s="257">
        <f t="shared" ref="M38:O38" si="198">SUM(M33:M37)</f>
        <v>0</v>
      </c>
      <c r="N38" s="257">
        <f t="shared" si="198"/>
        <v>0</v>
      </c>
      <c r="O38" s="257">
        <f t="shared" ca="1" si="198"/>
        <v>0</v>
      </c>
      <c r="P38" s="258">
        <f t="shared" ca="1" si="39"/>
        <v>0</v>
      </c>
      <c r="Q38" s="259">
        <f>SUM(Q33:Q37)</f>
        <v>0</v>
      </c>
      <c r="R38" s="260">
        <f t="shared" ref="R38:S38" si="199">SUM(R33:R37)</f>
        <v>0</v>
      </c>
      <c r="S38" s="260">
        <f t="shared" si="199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200">SUM(Z33:Z37)</f>
        <v>0</v>
      </c>
      <c r="AA38" s="257">
        <f t="shared" si="200"/>
        <v>0</v>
      </c>
      <c r="AB38" s="257">
        <f t="shared" ca="1" si="200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2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28"/>
        <v>0</v>
      </c>
      <c r="AX38" s="268">
        <f t="shared" si="128"/>
        <v>0</v>
      </c>
      <c r="AY38" s="268">
        <f t="shared" si="128"/>
        <v>0</v>
      </c>
      <c r="AZ38" s="268">
        <f t="shared" ca="1" si="128"/>
        <v>0</v>
      </c>
      <c r="BA38" s="259">
        <f>BA37</f>
        <v>0</v>
      </c>
      <c r="BB38" s="260">
        <f t="shared" ref="BB38:BD38" si="201">BB37</f>
        <v>0</v>
      </c>
      <c r="BC38" s="260">
        <f t="shared" si="201"/>
        <v>0</v>
      </c>
      <c r="BD38" s="260">
        <f t="shared" ca="1" si="201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02">IF(BA38&lt;&gt;0,(Q38/COUNTIF(BJ33:BJ37,"&lt;&gt;0"))/BA38,0)</f>
        <v>0</v>
      </c>
      <c r="BK38" s="272">
        <f t="shared" ref="BK38" ca="1" si="203">IF(BD38&lt;&gt;0,(T38/COUNTIF(BK33:BK37,"&lt;&gt;0"))/BD38,0)</f>
        <v>0</v>
      </c>
      <c r="BL38" s="259">
        <f t="shared" ref="BL38" si="204">SUM(BL33:BL37)</f>
        <v>0</v>
      </c>
      <c r="BM38" s="260">
        <f ca="1">SUM(BM33:BM37)</f>
        <v>0</v>
      </c>
      <c r="BN38" s="259">
        <f t="shared" ref="BN38:BQ38" si="205">SUM(BN33:BN37)</f>
        <v>0</v>
      </c>
      <c r="BO38" s="260">
        <f t="shared" ca="1" si="205"/>
        <v>0</v>
      </c>
      <c r="BP38" s="259">
        <f t="shared" si="205"/>
        <v>0</v>
      </c>
      <c r="BQ38" s="260">
        <f t="shared" ca="1" si="205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206">SUM(BT33:BT37)</f>
        <v>0</v>
      </c>
      <c r="BU38" s="260">
        <f t="shared" si="206"/>
        <v>0</v>
      </c>
      <c r="BV38" s="260">
        <f t="shared" si="206"/>
        <v>0</v>
      </c>
      <c r="BW38" s="260">
        <f t="shared" si="206"/>
        <v>0</v>
      </c>
      <c r="BX38" s="260">
        <f t="shared" si="206"/>
        <v>0</v>
      </c>
      <c r="BY38" s="273">
        <f t="shared" ca="1" si="206"/>
        <v>0</v>
      </c>
      <c r="BZ38" s="258">
        <f t="shared" ca="1" si="25"/>
        <v>0</v>
      </c>
      <c r="CA38" s="331">
        <f t="shared" ref="CA38:CF38" si="207">SUM(CA33:CA37)</f>
        <v>0</v>
      </c>
      <c r="CB38" s="257">
        <f t="shared" si="207"/>
        <v>0</v>
      </c>
      <c r="CC38" s="257">
        <f t="shared" si="207"/>
        <v>0</v>
      </c>
      <c r="CD38" s="257">
        <f t="shared" si="207"/>
        <v>0</v>
      </c>
      <c r="CE38" s="257">
        <f t="shared" si="207"/>
        <v>0</v>
      </c>
      <c r="CF38" s="257">
        <f t="shared" ca="1" si="207"/>
        <v>0</v>
      </c>
      <c r="CG38" s="258">
        <f t="shared" ca="1" si="28"/>
        <v>0</v>
      </c>
      <c r="CH38" s="331">
        <f t="shared" ref="CH38:CM38" si="208">SUM(CH33:CH37)</f>
        <v>0</v>
      </c>
      <c r="CI38" s="257">
        <f t="shared" si="208"/>
        <v>0</v>
      </c>
      <c r="CJ38" s="257">
        <f t="shared" si="208"/>
        <v>0</v>
      </c>
      <c r="CK38" s="257">
        <f t="shared" si="208"/>
        <v>0</v>
      </c>
      <c r="CL38" s="257">
        <f t="shared" si="208"/>
        <v>0</v>
      </c>
      <c r="CM38" s="257">
        <f t="shared" ca="1" si="208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U38" s="44">
        <f>SUM(CU33:CU37)</f>
        <v>0</v>
      </c>
      <c r="CV38"/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301</v>
      </c>
      <c r="B39" s="44">
        <v>2018</v>
      </c>
      <c r="C39" s="88">
        <v>23</v>
      </c>
      <c r="D39" s="97">
        <f t="shared" ref="D39:D42" si="209">G39*H39</f>
        <v>0</v>
      </c>
      <c r="E39" s="201">
        <f t="shared" ref="E39:E42" si="210">IFERROR(D39*F39,0)</f>
        <v>0</v>
      </c>
      <c r="F39" s="181">
        <f t="shared" si="45"/>
        <v>0</v>
      </c>
      <c r="G39" s="175">
        <f t="shared" si="171"/>
        <v>0</v>
      </c>
      <c r="H39" s="202">
        <f t="shared" si="171"/>
        <v>0</v>
      </c>
      <c r="I39" s="202">
        <f t="shared" si="171"/>
        <v>0</v>
      </c>
      <c r="J39" s="175">
        <f>IFERROR(VLOOKUP($B39 &amp; $C39&amp;J$4&amp;$A39,tblForecast,J$2,FALSE),0)+IFERROR(VLOOKUP($B39 &amp; $C39 &amp; J$4 &amp; $A39,tblForecast,J$2+1,FALSE),0)</f>
        <v>0</v>
      </c>
      <c r="K39" s="296">
        <f>IFERROR(VLOOKUP($B39 &amp; $C39&amp;K$4&amp;$A39,tblForecast,K$2+2,FALSE),0)</f>
        <v>0</v>
      </c>
      <c r="L39" s="90">
        <f t="shared" ref="L39:O42" si="211">Q39*AM39</f>
        <v>0</v>
      </c>
      <c r="M39" s="90">
        <f t="shared" si="211"/>
        <v>0</v>
      </c>
      <c r="N39" s="90">
        <f t="shared" si="211"/>
        <v>0</v>
      </c>
      <c r="O39" s="90">
        <f t="shared" ca="1" si="211"/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3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:W42" si="212">IFERROR(IF(Q38&lt;&gt;0,Q39/Q38,0),0)</f>
        <v>0</v>
      </c>
      <c r="W39" s="324">
        <f t="shared" si="212"/>
        <v>0</v>
      </c>
      <c r="X39" s="244">
        <f t="shared" ref="X39:X42" ca="1" si="213">IFERROR(IF(T38&lt;&gt;0,T39/T38,0),0)</f>
        <v>0</v>
      </c>
      <c r="Y39" s="97">
        <f t="shared" ref="Y39:AB42" si="214">IFERROR(L39*AD39,0)</f>
        <v>0</v>
      </c>
      <c r="Z39" s="90">
        <f t="shared" si="214"/>
        <v>0</v>
      </c>
      <c r="AA39" s="90">
        <f t="shared" si="214"/>
        <v>0</v>
      </c>
      <c r="AB39" s="90">
        <f t="shared" ca="1" si="214"/>
        <v>0</v>
      </c>
      <c r="AC39" s="91">
        <f t="shared" ca="1" si="9"/>
        <v>0</v>
      </c>
      <c r="AD39" s="75">
        <f t="shared" ref="AD39:AG42" si="215">IF(AM39&lt;&gt;0,1-AR39/AM39,0)</f>
        <v>0</v>
      </c>
      <c r="AE39" s="93">
        <f t="shared" si="215"/>
        <v>0</v>
      </c>
      <c r="AF39" s="93">
        <f t="shared" si="215"/>
        <v>0</v>
      </c>
      <c r="AG39" s="93">
        <f t="shared" ca="1" si="215"/>
        <v>0</v>
      </c>
      <c r="AH39" s="104">
        <f>IFERROR(VLOOKUP($B39 &amp; $C39&amp;AH$4,tblForecast,AH$2,FALSE),0)</f>
        <v>0</v>
      </c>
      <c r="AI39" s="94">
        <f t="shared" si="176"/>
        <v>0</v>
      </c>
      <c r="AJ39" s="94">
        <f t="shared" si="176"/>
        <v>0</v>
      </c>
      <c r="AK39" s="94">
        <f ca="1">IFERROR(CF39/BY39,0)</f>
        <v>0</v>
      </c>
      <c r="AL39" s="91">
        <f t="shared" ca="1" si="142"/>
        <v>0</v>
      </c>
      <c r="AM39" s="104">
        <f>IFERROR(VLOOKUP($B39 &amp; $C39&amp;AM$4,tblForecast,AM$2,FALSE),0)</f>
        <v>0</v>
      </c>
      <c r="AN39" s="94">
        <f t="shared" si="177"/>
        <v>0</v>
      </c>
      <c r="AO39" s="94">
        <f t="shared" si="177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78"/>
        <v>0</v>
      </c>
      <c r="AT39" s="94">
        <f t="shared" si="178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28"/>
        <v>0</v>
      </c>
      <c r="AX39" s="181">
        <f t="shared" si="128"/>
        <v>0</v>
      </c>
      <c r="AY39" s="181">
        <f t="shared" si="128"/>
        <v>0</v>
      </c>
      <c r="AZ39" s="181">
        <f t="shared" ca="1" si="128"/>
        <v>0</v>
      </c>
      <c r="BA39" s="225">
        <f t="shared" ref="BA39:BA42" si="216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80"/>
        <v>0</v>
      </c>
      <c r="BD39" s="226">
        <f t="shared" ref="BD39:BD42" ca="1" si="217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:BH42" si="218">IF(Q39&lt;&gt;0,BA39/Q39,0)</f>
        <v>0</v>
      </c>
      <c r="BI39" s="186">
        <f t="shared" ref="BI39:BI42" ca="1" si="219">IF(T39&lt;&gt;0,BD39/T39,0)</f>
        <v>0</v>
      </c>
      <c r="BJ39" s="183">
        <f t="shared" ref="BJ39:BJ42" si="220">IF(BA39&lt;&gt;0,Q39/BA39,0)</f>
        <v>0</v>
      </c>
      <c r="BK39" s="96">
        <f t="shared" ref="BK39:BK42" ca="1" si="221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3"/>
        <v>0</v>
      </c>
      <c r="BU39" s="226">
        <f t="shared" si="183"/>
        <v>0</v>
      </c>
      <c r="BV39" s="226">
        <f>IFERROR(VLOOKUP($B39 &amp; $C39&amp;BV$4,tblForecast,BV$2,FALSE),0)</f>
        <v>0</v>
      </c>
      <c r="BW39" s="226">
        <f t="shared" si="184"/>
        <v>0</v>
      </c>
      <c r="BX39" s="226">
        <f t="shared" si="184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85"/>
        <v>0</v>
      </c>
      <c r="CB39" s="90">
        <f t="shared" si="185"/>
        <v>0</v>
      </c>
      <c r="CC39" s="90">
        <f>IFERROR(VLOOKUP($B39 &amp; $C39&amp;CC$4,tblForecast,CC$2,FALSE),0)</f>
        <v>0</v>
      </c>
      <c r="CD39" s="90">
        <f t="shared" si="186"/>
        <v>0</v>
      </c>
      <c r="CE39" s="90">
        <f t="shared" si="186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87"/>
        <v>0</v>
      </c>
      <c r="CI39" s="90">
        <f t="shared" si="187"/>
        <v>0</v>
      </c>
      <c r="CJ39" s="90">
        <f>IFERROR(VLOOKUP($B39 &amp; $C39&amp;CJ$4,tblForecast,CJ$2,FALSE),0)</f>
        <v>0</v>
      </c>
      <c r="CK39" s="90">
        <f t="shared" si="188"/>
        <v>0</v>
      </c>
      <c r="CL39" s="90">
        <f t="shared" si="188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>
        <f>IFERROR(VLOOKUP($B39 &amp; $C39&amp;CU$4,tblForecast,CU$2,FALSE),0)</f>
        <v>0</v>
      </c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</v>
      </c>
      <c r="DA39" s="277">
        <f t="shared" ref="DA39:DA42" si="222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301</v>
      </c>
      <c r="B40" s="44">
        <v>2018</v>
      </c>
      <c r="C40" s="88">
        <v>24</v>
      </c>
      <c r="D40" s="97">
        <f t="shared" si="209"/>
        <v>0</v>
      </c>
      <c r="E40" s="201">
        <f t="shared" si="210"/>
        <v>0</v>
      </c>
      <c r="F40" s="181">
        <f t="shared" si="45"/>
        <v>0</v>
      </c>
      <c r="G40" s="175">
        <f t="shared" si="171"/>
        <v>0</v>
      </c>
      <c r="H40" s="202">
        <f t="shared" si="171"/>
        <v>0</v>
      </c>
      <c r="I40" s="202">
        <f t="shared" si="171"/>
        <v>0</v>
      </c>
      <c r="J40" s="175">
        <f>IFERROR(VLOOKUP($B40 &amp; $C40&amp;J$4&amp;$A40,tblForecast,J$2,FALSE),0)+IFERROR(VLOOKUP($B40 &amp; $C40 &amp; J$4 &amp; $A40,tblForecast,J$2+1,FALSE),0)</f>
        <v>0</v>
      </c>
      <c r="K40" s="296">
        <f>IFERROR(VLOOKUP($B40 &amp; $C40&amp;K$4&amp;$A40,tblForecast,K$2+2,FALSE),0)</f>
        <v>0</v>
      </c>
      <c r="L40" s="90">
        <f t="shared" si="211"/>
        <v>0</v>
      </c>
      <c r="M40" s="90">
        <f t="shared" si="211"/>
        <v>0</v>
      </c>
      <c r="N40" s="90">
        <f t="shared" si="211"/>
        <v>0</v>
      </c>
      <c r="O40" s="90">
        <f t="shared" ca="1" si="211"/>
        <v>0</v>
      </c>
      <c r="P40" s="91">
        <f t="shared" ca="1" si="39"/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3"/>
        <v>0</v>
      </c>
      <c r="T40" s="238">
        <f ca="1">SUMIFS(OFFSET(tblForecast,,T$2,,1),OFFSET(tblForecast,,,,1),$B40-IF(CompareVer="LY",1,0)&amp; $C40 &amp;T$4)</f>
        <v>0</v>
      </c>
      <c r="U40" s="91">
        <f t="shared" ca="1" si="7"/>
        <v>0</v>
      </c>
      <c r="V40" s="243">
        <f t="shared" si="212"/>
        <v>0</v>
      </c>
      <c r="W40" s="324">
        <f t="shared" si="212"/>
        <v>0</v>
      </c>
      <c r="X40" s="244">
        <f t="shared" ca="1" si="213"/>
        <v>0</v>
      </c>
      <c r="Y40" s="97">
        <f t="shared" si="214"/>
        <v>0</v>
      </c>
      <c r="Z40" s="90">
        <f t="shared" si="214"/>
        <v>0</v>
      </c>
      <c r="AA40" s="90">
        <f t="shared" si="214"/>
        <v>0</v>
      </c>
      <c r="AB40" s="90">
        <f t="shared" ca="1" si="214"/>
        <v>0</v>
      </c>
      <c r="AC40" s="91">
        <f t="shared" ca="1" si="9"/>
        <v>0</v>
      </c>
      <c r="AD40" s="75">
        <f t="shared" si="215"/>
        <v>0</v>
      </c>
      <c r="AE40" s="93">
        <f t="shared" si="215"/>
        <v>0</v>
      </c>
      <c r="AF40" s="93">
        <f t="shared" si="215"/>
        <v>0</v>
      </c>
      <c r="AG40" s="93">
        <f t="shared" ca="1" si="215"/>
        <v>0</v>
      </c>
      <c r="AH40" s="104">
        <f>IFERROR(VLOOKUP($B40 &amp; $C40&amp;AH$4,tblForecast,AH$2,FALSE),0)</f>
        <v>0</v>
      </c>
      <c r="AI40" s="94">
        <f t="shared" si="176"/>
        <v>0</v>
      </c>
      <c r="AJ40" s="94">
        <f t="shared" si="176"/>
        <v>0</v>
      </c>
      <c r="AK40" s="94">
        <f ca="1">IFERROR(CF40/BY40,0)</f>
        <v>0</v>
      </c>
      <c r="AL40" s="91">
        <f t="shared" ca="1" si="142"/>
        <v>0</v>
      </c>
      <c r="AM40" s="104">
        <f>IFERROR(VLOOKUP($B40 &amp; $C40&amp;AM$4,tblForecast,AM$2,FALSE),0)</f>
        <v>0</v>
      </c>
      <c r="AN40" s="94">
        <f t="shared" si="177"/>
        <v>0</v>
      </c>
      <c r="AO40" s="94">
        <f t="shared" si="177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ca="1" si="14"/>
        <v>0</v>
      </c>
      <c r="AR40" s="104">
        <f>IFERROR(VLOOKUP($B40 &amp; $C40&amp;AR$4,tblForecast,AR$2,FALSE),0)</f>
        <v>0</v>
      </c>
      <c r="AS40" s="94">
        <f t="shared" si="178"/>
        <v>0</v>
      </c>
      <c r="AT40" s="94">
        <f t="shared" si="178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ca="1" si="16"/>
        <v>0</v>
      </c>
      <c r="AW40" s="180">
        <f t="shared" si="128"/>
        <v>0</v>
      </c>
      <c r="AX40" s="181">
        <f t="shared" si="128"/>
        <v>0</v>
      </c>
      <c r="AY40" s="181">
        <f t="shared" si="128"/>
        <v>0</v>
      </c>
      <c r="AZ40" s="181">
        <f t="shared" ca="1" si="128"/>
        <v>0</v>
      </c>
      <c r="BA40" s="225">
        <f t="shared" si="216"/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80"/>
        <v>0</v>
      </c>
      <c r="BD40" s="226">
        <f t="shared" ca="1" si="217"/>
        <v>0</v>
      </c>
      <c r="BE40" s="176">
        <f t="shared" ca="1" si="19"/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si="218"/>
        <v>0</v>
      </c>
      <c r="BI40" s="186">
        <f t="shared" ca="1" si="219"/>
        <v>0</v>
      </c>
      <c r="BJ40" s="183">
        <f t="shared" si="220"/>
        <v>0</v>
      </c>
      <c r="BK40" s="96">
        <f t="shared" ca="1" si="221"/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si="43"/>
        <v>0</v>
      </c>
      <c r="BS40" s="226">
        <f t="shared" ca="1" si="22"/>
        <v>0</v>
      </c>
      <c r="BT40" s="225">
        <f t="shared" si="183"/>
        <v>0</v>
      </c>
      <c r="BU40" s="226">
        <f t="shared" si="183"/>
        <v>0</v>
      </c>
      <c r="BV40" s="226">
        <f>IFERROR(VLOOKUP($B40 &amp; $C40&amp;BV$4,tblForecast,BV$2,FALSE),0)</f>
        <v>0</v>
      </c>
      <c r="BW40" s="226">
        <f t="shared" si="184"/>
        <v>0</v>
      </c>
      <c r="BX40" s="226">
        <f t="shared" si="184"/>
        <v>0</v>
      </c>
      <c r="BY40" s="175">
        <f ca="1">SUMIFS(OFFSET(tblForecast,,BY$2,,1),OFFSET(tblForecast,,,,1),$B40-IF(CompareVer="LY",1,0)&amp; $C40 &amp;BY$4)</f>
        <v>0</v>
      </c>
      <c r="BZ40" s="176">
        <f t="shared" ca="1" si="25"/>
        <v>0</v>
      </c>
      <c r="CA40" s="90">
        <f t="shared" si="185"/>
        <v>0</v>
      </c>
      <c r="CB40" s="90">
        <f t="shared" si="185"/>
        <v>0</v>
      </c>
      <c r="CC40" s="90">
        <f>IFERROR(VLOOKUP($B40 &amp; $C40&amp;CC$4,tblForecast,CC$2,FALSE),0)</f>
        <v>0</v>
      </c>
      <c r="CD40" s="90">
        <f t="shared" si="186"/>
        <v>0</v>
      </c>
      <c r="CE40" s="90">
        <f t="shared" si="186"/>
        <v>0</v>
      </c>
      <c r="CF40" s="90">
        <f ca="1">SUMIFS(OFFSET(tblForecast,,CF$2,,1),OFFSET(tblForecast,,,,1),$B40-IF(CompareVer="LY",1,0)&amp; $C40 &amp;CF$4)</f>
        <v>0</v>
      </c>
      <c r="CG40" s="176">
        <f t="shared" ca="1" si="28"/>
        <v>0</v>
      </c>
      <c r="CH40" s="90">
        <f t="shared" si="187"/>
        <v>0</v>
      </c>
      <c r="CI40" s="90">
        <f t="shared" si="187"/>
        <v>0</v>
      </c>
      <c r="CJ40" s="90">
        <f>IFERROR(VLOOKUP($B40 &amp; $C40&amp;CJ$4,tblForecast,CJ$2,FALSE),0)</f>
        <v>0</v>
      </c>
      <c r="CK40" s="90">
        <f t="shared" si="188"/>
        <v>0</v>
      </c>
      <c r="CL40" s="90">
        <f t="shared" si="188"/>
        <v>0</v>
      </c>
      <c r="CM40" s="90">
        <f ca="1">SUMIFS(OFFSET(tblForecast,,CM$2,,1),OFFSET(tblForecast,,,,1),$B40-IF(CompareVer="LY",1,0)&amp; $C40 &amp;CM$4)</f>
        <v>0</v>
      </c>
      <c r="CN40" s="176">
        <f t="shared" ca="1" si="31"/>
        <v>0</v>
      </c>
      <c r="CO40" s="177">
        <f t="shared" si="46"/>
        <v>0</v>
      </c>
      <c r="CP40" s="221">
        <f t="shared" ca="1" si="46"/>
        <v>0</v>
      </c>
      <c r="CQ40" s="176">
        <f t="shared" ca="1" si="33"/>
        <v>0</v>
      </c>
      <c r="CR40" s="177">
        <f t="shared" si="44"/>
        <v>0</v>
      </c>
      <c r="CS40" s="221">
        <f t="shared" ca="1" si="34"/>
        <v>0</v>
      </c>
      <c r="CT40" s="176">
        <f t="shared" ca="1" si="47"/>
        <v>0</v>
      </c>
      <c r="CU40" s="44">
        <f>IFERROR(VLOOKUP($B40 &amp; $C40&amp;CU$4,tblForecast,CU$2,FALSE),0)</f>
        <v>0</v>
      </c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ca="1" si="36"/>
        <v>0</v>
      </c>
      <c r="CZ40" s="276">
        <f>IFERROR(VLOOKUP(Brand&amp;Channel&amp;Country&amp;$C40,tblDiscount,6,FALSE),0)</f>
        <v>0</v>
      </c>
      <c r="DA40" s="277">
        <f t="shared" si="222"/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301</v>
      </c>
      <c r="B41" s="44">
        <v>2018</v>
      </c>
      <c r="C41" s="88">
        <v>25</v>
      </c>
      <c r="D41" s="97">
        <f t="shared" si="209"/>
        <v>0</v>
      </c>
      <c r="E41" s="201">
        <f t="shared" si="210"/>
        <v>0</v>
      </c>
      <c r="F41" s="181">
        <f t="shared" si="45"/>
        <v>0</v>
      </c>
      <c r="G41" s="175">
        <f t="shared" si="171"/>
        <v>0</v>
      </c>
      <c r="H41" s="202">
        <f t="shared" si="171"/>
        <v>0</v>
      </c>
      <c r="I41" s="202">
        <f t="shared" si="171"/>
        <v>0</v>
      </c>
      <c r="J41" s="175">
        <f>IFERROR(VLOOKUP($B41 &amp; $C41&amp;J$4&amp;$A41,tblForecast,J$2,FALSE),0)+IFERROR(VLOOKUP($B41 &amp; $C41 &amp; J$4 &amp; $A41,tblForecast,J$2+1,FALSE),0)</f>
        <v>0</v>
      </c>
      <c r="K41" s="296">
        <f>IFERROR(VLOOKUP($B41 &amp; $C41&amp;K$4&amp;$A41,tblForecast,K$2+2,FALSE),0)</f>
        <v>0</v>
      </c>
      <c r="L41" s="90">
        <f t="shared" si="211"/>
        <v>0</v>
      </c>
      <c r="M41" s="90">
        <f t="shared" si="211"/>
        <v>0</v>
      </c>
      <c r="N41" s="90">
        <f t="shared" si="211"/>
        <v>0</v>
      </c>
      <c r="O41" s="90">
        <f t="shared" ca="1" si="211"/>
        <v>0</v>
      </c>
      <c r="P41" s="91">
        <f t="shared" ca="1" si="39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3"/>
        <v>0</v>
      </c>
      <c r="T41" s="238">
        <f ca="1">SUMIFS(OFFSET(tblForecast,,T$2,,1),OFFSET(tblForecast,,,,1),$B41-IF(CompareVer="LY",1,0)&amp; $C41 &amp;T$4)</f>
        <v>0</v>
      </c>
      <c r="U41" s="91">
        <f t="shared" ca="1" si="7"/>
        <v>0</v>
      </c>
      <c r="V41" s="243">
        <f t="shared" si="212"/>
        <v>0</v>
      </c>
      <c r="W41" s="324">
        <f t="shared" si="212"/>
        <v>0</v>
      </c>
      <c r="X41" s="244">
        <f t="shared" ca="1" si="213"/>
        <v>0</v>
      </c>
      <c r="Y41" s="97">
        <f t="shared" si="214"/>
        <v>0</v>
      </c>
      <c r="Z41" s="90">
        <f t="shared" si="214"/>
        <v>0</v>
      </c>
      <c r="AA41" s="90">
        <f t="shared" si="214"/>
        <v>0</v>
      </c>
      <c r="AB41" s="90">
        <f t="shared" ca="1" si="214"/>
        <v>0</v>
      </c>
      <c r="AC41" s="91">
        <f t="shared" ca="1" si="9"/>
        <v>0</v>
      </c>
      <c r="AD41" s="75">
        <f t="shared" si="215"/>
        <v>0</v>
      </c>
      <c r="AE41" s="93">
        <f t="shared" si="215"/>
        <v>0</v>
      </c>
      <c r="AF41" s="93">
        <f t="shared" si="215"/>
        <v>0</v>
      </c>
      <c r="AG41" s="93">
        <f t="shared" ca="1" si="215"/>
        <v>0</v>
      </c>
      <c r="AH41" s="104">
        <f>IFERROR(VLOOKUP($B41 &amp; $C41&amp;AH$4,tblForecast,AH$2,FALSE),0)</f>
        <v>0</v>
      </c>
      <c r="AI41" s="94">
        <f t="shared" si="176"/>
        <v>0</v>
      </c>
      <c r="AJ41" s="94">
        <f t="shared" si="176"/>
        <v>0</v>
      </c>
      <c r="AK41" s="94">
        <f ca="1">IFERROR(CF41/BY41,0)</f>
        <v>0</v>
      </c>
      <c r="AL41" s="91">
        <f t="shared" ca="1" si="142"/>
        <v>0</v>
      </c>
      <c r="AM41" s="104">
        <f>IFERROR(VLOOKUP($B41 &amp; $C41&amp;AM$4,tblForecast,AM$2,FALSE),0)</f>
        <v>0</v>
      </c>
      <c r="AN41" s="94">
        <f t="shared" si="177"/>
        <v>0</v>
      </c>
      <c r="AO41" s="94">
        <f t="shared" si="177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14"/>
        <v>0</v>
      </c>
      <c r="AR41" s="104">
        <f>IFERROR(VLOOKUP($B41 &amp; $C41&amp;AR$4,tblForecast,AR$2,FALSE),0)</f>
        <v>0</v>
      </c>
      <c r="AS41" s="94">
        <f t="shared" si="178"/>
        <v>0</v>
      </c>
      <c r="AT41" s="94">
        <f t="shared" si="178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16"/>
        <v>0</v>
      </c>
      <c r="AW41" s="180">
        <f t="shared" si="128"/>
        <v>0</v>
      </c>
      <c r="AX41" s="181">
        <f t="shared" si="128"/>
        <v>0</v>
      </c>
      <c r="AY41" s="181">
        <f t="shared" si="128"/>
        <v>0</v>
      </c>
      <c r="AZ41" s="181">
        <f t="shared" ca="1" si="128"/>
        <v>0</v>
      </c>
      <c r="BA41" s="225">
        <f t="shared" si="216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80"/>
        <v>0</v>
      </c>
      <c r="BD41" s="226">
        <f t="shared" ca="1" si="217"/>
        <v>0</v>
      </c>
      <c r="BE41" s="176">
        <f t="shared" ca="1" si="19"/>
        <v>0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218"/>
        <v>0</v>
      </c>
      <c r="BI41" s="186">
        <f t="shared" ca="1" si="219"/>
        <v>0</v>
      </c>
      <c r="BJ41" s="183">
        <f t="shared" si="220"/>
        <v>0</v>
      </c>
      <c r="BK41" s="96">
        <f t="shared" ca="1" si="221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0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43"/>
        <v>0</v>
      </c>
      <c r="BS41" s="226">
        <f t="shared" ca="1" si="22"/>
        <v>0</v>
      </c>
      <c r="BT41" s="225">
        <f t="shared" si="183"/>
        <v>0</v>
      </c>
      <c r="BU41" s="226">
        <f t="shared" si="183"/>
        <v>0</v>
      </c>
      <c r="BV41" s="226">
        <f>IFERROR(VLOOKUP($B41 &amp; $C41&amp;BV$4,tblForecast,BV$2,FALSE),0)</f>
        <v>0</v>
      </c>
      <c r="BW41" s="226">
        <f t="shared" si="184"/>
        <v>0</v>
      </c>
      <c r="BX41" s="226">
        <f t="shared" si="184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25"/>
        <v>0</v>
      </c>
      <c r="CA41" s="90">
        <f t="shared" si="185"/>
        <v>0</v>
      </c>
      <c r="CB41" s="90">
        <f t="shared" si="185"/>
        <v>0</v>
      </c>
      <c r="CC41" s="90">
        <f>IFERROR(VLOOKUP($B41 &amp; $C41&amp;CC$4,tblForecast,CC$2,FALSE),0)</f>
        <v>0</v>
      </c>
      <c r="CD41" s="90">
        <f t="shared" si="186"/>
        <v>0</v>
      </c>
      <c r="CE41" s="90">
        <f t="shared" si="186"/>
        <v>0</v>
      </c>
      <c r="CF41" s="90">
        <f ca="1">SUMIFS(OFFSET(tblForecast,,CF$2,,1),OFFSET(tblForecast,,,,1),$B41-IF(CompareVer="LY",1,0)&amp; $C41 &amp;CF$4)</f>
        <v>0</v>
      </c>
      <c r="CG41" s="176">
        <f t="shared" ca="1" si="28"/>
        <v>0</v>
      </c>
      <c r="CH41" s="90">
        <f t="shared" si="187"/>
        <v>0</v>
      </c>
      <c r="CI41" s="90">
        <f t="shared" si="187"/>
        <v>0</v>
      </c>
      <c r="CJ41" s="90">
        <f>IFERROR(VLOOKUP($B41 &amp; $C41&amp;CJ$4,tblForecast,CJ$2,FALSE),0)</f>
        <v>0</v>
      </c>
      <c r="CK41" s="90">
        <f t="shared" si="188"/>
        <v>0</v>
      </c>
      <c r="CL41" s="90">
        <f t="shared" si="188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1"/>
        <v>0</v>
      </c>
      <c r="CO41" s="177">
        <f t="shared" si="46"/>
        <v>0</v>
      </c>
      <c r="CP41" s="221">
        <f t="shared" ca="1" si="46"/>
        <v>0</v>
      </c>
      <c r="CQ41" s="176">
        <f t="shared" ca="1" si="33"/>
        <v>0</v>
      </c>
      <c r="CR41" s="177">
        <f t="shared" si="44"/>
        <v>0</v>
      </c>
      <c r="CS41" s="221">
        <f t="shared" ca="1" si="34"/>
        <v>0</v>
      </c>
      <c r="CT41" s="176">
        <f t="shared" ca="1" si="47"/>
        <v>0</v>
      </c>
      <c r="CU41" s="44">
        <f>IFERROR(VLOOKUP($B41 &amp; $C41&amp;CU$4,tblForecast,CU$2,FALSE),0)</f>
        <v>0</v>
      </c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6"/>
        <v>0</v>
      </c>
      <c r="CZ41" s="276">
        <f>IFERROR(VLOOKUP(Brand&amp;Channel&amp;Country&amp;$C41,tblDiscount,6,FALSE),0)</f>
        <v>0</v>
      </c>
      <c r="DA41" s="277">
        <f t="shared" si="222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301</v>
      </c>
      <c r="B42" s="44">
        <v>2018</v>
      </c>
      <c r="C42" s="88">
        <v>26</v>
      </c>
      <c r="D42" s="97">
        <f t="shared" si="209"/>
        <v>0</v>
      </c>
      <c r="E42" s="201">
        <f t="shared" si="210"/>
        <v>0</v>
      </c>
      <c r="F42" s="181">
        <f t="shared" si="45"/>
        <v>0</v>
      </c>
      <c r="G42" s="175">
        <f t="shared" si="171"/>
        <v>0</v>
      </c>
      <c r="H42" s="202">
        <f t="shared" si="171"/>
        <v>0</v>
      </c>
      <c r="I42" s="202">
        <f t="shared" si="171"/>
        <v>0</v>
      </c>
      <c r="J42" s="175">
        <f>IFERROR(VLOOKUP($B42 &amp; $C42&amp;J$4&amp;$A42,tblForecast,J$2,FALSE),0)+IFERROR(VLOOKUP($B42 &amp; $C42 &amp; J$4 &amp; $A42,tblForecast,J$2+1,FALSE),0)</f>
        <v>0</v>
      </c>
      <c r="K42" s="296">
        <f>IFERROR(VLOOKUP($B42 &amp; $C42&amp;K$4&amp;$A42,tblForecast,K$2+2,FALSE),0)</f>
        <v>0</v>
      </c>
      <c r="L42" s="90">
        <f t="shared" si="211"/>
        <v>0</v>
      </c>
      <c r="M42" s="90">
        <f t="shared" si="211"/>
        <v>0</v>
      </c>
      <c r="N42" s="90">
        <f t="shared" si="211"/>
        <v>0</v>
      </c>
      <c r="O42" s="90">
        <f t="shared" ca="1" si="211"/>
        <v>0</v>
      </c>
      <c r="P42" s="91">
        <f t="shared" ca="1" si="39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3"/>
        <v>0</v>
      </c>
      <c r="T42" s="238">
        <f ca="1">SUMIFS(OFFSET(tblForecast,,T$2,,1),OFFSET(tblForecast,,,,1),$B42-IF(CompareVer="LY",1,0)&amp; $C42 &amp;T$4)</f>
        <v>0</v>
      </c>
      <c r="U42" s="91">
        <f t="shared" ca="1" si="7"/>
        <v>0</v>
      </c>
      <c r="V42" s="243">
        <f t="shared" si="212"/>
        <v>0</v>
      </c>
      <c r="W42" s="324">
        <f t="shared" si="212"/>
        <v>0</v>
      </c>
      <c r="X42" s="244">
        <f t="shared" ca="1" si="213"/>
        <v>0</v>
      </c>
      <c r="Y42" s="97">
        <f t="shared" si="214"/>
        <v>0</v>
      </c>
      <c r="Z42" s="90">
        <f t="shared" si="214"/>
        <v>0</v>
      </c>
      <c r="AA42" s="90">
        <f t="shared" si="214"/>
        <v>0</v>
      </c>
      <c r="AB42" s="90">
        <f t="shared" ca="1" si="214"/>
        <v>0</v>
      </c>
      <c r="AC42" s="91">
        <f t="shared" ca="1" si="9"/>
        <v>0</v>
      </c>
      <c r="AD42" s="75">
        <f t="shared" si="215"/>
        <v>0</v>
      </c>
      <c r="AE42" s="93">
        <f t="shared" si="215"/>
        <v>0</v>
      </c>
      <c r="AF42" s="93">
        <f t="shared" si="215"/>
        <v>0</v>
      </c>
      <c r="AG42" s="93">
        <f t="shared" ca="1" si="215"/>
        <v>0</v>
      </c>
      <c r="AH42" s="104">
        <f>IFERROR(VLOOKUP($B42 &amp; $C42&amp;AH$4,tblForecast,AH$2,FALSE),0)</f>
        <v>0</v>
      </c>
      <c r="AI42" s="94">
        <f t="shared" si="176"/>
        <v>0</v>
      </c>
      <c r="AJ42" s="94">
        <f t="shared" si="176"/>
        <v>0</v>
      </c>
      <c r="AK42" s="94">
        <f ca="1">IFERROR(CF42/BY42,0)</f>
        <v>0</v>
      </c>
      <c r="AL42" s="91">
        <f t="shared" ca="1" si="142"/>
        <v>0</v>
      </c>
      <c r="AM42" s="104">
        <f>IFERROR(VLOOKUP($B42 &amp; $C42&amp;AM$4,tblForecast,AM$2,FALSE),0)</f>
        <v>0</v>
      </c>
      <c r="AN42" s="94">
        <f t="shared" si="177"/>
        <v>0</v>
      </c>
      <c r="AO42" s="94">
        <f t="shared" si="177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14"/>
        <v>0</v>
      </c>
      <c r="AR42" s="104">
        <f>IFERROR(VLOOKUP($B42 &amp; $C42&amp;AR$4,tblForecast,AR$2,FALSE),0)</f>
        <v>0</v>
      </c>
      <c r="AS42" s="94">
        <f t="shared" si="178"/>
        <v>0</v>
      </c>
      <c r="AT42" s="94">
        <f t="shared" si="178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16"/>
        <v>0</v>
      </c>
      <c r="AW42" s="180">
        <f t="shared" si="128"/>
        <v>0</v>
      </c>
      <c r="AX42" s="181">
        <f t="shared" si="128"/>
        <v>0</v>
      </c>
      <c r="AY42" s="181">
        <f t="shared" si="128"/>
        <v>0</v>
      </c>
      <c r="AZ42" s="181">
        <f t="shared" ca="1" si="128"/>
        <v>0</v>
      </c>
      <c r="BA42" s="225">
        <f t="shared" si="216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80"/>
        <v>0</v>
      </c>
      <c r="BD42" s="226">
        <f t="shared" ca="1" si="217"/>
        <v>0</v>
      </c>
      <c r="BE42" s="176">
        <f t="shared" ca="1" si="19"/>
        <v>0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218"/>
        <v>0</v>
      </c>
      <c r="BI42" s="186">
        <f t="shared" ca="1" si="219"/>
        <v>0</v>
      </c>
      <c r="BJ42" s="183">
        <f t="shared" si="220"/>
        <v>0</v>
      </c>
      <c r="BK42" s="96">
        <f t="shared" ca="1" si="221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43"/>
        <v>0</v>
      </c>
      <c r="BS42" s="226">
        <f t="shared" ca="1" si="22"/>
        <v>0</v>
      </c>
      <c r="BT42" s="225">
        <f t="shared" si="183"/>
        <v>0</v>
      </c>
      <c r="BU42" s="226">
        <f t="shared" si="183"/>
        <v>0</v>
      </c>
      <c r="BV42" s="226">
        <f>IFERROR(VLOOKUP($B42 &amp; $C42&amp;BV$4,tblForecast,BV$2,FALSE),0)</f>
        <v>0</v>
      </c>
      <c r="BW42" s="226">
        <f t="shared" si="184"/>
        <v>0</v>
      </c>
      <c r="BX42" s="226">
        <f t="shared" si="184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25"/>
        <v>0</v>
      </c>
      <c r="CA42" s="90">
        <f t="shared" si="185"/>
        <v>0</v>
      </c>
      <c r="CB42" s="90">
        <f t="shared" si="185"/>
        <v>0</v>
      </c>
      <c r="CC42" s="90">
        <f>IFERROR(VLOOKUP($B42 &amp; $C42&amp;CC$4,tblForecast,CC$2,FALSE),0)</f>
        <v>0</v>
      </c>
      <c r="CD42" s="90">
        <f t="shared" si="186"/>
        <v>0</v>
      </c>
      <c r="CE42" s="90">
        <f t="shared" si="186"/>
        <v>0</v>
      </c>
      <c r="CF42" s="90">
        <f ca="1">SUMIFS(OFFSET(tblForecast,,CF$2,,1),OFFSET(tblForecast,,,,1),$B42-IF(CompareVer="LY",1,0)&amp; $C42 &amp;CF$4)</f>
        <v>0</v>
      </c>
      <c r="CG42" s="176">
        <f t="shared" ca="1" si="28"/>
        <v>0</v>
      </c>
      <c r="CH42" s="90">
        <f t="shared" si="187"/>
        <v>0</v>
      </c>
      <c r="CI42" s="90">
        <f t="shared" si="187"/>
        <v>0</v>
      </c>
      <c r="CJ42" s="90">
        <f>IFERROR(VLOOKUP($B42 &amp; $C42&amp;CJ$4,tblForecast,CJ$2,FALSE),0)</f>
        <v>0</v>
      </c>
      <c r="CK42" s="90">
        <f t="shared" si="188"/>
        <v>0</v>
      </c>
      <c r="CL42" s="90">
        <f t="shared" si="188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1"/>
        <v>0</v>
      </c>
      <c r="CO42" s="177">
        <f t="shared" si="46"/>
        <v>0</v>
      </c>
      <c r="CP42" s="221">
        <f t="shared" ca="1" si="46"/>
        <v>0</v>
      </c>
      <c r="CQ42" s="176">
        <f t="shared" ca="1" si="33"/>
        <v>0</v>
      </c>
      <c r="CR42" s="177">
        <f t="shared" si="44"/>
        <v>0</v>
      </c>
      <c r="CS42" s="221">
        <f t="shared" ca="1" si="34"/>
        <v>0</v>
      </c>
      <c r="CT42" s="176">
        <f t="shared" ca="1" si="47"/>
        <v>0</v>
      </c>
      <c r="CU42" s="44">
        <f>IFERROR(VLOOKUP($B42 &amp; $C42&amp;CU$4,tblForecast,CU$2,FALSE),0)</f>
        <v>0</v>
      </c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6"/>
        <v>0</v>
      </c>
      <c r="CZ42" s="276">
        <f>IFERROR(VLOOKUP(Brand&amp;Channel&amp;Country&amp;$C42,tblDiscount,6,FALSE),0)</f>
        <v>0</v>
      </c>
      <c r="DA42" s="277">
        <f t="shared" si="222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223">SUM(D39:D42)</f>
        <v>0</v>
      </c>
      <c r="E43" s="253">
        <f t="shared" ref="E43" si="224">SUM(E39:E42)</f>
        <v>0</v>
      </c>
      <c r="F43" s="254">
        <f t="shared" si="45"/>
        <v>0</v>
      </c>
      <c r="G43" s="255">
        <f>SUM(G39:G42)</f>
        <v>0</v>
      </c>
      <c r="H43" s="256">
        <f>IFERROR(D43/G43,0)</f>
        <v>0</v>
      </c>
      <c r="I43" s="256">
        <f>IFERROR(SUMPRODUCT(I39:I42,G39:G42)/G43,0)</f>
        <v>0</v>
      </c>
      <c r="J43" s="255">
        <f>SUM(J39:J42)</f>
        <v>0</v>
      </c>
      <c r="K43" s="297">
        <f>SUM(K39:K42)</f>
        <v>0</v>
      </c>
      <c r="L43" s="257">
        <f>SUM(L39:L42)</f>
        <v>0</v>
      </c>
      <c r="M43" s="257">
        <f t="shared" ref="M43:O43" si="225">SUM(M39:M42)</f>
        <v>0</v>
      </c>
      <c r="N43" s="257">
        <f t="shared" si="225"/>
        <v>0</v>
      </c>
      <c r="O43" s="257">
        <f t="shared" ca="1" si="225"/>
        <v>0</v>
      </c>
      <c r="P43" s="258">
        <f t="shared" ca="1" si="39"/>
        <v>0</v>
      </c>
      <c r="Q43" s="259">
        <f>SUM(Q39:Q42)</f>
        <v>0</v>
      </c>
      <c r="R43" s="260">
        <f t="shared" ref="R43:S43" si="226">SUM(R39:R42)</f>
        <v>0</v>
      </c>
      <c r="S43" s="260">
        <f t="shared" si="226"/>
        <v>0</v>
      </c>
      <c r="T43" s="260">
        <f ca="1">SUM(T39:T42)</f>
        <v>0</v>
      </c>
      <c r="U43" s="258">
        <f t="shared" ca="1" si="7"/>
        <v>0</v>
      </c>
      <c r="V43" s="261">
        <f t="shared" ref="V43:X44" si="227">V42</f>
        <v>0</v>
      </c>
      <c r="W43" s="325">
        <f t="shared" si="227"/>
        <v>0</v>
      </c>
      <c r="X43" s="262">
        <f t="shared" ca="1" si="227"/>
        <v>0</v>
      </c>
      <c r="Y43" s="252">
        <f>SUM(Y39:Y42)</f>
        <v>0</v>
      </c>
      <c r="Z43" s="257">
        <f t="shared" ref="Z43:AB43" si="228">SUM(Z39:Z42)</f>
        <v>0</v>
      </c>
      <c r="AA43" s="257">
        <f t="shared" si="228"/>
        <v>0</v>
      </c>
      <c r="AB43" s="257">
        <f t="shared" ca="1" si="228"/>
        <v>0</v>
      </c>
      <c r="AC43" s="258">
        <f t="shared" ca="1" si="9"/>
        <v>0</v>
      </c>
      <c r="AD43" s="263">
        <f t="shared" ref="AD43:AG44" si="229">IFERROR(Y43/L43,0)</f>
        <v>0</v>
      </c>
      <c r="AE43" s="264">
        <f t="shared" si="229"/>
        <v>0</v>
      </c>
      <c r="AF43" s="264">
        <f t="shared" si="229"/>
        <v>0</v>
      </c>
      <c r="AG43" s="264">
        <f t="shared" ca="1" si="229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230">IFERROR(SUMPRODUCT(AJ39:AJ42,S39:S42)/S43,0)</f>
        <v>0</v>
      </c>
      <c r="AK43" s="266">
        <f t="shared" ca="1" si="230"/>
        <v>0</v>
      </c>
      <c r="AL43" s="258">
        <f t="shared" ca="1" si="142"/>
        <v>0</v>
      </c>
      <c r="AM43" s="265">
        <f t="shared" ref="AM43:AP44" si="231">IF(Q43&lt;&gt;0,L43/Q43,0)</f>
        <v>0</v>
      </c>
      <c r="AN43" s="266">
        <f t="shared" si="231"/>
        <v>0</v>
      </c>
      <c r="AO43" s="266">
        <f t="shared" si="231"/>
        <v>0</v>
      </c>
      <c r="AP43" s="266">
        <f t="shared" ca="1" si="231"/>
        <v>0</v>
      </c>
      <c r="AQ43" s="258">
        <f t="shared" ca="1" si="14"/>
        <v>0</v>
      </c>
      <c r="AR43" s="265">
        <f t="shared" ref="AR43:AU44" si="232">IFERROR((L43*(1-AD43))/Q43,0)</f>
        <v>0</v>
      </c>
      <c r="AS43" s="266">
        <f t="shared" si="232"/>
        <v>0</v>
      </c>
      <c r="AT43" s="266">
        <f t="shared" si="232"/>
        <v>0</v>
      </c>
      <c r="AU43" s="266">
        <f t="shared" ca="1" si="232"/>
        <v>0</v>
      </c>
      <c r="AV43" s="258">
        <f t="shared" ca="1" si="16"/>
        <v>0</v>
      </c>
      <c r="AW43" s="267">
        <f t="shared" ref="AW43:AZ48" si="233">IFERROR((AM43/AH43-1)*-1,0)</f>
        <v>0</v>
      </c>
      <c r="AX43" s="268">
        <f t="shared" si="233"/>
        <v>0</v>
      </c>
      <c r="AY43" s="268">
        <f t="shared" si="233"/>
        <v>0</v>
      </c>
      <c r="AZ43" s="268">
        <f t="shared" ca="1" si="233"/>
        <v>0</v>
      </c>
      <c r="BA43" s="259">
        <f>BA42</f>
        <v>0</v>
      </c>
      <c r="BB43" s="260">
        <f t="shared" ref="BB43:BD44" si="234">BB42</f>
        <v>0</v>
      </c>
      <c r="BC43" s="260">
        <f t="shared" si="234"/>
        <v>0</v>
      </c>
      <c r="BD43" s="260">
        <f t="shared" ca="1" si="234"/>
        <v>0</v>
      </c>
      <c r="BE43" s="258">
        <f t="shared" ca="1" si="19"/>
        <v>0</v>
      </c>
      <c r="BF43" s="260">
        <f t="shared" ref="BF43:BG44" si="235">BF42</f>
        <v>0</v>
      </c>
      <c r="BG43" s="260">
        <f t="shared" ca="1" si="235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236">IF(BA43&lt;&gt;0,(Q43/COUNTIF(BJ39:BJ42,"&lt;&gt;0"))/BA43,0)</f>
        <v>0</v>
      </c>
      <c r="BK43" s="272">
        <f t="shared" ref="BK43" ca="1" si="237">IF(BD43&lt;&gt;0,(T43/COUNTIF(BK39:BK42,"&lt;&gt;0"))/BD43,0)</f>
        <v>0</v>
      </c>
      <c r="BL43" s="259">
        <f>SUM(BL39:BL42)</f>
        <v>0</v>
      </c>
      <c r="BM43" s="260">
        <f ca="1">SUM(BM39:BM42)</f>
        <v>0</v>
      </c>
      <c r="BN43" s="259">
        <f>SUM(BN39:BN42)</f>
        <v>0</v>
      </c>
      <c r="BO43" s="260">
        <f t="shared" ref="BO43:BQ43" ca="1" si="238">SUM(BO39:BO42)</f>
        <v>0</v>
      </c>
      <c r="BP43" s="259">
        <f>SUM(BP39:BP42)</f>
        <v>0</v>
      </c>
      <c r="BQ43" s="260">
        <f t="shared" ca="1" si="238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239">SUM(BT39:BT42)</f>
        <v>0</v>
      </c>
      <c r="BU43" s="260">
        <f t="shared" si="239"/>
        <v>0</v>
      </c>
      <c r="BV43" s="260">
        <f t="shared" si="239"/>
        <v>0</v>
      </c>
      <c r="BW43" s="260">
        <f t="shared" si="239"/>
        <v>0</v>
      </c>
      <c r="BX43" s="260">
        <f t="shared" si="239"/>
        <v>0</v>
      </c>
      <c r="BY43" s="273">
        <f t="shared" ca="1" si="239"/>
        <v>0</v>
      </c>
      <c r="BZ43" s="258">
        <f t="shared" ca="1" si="25"/>
        <v>0</v>
      </c>
      <c r="CA43" s="331">
        <f t="shared" ref="CA43:CF43" si="240">SUM(CA39:CA42)</f>
        <v>0</v>
      </c>
      <c r="CB43" s="257">
        <f t="shared" si="240"/>
        <v>0</v>
      </c>
      <c r="CC43" s="257">
        <f t="shared" si="240"/>
        <v>0</v>
      </c>
      <c r="CD43" s="257">
        <f t="shared" si="240"/>
        <v>0</v>
      </c>
      <c r="CE43" s="257">
        <f t="shared" si="240"/>
        <v>0</v>
      </c>
      <c r="CF43" s="257">
        <f t="shared" ca="1" si="240"/>
        <v>0</v>
      </c>
      <c r="CG43" s="258">
        <f t="shared" ca="1" si="28"/>
        <v>0</v>
      </c>
      <c r="CH43" s="331">
        <f t="shared" ref="CH43:CM43" si="241">SUM(CH39:CH42)</f>
        <v>0</v>
      </c>
      <c r="CI43" s="257">
        <f t="shared" si="241"/>
        <v>0</v>
      </c>
      <c r="CJ43" s="257">
        <f t="shared" si="241"/>
        <v>0</v>
      </c>
      <c r="CK43" s="257">
        <f t="shared" si="241"/>
        <v>0</v>
      </c>
      <c r="CL43" s="257">
        <f t="shared" si="241"/>
        <v>0</v>
      </c>
      <c r="CM43" s="257">
        <f t="shared" ca="1" si="241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>
        <f>SUM(CU39:CU42)</f>
        <v>0</v>
      </c>
      <c r="CW43" s="100">
        <f>CW42</f>
        <v>0</v>
      </c>
      <c r="CX43" s="101">
        <f ca="1">CX42</f>
        <v>0</v>
      </c>
      <c r="CY43" s="99">
        <f t="shared" ca="1" si="36"/>
        <v>0</v>
      </c>
      <c r="CZ43" s="276"/>
      <c r="DA43" s="277"/>
      <c r="DB43" s="277"/>
      <c r="DC43" s="278"/>
    </row>
    <row r="44" spans="1:107" ht="16.5" thickBot="1" x14ac:dyDescent="0.3">
      <c r="C44" s="105" t="s">
        <v>278</v>
      </c>
      <c r="D44" s="52">
        <f t="shared" ref="D44:E44" si="242">D32+D38+D43</f>
        <v>0</v>
      </c>
      <c r="E44" s="204">
        <f t="shared" si="242"/>
        <v>0</v>
      </c>
      <c r="F44" s="205">
        <f t="shared" si="45"/>
        <v>0</v>
      </c>
      <c r="G44" s="203">
        <f>G32+G38+G43</f>
        <v>0</v>
      </c>
      <c r="H44" s="206">
        <f>IFERROR(D44/G44,0)</f>
        <v>0</v>
      </c>
      <c r="I44" s="58">
        <f>IFERROR((I32*G32+I38*G38+I43*G43)/G44,0)</f>
        <v>0</v>
      </c>
      <c r="J44" s="203">
        <f t="shared" ref="J44:K44" si="243">J32+J38+J43</f>
        <v>0</v>
      </c>
      <c r="K44" s="298">
        <f t="shared" si="243"/>
        <v>0</v>
      </c>
      <c r="L44" s="53">
        <f>L32+L38+L43</f>
        <v>0</v>
      </c>
      <c r="M44" s="53">
        <f t="shared" ref="M44:O44" si="244">M32+M38+M43</f>
        <v>0</v>
      </c>
      <c r="N44" s="53">
        <f t="shared" si="244"/>
        <v>0</v>
      </c>
      <c r="O44" s="53">
        <f t="shared" ca="1" si="244"/>
        <v>0</v>
      </c>
      <c r="P44" s="54">
        <f t="shared" ca="1" si="39"/>
        <v>0</v>
      </c>
      <c r="Q44" s="227">
        <f>Q32+Q38+Q43</f>
        <v>0</v>
      </c>
      <c r="R44" s="228">
        <f t="shared" ref="R44:S44" si="245">R32+R38+R43</f>
        <v>0</v>
      </c>
      <c r="S44" s="228">
        <f t="shared" si="245"/>
        <v>0</v>
      </c>
      <c r="T44" s="228">
        <f ca="1">T32+T38+T43</f>
        <v>0</v>
      </c>
      <c r="U44" s="54">
        <f t="shared" ca="1" si="7"/>
        <v>0</v>
      </c>
      <c r="V44" s="245">
        <f t="shared" si="227"/>
        <v>0</v>
      </c>
      <c r="W44" s="326">
        <f t="shared" si="227"/>
        <v>0</v>
      </c>
      <c r="X44" s="246">
        <f t="shared" ca="1" si="227"/>
        <v>0</v>
      </c>
      <c r="Y44" s="52">
        <f>Y32+Y38+Y43</f>
        <v>0</v>
      </c>
      <c r="Z44" s="53">
        <f t="shared" ref="Z44:AB44" si="246">Z32+Z38+Z43</f>
        <v>0</v>
      </c>
      <c r="AA44" s="53">
        <f t="shared" si="246"/>
        <v>0</v>
      </c>
      <c r="AB44" s="53">
        <f t="shared" ca="1" si="246"/>
        <v>0</v>
      </c>
      <c r="AC44" s="54">
        <f t="shared" ca="1" si="9"/>
        <v>0</v>
      </c>
      <c r="AD44" s="77">
        <f t="shared" si="229"/>
        <v>0</v>
      </c>
      <c r="AE44" s="78">
        <f t="shared" si="229"/>
        <v>0</v>
      </c>
      <c r="AF44" s="78">
        <f t="shared" si="229"/>
        <v>0</v>
      </c>
      <c r="AG44" s="78">
        <f t="shared" ca="1" si="229"/>
        <v>0</v>
      </c>
      <c r="AH44" s="58">
        <f t="shared" ref="AH44:AL44" si="247">IFERROR((AH32*Q32+AH38*Q38+AH43*Q43)/Q44,0)</f>
        <v>0</v>
      </c>
      <c r="AI44" s="58">
        <f t="shared" si="247"/>
        <v>0</v>
      </c>
      <c r="AJ44" s="58">
        <f t="shared" si="247"/>
        <v>0</v>
      </c>
      <c r="AK44" s="58">
        <f t="shared" ca="1" si="247"/>
        <v>0</v>
      </c>
      <c r="AL44" s="54">
        <f t="shared" ca="1" si="247"/>
        <v>0</v>
      </c>
      <c r="AM44" s="57">
        <f t="shared" si="231"/>
        <v>0</v>
      </c>
      <c r="AN44" s="58">
        <f t="shared" si="231"/>
        <v>0</v>
      </c>
      <c r="AO44" s="58">
        <f t="shared" si="231"/>
        <v>0</v>
      </c>
      <c r="AP44" s="58">
        <f t="shared" ca="1" si="231"/>
        <v>0</v>
      </c>
      <c r="AQ44" s="54">
        <f t="shared" ca="1" si="14"/>
        <v>0</v>
      </c>
      <c r="AR44" s="57">
        <f t="shared" si="232"/>
        <v>0</v>
      </c>
      <c r="AS44" s="58">
        <f t="shared" si="232"/>
        <v>0</v>
      </c>
      <c r="AT44" s="58">
        <f t="shared" si="232"/>
        <v>0</v>
      </c>
      <c r="AU44" s="58">
        <f t="shared" ca="1" si="232"/>
        <v>0</v>
      </c>
      <c r="AV44" s="54">
        <f t="shared" ca="1" si="16"/>
        <v>0</v>
      </c>
      <c r="AW44" s="59">
        <f t="shared" si="233"/>
        <v>0</v>
      </c>
      <c r="AX44" s="60">
        <f t="shared" si="233"/>
        <v>0</v>
      </c>
      <c r="AY44" s="60">
        <f t="shared" si="233"/>
        <v>0</v>
      </c>
      <c r="AZ44" s="60">
        <f t="shared" ca="1" si="233"/>
        <v>0</v>
      </c>
      <c r="BA44" s="234">
        <f>BA43</f>
        <v>0</v>
      </c>
      <c r="BB44" s="228">
        <f t="shared" si="234"/>
        <v>0</v>
      </c>
      <c r="BC44" s="228">
        <f t="shared" si="234"/>
        <v>0</v>
      </c>
      <c r="BD44" s="228">
        <f t="shared" ca="1" si="234"/>
        <v>0</v>
      </c>
      <c r="BE44" s="54">
        <f t="shared" ca="1" si="19"/>
        <v>0</v>
      </c>
      <c r="BF44" s="228">
        <f t="shared" si="235"/>
        <v>0</v>
      </c>
      <c r="BG44" s="228">
        <f t="shared" ca="1" si="235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248">IF(BA44&lt;&gt;0,(Q44/13)/BA44,0)</f>
        <v>0</v>
      </c>
      <c r="BK44" s="61">
        <f t="shared" ref="BK44" ca="1" si="249">IF(BD44&lt;&gt;0,(T44/13)/BD44,0)</f>
        <v>0</v>
      </c>
      <c r="BL44" s="227">
        <f t="shared" ref="BL44:BQ44" si="250">BL32+BL38+BL43</f>
        <v>0</v>
      </c>
      <c r="BM44" s="228">
        <f t="shared" ca="1" si="250"/>
        <v>0</v>
      </c>
      <c r="BN44" s="227">
        <f t="shared" si="250"/>
        <v>0</v>
      </c>
      <c r="BO44" s="228">
        <f t="shared" ca="1" si="250"/>
        <v>0</v>
      </c>
      <c r="BP44" s="227">
        <f t="shared" si="250"/>
        <v>0</v>
      </c>
      <c r="BQ44" s="228">
        <f t="shared" ca="1" si="250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251">BT32+BT38+BT43</f>
        <v>0</v>
      </c>
      <c r="BU44" s="228">
        <f t="shared" si="251"/>
        <v>0</v>
      </c>
      <c r="BV44" s="228">
        <f t="shared" si="251"/>
        <v>0</v>
      </c>
      <c r="BW44" s="228">
        <f t="shared" si="251"/>
        <v>0</v>
      </c>
      <c r="BX44" s="228">
        <f t="shared" si="251"/>
        <v>0</v>
      </c>
      <c r="BY44" s="56">
        <f t="shared" ca="1" si="251"/>
        <v>0</v>
      </c>
      <c r="BZ44" s="54">
        <f t="shared" ca="1" si="25"/>
        <v>0</v>
      </c>
      <c r="CA44" s="332">
        <f t="shared" ref="CA44:CF44" si="252">CA32+CA38+CA43</f>
        <v>0</v>
      </c>
      <c r="CB44" s="53">
        <f t="shared" si="252"/>
        <v>0</v>
      </c>
      <c r="CC44" s="53">
        <f t="shared" si="252"/>
        <v>0</v>
      </c>
      <c r="CD44" s="53">
        <f t="shared" si="252"/>
        <v>0</v>
      </c>
      <c r="CE44" s="53">
        <f t="shared" si="252"/>
        <v>0</v>
      </c>
      <c r="CF44" s="53">
        <f t="shared" ca="1" si="252"/>
        <v>0</v>
      </c>
      <c r="CG44" s="54">
        <f t="shared" ca="1" si="28"/>
        <v>0</v>
      </c>
      <c r="CH44" s="332">
        <f t="shared" ref="CH44:CM44" si="253">CH32+CH38+CH43</f>
        <v>0</v>
      </c>
      <c r="CI44" s="53">
        <f t="shared" si="253"/>
        <v>0</v>
      </c>
      <c r="CJ44" s="53">
        <f t="shared" si="253"/>
        <v>0</v>
      </c>
      <c r="CK44" s="53">
        <f t="shared" si="253"/>
        <v>0</v>
      </c>
      <c r="CL44" s="53">
        <f t="shared" si="253"/>
        <v>0</v>
      </c>
      <c r="CM44" s="53">
        <f t="shared" ca="1" si="253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>
        <f>CU32+CU38+CU43</f>
        <v>0</v>
      </c>
      <c r="CW44" s="55">
        <f>CW43</f>
        <v>0</v>
      </c>
      <c r="CX44" s="56">
        <f ca="1">CX43</f>
        <v>0</v>
      </c>
      <c r="CY44" s="54">
        <f t="shared" ca="1" si="36"/>
        <v>0</v>
      </c>
      <c r="CZ44" s="276"/>
      <c r="DA44" s="277"/>
      <c r="DB44" s="277"/>
      <c r="DC44" s="278"/>
    </row>
    <row r="45" spans="1:107" x14ac:dyDescent="0.25">
      <c r="A45" s="44" t="s">
        <v>301</v>
      </c>
      <c r="B45" s="44">
        <v>2018</v>
      </c>
      <c r="C45" s="88">
        <v>27</v>
      </c>
      <c r="D45" s="97">
        <f t="shared" ref="D45:D48" si="254">G45*H45</f>
        <v>0</v>
      </c>
      <c r="E45" s="201">
        <f t="shared" ref="E45:E48" si="255">IFERROR(D45*F45,0)</f>
        <v>0</v>
      </c>
      <c r="F45" s="181">
        <f t="shared" si="45"/>
        <v>0</v>
      </c>
      <c r="G45" s="175">
        <f t="shared" ref="G45:I54" si="256">IFERROR(VLOOKUP($B45 &amp; $C45&amp;G$4&amp;$A45,tblForecast,G$2,FALSE),0)</f>
        <v>0</v>
      </c>
      <c r="H45" s="202">
        <f t="shared" si="256"/>
        <v>0</v>
      </c>
      <c r="I45" s="202">
        <f t="shared" si="256"/>
        <v>0</v>
      </c>
      <c r="J45" s="175">
        <f>IFERROR(VLOOKUP($B45 &amp; $C45&amp;J$4&amp;$A45,tblForecast,J$2,FALSE),0)+IFERROR(VLOOKUP($B45 &amp; $C45 &amp; J$4 &amp; $A45,tblForecast,J$2+1,FALSE),0)</f>
        <v>0</v>
      </c>
      <c r="K45" s="296">
        <f>IFERROR(VLOOKUP($B45 &amp; $C45&amp;K$4&amp;$A45,tblForecast,K$2+2,FALSE),0)</f>
        <v>0</v>
      </c>
      <c r="L45" s="90">
        <f t="shared" ref="L45:O48" si="257">Q45*AM45</f>
        <v>0</v>
      </c>
      <c r="M45" s="90">
        <f t="shared" si="257"/>
        <v>0</v>
      </c>
      <c r="N45" s="90">
        <f t="shared" si="257"/>
        <v>0</v>
      </c>
      <c r="O45" s="90">
        <f t="shared" ca="1" si="257"/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54" si="258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:AB48" si="259">IFERROR(L45*AD45,0)</f>
        <v>0</v>
      </c>
      <c r="Z45" s="90">
        <f t="shared" si="259"/>
        <v>0</v>
      </c>
      <c r="AA45" s="90">
        <f t="shared" si="259"/>
        <v>0</v>
      </c>
      <c r="AB45" s="90">
        <f t="shared" ca="1" si="259"/>
        <v>0</v>
      </c>
      <c r="AC45" s="91">
        <f t="shared" ca="1" si="9"/>
        <v>0</v>
      </c>
      <c r="AD45" s="75">
        <f t="shared" ref="AD45:AG48" si="260">IF(AM45&lt;&gt;0,1-AR45/AM45,0)</f>
        <v>0</v>
      </c>
      <c r="AE45" s="93">
        <f t="shared" si="260"/>
        <v>0</v>
      </c>
      <c r="AF45" s="93">
        <f t="shared" si="260"/>
        <v>0</v>
      </c>
      <c r="AG45" s="93">
        <f t="shared" ca="1" si="260"/>
        <v>0</v>
      </c>
      <c r="AH45" s="104">
        <f>IFERROR(VLOOKUP($B45 &amp; $C45&amp;AH$4,tblForecast,AH$2,FALSE),0)</f>
        <v>0</v>
      </c>
      <c r="AI45" s="94">
        <f t="shared" ref="AI45:AJ54" si="261">IFERROR(VLOOKUP($B45 &amp; $C45&amp;AI$4,tblForecast,AI$2,FALSE),0)</f>
        <v>0</v>
      </c>
      <c r="AJ45" s="94">
        <f t="shared" si="261"/>
        <v>0</v>
      </c>
      <c r="AK45" s="94">
        <f ca="1">IFERROR(CF45/BY45,0)</f>
        <v>0</v>
      </c>
      <c r="AL45" s="91">
        <f t="shared" ref="AL45:AL60" ca="1" si="262">IFERROR(AH45/AK45-1,)</f>
        <v>0</v>
      </c>
      <c r="AM45" s="104">
        <f>IFERROR(VLOOKUP($B45 &amp; $C45&amp;AM$4,tblForecast,AM$2,FALSE),0)</f>
        <v>0</v>
      </c>
      <c r="AN45" s="94">
        <f t="shared" ref="AN45:AO54" si="263">IFERROR(VLOOKUP($B45 &amp; $C45&amp;AN$4,tblForecast,AN$2,FALSE),0)</f>
        <v>0</v>
      </c>
      <c r="AO45" s="94">
        <f t="shared" si="263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54" si="264">IFERROR(VLOOKUP($B45 &amp; $C45&amp;AS$4,tblForecast,AS$2,FALSE),0)</f>
        <v>0</v>
      </c>
      <c r="AT45" s="94">
        <f t="shared" si="264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233"/>
        <v>0</v>
      </c>
      <c r="AX45" s="181">
        <f t="shared" si="233"/>
        <v>0</v>
      </c>
      <c r="AY45" s="181">
        <f t="shared" si="233"/>
        <v>0</v>
      </c>
      <c r="AZ45" s="181">
        <f t="shared" ca="1" si="233"/>
        <v>0</v>
      </c>
      <c r="BA45" s="225">
        <f t="shared" ref="BA45:BA48" si="265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50" si="266">IFERROR(VLOOKUP($B45 &amp; $C45&amp;BC$4,tblForecast,BC$2,FALSE),0)</f>
        <v>0</v>
      </c>
      <c r="BD45" s="226">
        <f t="shared" ref="BD45:BD48" ca="1" si="267">CX45+BG45</f>
        <v>0</v>
      </c>
      <c r="BE45" s="176">
        <f t="shared" ca="1" si="19"/>
        <v>0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0</v>
      </c>
      <c r="BH45" s="178">
        <f t="shared" ref="BH45:BH48" si="268">IF(Q45&lt;&gt;0,BA45/Q45,0)</f>
        <v>0</v>
      </c>
      <c r="BI45" s="186">
        <f t="shared" ref="BI45:BI48" ca="1" si="269">IF(T45&lt;&gt;0,BD45/T45,0)</f>
        <v>0</v>
      </c>
      <c r="BJ45" s="183">
        <f t="shared" ref="BJ45:BJ48" si="270">IF(BA45&lt;&gt;0,Q45/BA45,0)</f>
        <v>0</v>
      </c>
      <c r="BK45" s="96">
        <f t="shared" ref="BK45:BK48" ca="1" si="271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0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54" si="272">IFERROR(VLOOKUP($B45 &amp; $C45&amp;BT$4,tblForecast,BT$2,FALSE),0)</f>
        <v>0</v>
      </c>
      <c r="BU45" s="226">
        <f t="shared" si="272"/>
        <v>0</v>
      </c>
      <c r="BV45" s="226">
        <f>IFERROR(VLOOKUP($B45 &amp; $C45&amp;BV$4,tblForecast,BV$2,FALSE),0)</f>
        <v>0</v>
      </c>
      <c r="BW45" s="226">
        <f t="shared" ref="BW45:BX54" si="273">IFERROR(VLOOKUP($B45 &amp; $C45&amp;BW$4,tblForecast,BW$2,FALSE),0)</f>
        <v>0</v>
      </c>
      <c r="BX45" s="226">
        <f t="shared" si="273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54" si="274">IFERROR(VLOOKUP($B45 &amp; $C45&amp;CA$4,tblForecast,CA$2,FALSE),0)</f>
        <v>0</v>
      </c>
      <c r="CB45" s="90">
        <f t="shared" si="274"/>
        <v>0</v>
      </c>
      <c r="CC45" s="90">
        <f>IFERROR(VLOOKUP($B45 &amp; $C45&amp;CC$4,tblForecast,CC$2,FALSE),0)</f>
        <v>0</v>
      </c>
      <c r="CD45" s="90">
        <f t="shared" ref="CD45:CE54" si="275">IFERROR(VLOOKUP($B45 &amp; $C45&amp;CD$4,tblForecast,CD$2,FALSE),0)</f>
        <v>0</v>
      </c>
      <c r="CE45" s="90">
        <f t="shared" si="275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54" si="276">IFERROR(VLOOKUP($B45 &amp; $C45&amp;CH$4,tblForecast,CH$2,FALSE),0)</f>
        <v>0</v>
      </c>
      <c r="CI45" s="90">
        <f t="shared" si="276"/>
        <v>0</v>
      </c>
      <c r="CJ45" s="90">
        <f>IFERROR(VLOOKUP($B45 &amp; $C45&amp;CJ$4,tblForecast,CJ$2,FALSE),0)</f>
        <v>0</v>
      </c>
      <c r="CK45" s="90">
        <f t="shared" ref="CK45:CL54" si="277">IFERROR(VLOOKUP($B45 &amp; $C45&amp;CK$4,tblForecast,CK$2,FALSE),0)</f>
        <v>0</v>
      </c>
      <c r="CL45" s="90">
        <f t="shared" si="277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>
        <f>IFERROR(VLOOKUP($B45 &amp; $C45&amp;CU$4,tblForecast,CU$2,FALSE),0)</f>
        <v>0</v>
      </c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6">
        <f>IFERROR(VLOOKUP(Brand&amp;Channel&amp;Country&amp;$C45,tblDiscount,6,FALSE),0)</f>
        <v>0</v>
      </c>
      <c r="DA45" s="277">
        <f t="shared" ref="DA45:DA48" si="278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301</v>
      </c>
      <c r="B46" s="44">
        <v>2018</v>
      </c>
      <c r="C46" s="88">
        <v>28</v>
      </c>
      <c r="D46" s="97">
        <f t="shared" si="254"/>
        <v>0</v>
      </c>
      <c r="E46" s="201">
        <f t="shared" si="255"/>
        <v>0</v>
      </c>
      <c r="F46" s="181">
        <f t="shared" si="45"/>
        <v>0</v>
      </c>
      <c r="G46" s="175">
        <f t="shared" si="256"/>
        <v>0</v>
      </c>
      <c r="H46" s="202">
        <f t="shared" si="256"/>
        <v>0</v>
      </c>
      <c r="I46" s="202">
        <f t="shared" si="256"/>
        <v>0</v>
      </c>
      <c r="J46" s="175">
        <f>IFERROR(VLOOKUP($B46 &amp; $C46&amp;J$4&amp;$A46,tblForecast,J$2,FALSE),0)+IFERROR(VLOOKUP($B46 &amp; $C46 &amp; J$4 &amp; $A46,tblForecast,J$2+1,FALSE),0)</f>
        <v>0</v>
      </c>
      <c r="K46" s="296">
        <f>IFERROR(VLOOKUP($B46 &amp; $C46&amp;K$4&amp;$A46,tblForecast,K$2+2,FALSE),0)</f>
        <v>0</v>
      </c>
      <c r="L46" s="90">
        <f t="shared" si="257"/>
        <v>0</v>
      </c>
      <c r="M46" s="90">
        <f t="shared" si="257"/>
        <v>0</v>
      </c>
      <c r="N46" s="90">
        <f t="shared" si="257"/>
        <v>0</v>
      </c>
      <c r="O46" s="90">
        <f t="shared" ca="1" si="257"/>
        <v>0</v>
      </c>
      <c r="P46" s="91">
        <f t="shared" ca="1" si="39"/>
        <v>0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258"/>
        <v>0</v>
      </c>
      <c r="T46" s="238">
        <f ca="1">SUMIFS(OFFSET(tblForecast,,T$2,,1),OFFSET(tblForecast,,,,1),$B46-IF(CompareVer="LY",1,0)&amp; $C46 &amp;T$4)</f>
        <v>0</v>
      </c>
      <c r="U46" s="91">
        <f t="shared" ca="1" si="7"/>
        <v>0</v>
      </c>
      <c r="V46" s="247">
        <f t="shared" ref="V46:W48" si="279">IFERROR(IF(Q45&lt;&gt;0,Q46/Q45,0),0)</f>
        <v>0</v>
      </c>
      <c r="W46" s="327">
        <f t="shared" si="279"/>
        <v>0</v>
      </c>
      <c r="X46" s="248">
        <f t="shared" ref="X46:X48" ca="1" si="280">IFERROR(IF(T45&lt;&gt;0,T46/T45,0),0)</f>
        <v>0</v>
      </c>
      <c r="Y46" s="97">
        <f t="shared" si="259"/>
        <v>0</v>
      </c>
      <c r="Z46" s="90">
        <f t="shared" si="259"/>
        <v>0</v>
      </c>
      <c r="AA46" s="90">
        <f t="shared" si="259"/>
        <v>0</v>
      </c>
      <c r="AB46" s="90">
        <f t="shared" ca="1" si="259"/>
        <v>0</v>
      </c>
      <c r="AC46" s="91">
        <f t="shared" ca="1" si="9"/>
        <v>0</v>
      </c>
      <c r="AD46" s="75">
        <f t="shared" si="260"/>
        <v>0</v>
      </c>
      <c r="AE46" s="93">
        <f t="shared" si="260"/>
        <v>0</v>
      </c>
      <c r="AF46" s="93">
        <f t="shared" si="260"/>
        <v>0</v>
      </c>
      <c r="AG46" s="93">
        <f t="shared" ca="1" si="260"/>
        <v>0</v>
      </c>
      <c r="AH46" s="104">
        <f>IFERROR(VLOOKUP($B46 &amp; $C46&amp;AH$4,tblForecast,AH$2,FALSE),0)</f>
        <v>0</v>
      </c>
      <c r="AI46" s="94">
        <f t="shared" si="261"/>
        <v>0</v>
      </c>
      <c r="AJ46" s="94">
        <f t="shared" si="261"/>
        <v>0</v>
      </c>
      <c r="AK46" s="94">
        <f ca="1">IFERROR(CF46/BY46,0)</f>
        <v>0</v>
      </c>
      <c r="AL46" s="91">
        <f t="shared" ca="1" si="262"/>
        <v>0</v>
      </c>
      <c r="AM46" s="104">
        <f>IFERROR(VLOOKUP($B46 &amp; $C46&amp;AM$4,tblForecast,AM$2,FALSE),0)</f>
        <v>0</v>
      </c>
      <c r="AN46" s="94">
        <f t="shared" si="263"/>
        <v>0</v>
      </c>
      <c r="AO46" s="94">
        <f t="shared" si="263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ca="1" si="14"/>
        <v>0</v>
      </c>
      <c r="AR46" s="104">
        <f>IFERROR(VLOOKUP($B46 &amp; $C46&amp;AR$4,tblForecast,AR$2,FALSE),0)</f>
        <v>0</v>
      </c>
      <c r="AS46" s="94">
        <f t="shared" si="264"/>
        <v>0</v>
      </c>
      <c r="AT46" s="94">
        <f t="shared" si="264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ca="1" si="16"/>
        <v>0</v>
      </c>
      <c r="AW46" s="180">
        <f t="shared" si="233"/>
        <v>0</v>
      </c>
      <c r="AX46" s="181">
        <f t="shared" si="233"/>
        <v>0</v>
      </c>
      <c r="AY46" s="181">
        <f t="shared" si="233"/>
        <v>0</v>
      </c>
      <c r="AZ46" s="181">
        <f t="shared" ca="1" si="233"/>
        <v>0</v>
      </c>
      <c r="BA46" s="225">
        <f t="shared" si="265"/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266"/>
        <v>0</v>
      </c>
      <c r="BD46" s="226">
        <f t="shared" ca="1" si="267"/>
        <v>0</v>
      </c>
      <c r="BE46" s="176">
        <f t="shared" ca="1" si="19"/>
        <v>0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0</v>
      </c>
      <c r="BH46" s="178">
        <f t="shared" si="268"/>
        <v>0</v>
      </c>
      <c r="BI46" s="186">
        <f t="shared" ca="1" si="269"/>
        <v>0</v>
      </c>
      <c r="BJ46" s="183">
        <f t="shared" si="270"/>
        <v>0</v>
      </c>
      <c r="BK46" s="96">
        <f t="shared" ca="1" si="271"/>
        <v>0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si="43"/>
        <v>0</v>
      </c>
      <c r="BS46" s="226">
        <f t="shared" ca="1" si="22"/>
        <v>0</v>
      </c>
      <c r="BT46" s="225">
        <f t="shared" si="272"/>
        <v>0</v>
      </c>
      <c r="BU46" s="226">
        <f t="shared" si="272"/>
        <v>0</v>
      </c>
      <c r="BV46" s="226">
        <f>IFERROR(VLOOKUP($B46 &amp; $C46&amp;BV$4,tblForecast,BV$2,FALSE),0)</f>
        <v>0</v>
      </c>
      <c r="BW46" s="226">
        <f t="shared" si="273"/>
        <v>0</v>
      </c>
      <c r="BX46" s="226">
        <f t="shared" si="273"/>
        <v>0</v>
      </c>
      <c r="BY46" s="175">
        <f ca="1">SUMIFS(OFFSET(tblForecast,,BY$2,,1),OFFSET(tblForecast,,,,1),$B46-IF(CompareVer="LY",1,0)&amp; $C46 &amp;BY$4)</f>
        <v>0</v>
      </c>
      <c r="BZ46" s="176">
        <f t="shared" ca="1" si="25"/>
        <v>0</v>
      </c>
      <c r="CA46" s="90">
        <f t="shared" si="274"/>
        <v>0</v>
      </c>
      <c r="CB46" s="90">
        <f t="shared" si="274"/>
        <v>0</v>
      </c>
      <c r="CC46" s="90">
        <f>IFERROR(VLOOKUP($B46 &amp; $C46&amp;CC$4,tblForecast,CC$2,FALSE),0)</f>
        <v>0</v>
      </c>
      <c r="CD46" s="90">
        <f t="shared" si="275"/>
        <v>0</v>
      </c>
      <c r="CE46" s="90">
        <f t="shared" si="275"/>
        <v>0</v>
      </c>
      <c r="CF46" s="90">
        <f ca="1">SUMIFS(OFFSET(tblForecast,,CF$2,,1),OFFSET(tblForecast,,,,1),$B46-IF(CompareVer="LY",1,0)&amp; $C46 &amp;CF$4)</f>
        <v>0</v>
      </c>
      <c r="CG46" s="176">
        <f t="shared" ca="1" si="28"/>
        <v>0</v>
      </c>
      <c r="CH46" s="90">
        <f t="shared" si="276"/>
        <v>0</v>
      </c>
      <c r="CI46" s="90">
        <f t="shared" si="276"/>
        <v>0</v>
      </c>
      <c r="CJ46" s="90">
        <f>IFERROR(VLOOKUP($B46 &amp; $C46&amp;CJ$4,tblForecast,CJ$2,FALSE),0)</f>
        <v>0</v>
      </c>
      <c r="CK46" s="90">
        <f t="shared" si="277"/>
        <v>0</v>
      </c>
      <c r="CL46" s="90">
        <f t="shared" si="277"/>
        <v>0</v>
      </c>
      <c r="CM46" s="90">
        <f ca="1">SUMIFS(OFFSET(tblForecast,,CM$2,,1),OFFSET(tblForecast,,,,1),$B46-IF(CompareVer="LY",1,0)&amp; $C46 &amp;CM$4)</f>
        <v>0</v>
      </c>
      <c r="CN46" s="176">
        <f t="shared" ca="1" si="31"/>
        <v>0</v>
      </c>
      <c r="CO46" s="177">
        <f t="shared" si="46"/>
        <v>0</v>
      </c>
      <c r="CP46" s="221">
        <f t="shared" ca="1" si="46"/>
        <v>0</v>
      </c>
      <c r="CQ46" s="176">
        <f t="shared" ca="1" si="33"/>
        <v>0</v>
      </c>
      <c r="CR46" s="177">
        <f t="shared" si="44"/>
        <v>0</v>
      </c>
      <c r="CS46" s="221">
        <f t="shared" ca="1" si="34"/>
        <v>0</v>
      </c>
      <c r="CT46" s="176">
        <f t="shared" ca="1" si="47"/>
        <v>0</v>
      </c>
      <c r="CU46" s="44">
        <f>IFERROR(VLOOKUP($B46 &amp; $C46&amp;CU$4,tblForecast,CU$2,FALSE),0)</f>
        <v>0</v>
      </c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ca="1" si="36"/>
        <v>0</v>
      </c>
      <c r="CZ46" s="276">
        <f>IFERROR(VLOOKUP(Brand&amp;Channel&amp;Country&amp;$C46,tblDiscount,6,FALSE),0)</f>
        <v>0</v>
      </c>
      <c r="DA46" s="277">
        <f t="shared" si="278"/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301</v>
      </c>
      <c r="B47" s="44">
        <v>2018</v>
      </c>
      <c r="C47" s="88">
        <v>29</v>
      </c>
      <c r="D47" s="97">
        <f t="shared" si="254"/>
        <v>0</v>
      </c>
      <c r="E47" s="201">
        <f t="shared" si="255"/>
        <v>0</v>
      </c>
      <c r="F47" s="181">
        <f t="shared" si="45"/>
        <v>0</v>
      </c>
      <c r="G47" s="175">
        <f t="shared" si="256"/>
        <v>0</v>
      </c>
      <c r="H47" s="202">
        <f t="shared" si="256"/>
        <v>0</v>
      </c>
      <c r="I47" s="202">
        <f t="shared" si="256"/>
        <v>0</v>
      </c>
      <c r="J47" s="175">
        <f>IFERROR(VLOOKUP($B47 &amp; $C47&amp;J$4&amp;$A47,tblForecast,J$2,FALSE),0)+IFERROR(VLOOKUP($B47 &amp; $C47 &amp; J$4 &amp; $A47,tblForecast,J$2+1,FALSE),0)</f>
        <v>0</v>
      </c>
      <c r="K47" s="296">
        <f>IFERROR(VLOOKUP($B47 &amp; $C47&amp;K$4&amp;$A47,tblForecast,K$2+2,FALSE),0)</f>
        <v>0</v>
      </c>
      <c r="L47" s="90">
        <f t="shared" si="257"/>
        <v>0</v>
      </c>
      <c r="M47" s="90">
        <f t="shared" si="257"/>
        <v>0</v>
      </c>
      <c r="N47" s="90">
        <f t="shared" si="257"/>
        <v>0</v>
      </c>
      <c r="O47" s="90">
        <f t="shared" ca="1" si="257"/>
        <v>0</v>
      </c>
      <c r="P47" s="91">
        <f t="shared" ca="1" si="39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258"/>
        <v>0</v>
      </c>
      <c r="T47" s="238">
        <f ca="1">SUMIFS(OFFSET(tblForecast,,T$2,,1),OFFSET(tblForecast,,,,1),$B47-IF(CompareVer="LY",1,0)&amp; $C47 &amp;T$4)</f>
        <v>0</v>
      </c>
      <c r="U47" s="91">
        <f t="shared" ca="1" si="7"/>
        <v>0</v>
      </c>
      <c r="V47" s="247">
        <f t="shared" si="279"/>
        <v>0</v>
      </c>
      <c r="W47" s="327">
        <f t="shared" si="279"/>
        <v>0</v>
      </c>
      <c r="X47" s="248">
        <f t="shared" ca="1" si="280"/>
        <v>0</v>
      </c>
      <c r="Y47" s="97">
        <f t="shared" si="259"/>
        <v>0</v>
      </c>
      <c r="Z47" s="90">
        <f t="shared" si="259"/>
        <v>0</v>
      </c>
      <c r="AA47" s="90">
        <f t="shared" si="259"/>
        <v>0</v>
      </c>
      <c r="AB47" s="90">
        <f t="shared" ca="1" si="259"/>
        <v>0</v>
      </c>
      <c r="AC47" s="91">
        <f t="shared" ca="1" si="9"/>
        <v>0</v>
      </c>
      <c r="AD47" s="75">
        <f t="shared" si="260"/>
        <v>0</v>
      </c>
      <c r="AE47" s="93">
        <f t="shared" si="260"/>
        <v>0</v>
      </c>
      <c r="AF47" s="93">
        <f t="shared" si="260"/>
        <v>0</v>
      </c>
      <c r="AG47" s="93">
        <f t="shared" ca="1" si="260"/>
        <v>0</v>
      </c>
      <c r="AH47" s="104">
        <f>IFERROR(VLOOKUP($B47 &amp; $C47&amp;AH$4,tblForecast,AH$2,FALSE),0)</f>
        <v>0</v>
      </c>
      <c r="AI47" s="94">
        <f t="shared" si="261"/>
        <v>0</v>
      </c>
      <c r="AJ47" s="94">
        <f t="shared" si="261"/>
        <v>0</v>
      </c>
      <c r="AK47" s="94">
        <f ca="1">IFERROR(CF47/BY47,0)</f>
        <v>0</v>
      </c>
      <c r="AL47" s="91">
        <f t="shared" ca="1" si="262"/>
        <v>0</v>
      </c>
      <c r="AM47" s="104">
        <f>IFERROR(VLOOKUP($B47 &amp; $C47&amp;AM$4,tblForecast,AM$2,FALSE),0)</f>
        <v>0</v>
      </c>
      <c r="AN47" s="94">
        <f t="shared" si="263"/>
        <v>0</v>
      </c>
      <c r="AO47" s="94">
        <f t="shared" si="263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14"/>
        <v>0</v>
      </c>
      <c r="AR47" s="104">
        <f>IFERROR(VLOOKUP($B47 &amp; $C47&amp;AR$4,tblForecast,AR$2,FALSE),0)</f>
        <v>0</v>
      </c>
      <c r="AS47" s="94">
        <f t="shared" si="264"/>
        <v>0</v>
      </c>
      <c r="AT47" s="94">
        <f t="shared" si="264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16"/>
        <v>0</v>
      </c>
      <c r="AW47" s="180">
        <f t="shared" si="233"/>
        <v>0</v>
      </c>
      <c r="AX47" s="181">
        <f t="shared" si="233"/>
        <v>0</v>
      </c>
      <c r="AY47" s="181">
        <f t="shared" si="233"/>
        <v>0</v>
      </c>
      <c r="AZ47" s="181">
        <f t="shared" ca="1" si="233"/>
        <v>0</v>
      </c>
      <c r="BA47" s="225">
        <f t="shared" si="265"/>
        <v>0</v>
      </c>
      <c r="BB47" s="226">
        <f>IF(IFERROR(VLOOKUP($B47 &amp; $C47&amp;BB$4,tblForecast,BB$2,FALSE),0)=0,BA47,IFERROR(VLOOKUP($B47 &amp; $C47&amp;BB$4,tblForecast,BB$2,FALSE),0))</f>
        <v>0</v>
      </c>
      <c r="BC47" s="226">
        <f t="shared" si="266"/>
        <v>0</v>
      </c>
      <c r="BD47" s="226">
        <f t="shared" ca="1" si="267"/>
        <v>0</v>
      </c>
      <c r="BE47" s="176">
        <f t="shared" ca="1" si="19"/>
        <v>0</v>
      </c>
      <c r="BF47" s="226">
        <f>IFERROR(VLOOKUP($B47 &amp; $C47&amp;BF$4,tblForecast,BF$2,FALSE),0)</f>
        <v>0</v>
      </c>
      <c r="BG47" s="226">
        <f ca="1">SUMIFS(OFFSET(tblForecast,,BG$2,,1),OFFSET(tblForecast,,,,1),$B47-IF(CompareVer="LY",1,0)&amp; $C47 &amp;BG$4)</f>
        <v>0</v>
      </c>
      <c r="BH47" s="178">
        <f t="shared" si="268"/>
        <v>0</v>
      </c>
      <c r="BI47" s="186">
        <f t="shared" ca="1" si="269"/>
        <v>0</v>
      </c>
      <c r="BJ47" s="183">
        <f t="shared" si="270"/>
        <v>0</v>
      </c>
      <c r="BK47" s="96">
        <f t="shared" ca="1" si="271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3"/>
        <v>0</v>
      </c>
      <c r="BS47" s="226">
        <f t="shared" ca="1" si="22"/>
        <v>0</v>
      </c>
      <c r="BT47" s="225">
        <f t="shared" si="272"/>
        <v>0</v>
      </c>
      <c r="BU47" s="226">
        <f t="shared" si="272"/>
        <v>0</v>
      </c>
      <c r="BV47" s="226">
        <f>IFERROR(VLOOKUP($B47 &amp; $C47&amp;BV$4,tblForecast,BV$2,FALSE),0)</f>
        <v>0</v>
      </c>
      <c r="BW47" s="226">
        <f t="shared" si="273"/>
        <v>0</v>
      </c>
      <c r="BX47" s="226">
        <f t="shared" si="273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25"/>
        <v>0</v>
      </c>
      <c r="CA47" s="90">
        <f t="shared" si="274"/>
        <v>0</v>
      </c>
      <c r="CB47" s="90">
        <f t="shared" si="274"/>
        <v>0</v>
      </c>
      <c r="CC47" s="90">
        <f>IFERROR(VLOOKUP($B47 &amp; $C47&amp;CC$4,tblForecast,CC$2,FALSE),0)</f>
        <v>0</v>
      </c>
      <c r="CD47" s="90">
        <f t="shared" si="275"/>
        <v>0</v>
      </c>
      <c r="CE47" s="90">
        <f t="shared" si="275"/>
        <v>0</v>
      </c>
      <c r="CF47" s="90">
        <f ca="1">SUMIFS(OFFSET(tblForecast,,CF$2,,1),OFFSET(tblForecast,,,,1),$B47-IF(CompareVer="LY",1,0)&amp; $C47 &amp;CF$4)</f>
        <v>0</v>
      </c>
      <c r="CG47" s="176">
        <f t="shared" ca="1" si="28"/>
        <v>0</v>
      </c>
      <c r="CH47" s="90">
        <f t="shared" si="276"/>
        <v>0</v>
      </c>
      <c r="CI47" s="90">
        <f t="shared" si="276"/>
        <v>0</v>
      </c>
      <c r="CJ47" s="90">
        <f>IFERROR(VLOOKUP($B47 &amp; $C47&amp;CJ$4,tblForecast,CJ$2,FALSE),0)</f>
        <v>0</v>
      </c>
      <c r="CK47" s="90">
        <f t="shared" si="277"/>
        <v>0</v>
      </c>
      <c r="CL47" s="90">
        <f t="shared" si="277"/>
        <v>0</v>
      </c>
      <c r="CM47" s="90">
        <f ca="1">SUMIFS(OFFSET(tblForecast,,CM$2,,1),OFFSET(tblForecast,,,,1),$B47-IF(CompareVer="LY",1,0)&amp; $C47 &amp;CM$4)</f>
        <v>0</v>
      </c>
      <c r="CN47" s="176">
        <f t="shared" ca="1" si="31"/>
        <v>0</v>
      </c>
      <c r="CO47" s="177">
        <f t="shared" si="46"/>
        <v>0</v>
      </c>
      <c r="CP47" s="221">
        <f t="shared" ca="1" si="46"/>
        <v>0</v>
      </c>
      <c r="CQ47" s="176">
        <f t="shared" ca="1" si="33"/>
        <v>0</v>
      </c>
      <c r="CR47" s="177">
        <f t="shared" si="44"/>
        <v>0</v>
      </c>
      <c r="CS47" s="221">
        <f t="shared" ca="1" si="34"/>
        <v>0</v>
      </c>
      <c r="CT47" s="176">
        <f t="shared" ca="1" si="47"/>
        <v>0</v>
      </c>
      <c r="CU47" s="44">
        <f>IFERROR(VLOOKUP($B47 &amp; $C47&amp;CU$4,tblForecast,CU$2,FALSE),0)</f>
        <v>0</v>
      </c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36"/>
        <v>0</v>
      </c>
      <c r="CZ47" s="276">
        <f>IFERROR(VLOOKUP(Brand&amp;Channel&amp;Country&amp;$C47,tblDiscount,6,FALSE),0)</f>
        <v>0</v>
      </c>
      <c r="DA47" s="277">
        <f t="shared" si="278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301</v>
      </c>
      <c r="B48" s="44">
        <v>2018</v>
      </c>
      <c r="C48" s="88">
        <v>30</v>
      </c>
      <c r="D48" s="97">
        <f t="shared" si="254"/>
        <v>0</v>
      </c>
      <c r="E48" s="201">
        <f t="shared" si="255"/>
        <v>0</v>
      </c>
      <c r="F48" s="181">
        <f t="shared" si="45"/>
        <v>0</v>
      </c>
      <c r="G48" s="175">
        <f t="shared" si="256"/>
        <v>0</v>
      </c>
      <c r="H48" s="202">
        <f t="shared" si="256"/>
        <v>0</v>
      </c>
      <c r="I48" s="202">
        <f t="shared" si="256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$C48&amp;K$4&amp;$A48,tblForecast,K$2+2,FALSE),0)</f>
        <v>0</v>
      </c>
      <c r="L48" s="90">
        <f t="shared" si="257"/>
        <v>0</v>
      </c>
      <c r="M48" s="90">
        <f t="shared" si="257"/>
        <v>0</v>
      </c>
      <c r="N48" s="90">
        <f t="shared" si="257"/>
        <v>0</v>
      </c>
      <c r="O48" s="90">
        <f t="shared" ca="1" si="257"/>
        <v>0</v>
      </c>
      <c r="P48" s="91">
        <f t="shared" ca="1" si="39"/>
        <v>0</v>
      </c>
      <c r="Q48" s="236">
        <f>IFERROR(VLOOKUP($B48 &amp; $C48&amp;Q$4,tblForecast,Q$2,FALSE),0)</f>
        <v>0</v>
      </c>
      <c r="R48" s="238">
        <f>IF(IFERROR(VLOOKUP($B48 &amp; $C48&amp;R$4,tblForecast,R$2,FALSE),0)=0,Q48,IFERROR(VLOOKUP($B48 &amp; $C48&amp;R$4,tblForecast,R$2,FALSE),0))</f>
        <v>0</v>
      </c>
      <c r="S48" s="238">
        <f t="shared" si="258"/>
        <v>0</v>
      </c>
      <c r="T48" s="238">
        <f ca="1">SUMIFS(OFFSET(tblForecast,,T$2,,1),OFFSET(tblForecast,,,,1),$B48-IF(CompareVer="LY",1,0)&amp; $C48 &amp;T$4)</f>
        <v>0</v>
      </c>
      <c r="U48" s="91">
        <f t="shared" ca="1" si="7"/>
        <v>0</v>
      </c>
      <c r="V48" s="247">
        <f t="shared" si="279"/>
        <v>0</v>
      </c>
      <c r="W48" s="327">
        <f t="shared" si="279"/>
        <v>0</v>
      </c>
      <c r="X48" s="248">
        <f t="shared" ca="1" si="280"/>
        <v>0</v>
      </c>
      <c r="Y48" s="97">
        <f t="shared" si="259"/>
        <v>0</v>
      </c>
      <c r="Z48" s="90">
        <f t="shared" si="259"/>
        <v>0</v>
      </c>
      <c r="AA48" s="90">
        <f t="shared" si="259"/>
        <v>0</v>
      </c>
      <c r="AB48" s="90">
        <f t="shared" ca="1" si="259"/>
        <v>0</v>
      </c>
      <c r="AC48" s="91">
        <f t="shared" ca="1" si="9"/>
        <v>0</v>
      </c>
      <c r="AD48" s="75">
        <f t="shared" si="260"/>
        <v>0</v>
      </c>
      <c r="AE48" s="93">
        <f t="shared" si="260"/>
        <v>0</v>
      </c>
      <c r="AF48" s="93">
        <f t="shared" si="260"/>
        <v>0</v>
      </c>
      <c r="AG48" s="93">
        <f t="shared" ca="1" si="260"/>
        <v>0</v>
      </c>
      <c r="AH48" s="104">
        <f>IFERROR(VLOOKUP($B48 &amp; $C48&amp;AH$4,tblForecast,AH$2,FALSE),0)</f>
        <v>0</v>
      </c>
      <c r="AI48" s="94">
        <f t="shared" si="261"/>
        <v>0</v>
      </c>
      <c r="AJ48" s="94">
        <f t="shared" si="261"/>
        <v>0</v>
      </c>
      <c r="AK48" s="94">
        <f ca="1">IFERROR(CF48/BY48,0)</f>
        <v>0</v>
      </c>
      <c r="AL48" s="91">
        <f t="shared" ca="1" si="262"/>
        <v>0</v>
      </c>
      <c r="AM48" s="104">
        <f>IFERROR(VLOOKUP($B48 &amp; $C48&amp;AM$4,tblForecast,AM$2,FALSE),0)</f>
        <v>0</v>
      </c>
      <c r="AN48" s="94">
        <f t="shared" si="263"/>
        <v>0</v>
      </c>
      <c r="AO48" s="94">
        <f t="shared" si="263"/>
        <v>0</v>
      </c>
      <c r="AP48" s="94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91">
        <f t="shared" ca="1" si="14"/>
        <v>0</v>
      </c>
      <c r="AR48" s="104">
        <f>IFERROR(VLOOKUP($B48 &amp; $C48&amp;AR$4,tblForecast,AR$2,FALSE),0)</f>
        <v>0</v>
      </c>
      <c r="AS48" s="94">
        <f t="shared" si="264"/>
        <v>0</v>
      </c>
      <c r="AT48" s="94">
        <f t="shared" si="264"/>
        <v>0</v>
      </c>
      <c r="AU48" s="94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91">
        <f t="shared" ca="1" si="16"/>
        <v>0</v>
      </c>
      <c r="AW48" s="180">
        <f t="shared" si="233"/>
        <v>0</v>
      </c>
      <c r="AX48" s="181">
        <f t="shared" si="233"/>
        <v>0</v>
      </c>
      <c r="AY48" s="181">
        <f t="shared" si="233"/>
        <v>0</v>
      </c>
      <c r="AZ48" s="181">
        <f t="shared" ca="1" si="233"/>
        <v>0</v>
      </c>
      <c r="BA48" s="225">
        <f t="shared" si="265"/>
        <v>0</v>
      </c>
      <c r="BB48" s="226">
        <f>IF(IFERROR(VLOOKUP($B48 &amp; $C48&amp;BB$4,tblForecast,BB$2,FALSE),0)=0,BA48,IFERROR(VLOOKUP($B48 &amp; $C48&amp;BB$4,tblForecast,BB$2,FALSE),0))</f>
        <v>0</v>
      </c>
      <c r="BC48" s="226">
        <f t="shared" si="266"/>
        <v>0</v>
      </c>
      <c r="BD48" s="226">
        <f t="shared" ca="1" si="267"/>
        <v>0</v>
      </c>
      <c r="BE48" s="176">
        <f t="shared" ca="1" si="19"/>
        <v>0</v>
      </c>
      <c r="BF48" s="226">
        <f>IFERROR(VLOOKUP($B48 &amp; $C48&amp;BF$4,tblForecast,BF$2,FALSE),0)</f>
        <v>0</v>
      </c>
      <c r="BG48" s="226">
        <f ca="1">SUMIFS(OFFSET(tblForecast,,BG$2,,1),OFFSET(tblForecast,,,,1),$B48-IF(CompareVer="LY",1,0)&amp; $C48 &amp;BG$4)</f>
        <v>0</v>
      </c>
      <c r="BH48" s="178">
        <f t="shared" si="268"/>
        <v>0</v>
      </c>
      <c r="BI48" s="186">
        <f t="shared" ca="1" si="269"/>
        <v>0</v>
      </c>
      <c r="BJ48" s="183">
        <f t="shared" si="270"/>
        <v>0</v>
      </c>
      <c r="BK48" s="96">
        <f t="shared" ca="1" si="271"/>
        <v>0</v>
      </c>
      <c r="BL48" s="225">
        <f>IFERROR(VLOOKUP($B48 &amp; $C48&amp;BL$4,tblForecast,BL$2,FALSE),0)</f>
        <v>0</v>
      </c>
      <c r="BM48" s="226">
        <f ca="1">SUMIFS(OFFSET(tblForecast,,BM$2,,1),OFFSET(tblForecast,,,,1),$B48-IF(CompareVer="LY",1,0)&amp; $C48 &amp;BM$4)</f>
        <v>0</v>
      </c>
      <c r="BN48" s="225">
        <f>IFERROR(VLOOKUP($B48 &amp; $C48&amp;BN$4,tblForecast,BN$2,FALSE),0)</f>
        <v>0</v>
      </c>
      <c r="BO48" s="226">
        <f ca="1">SUMIFS(OFFSET(tblForecast,,BO$2,,1),OFFSET(tblForecast,,,,1),$B48-IF(CompareVer="LY",1,0)&amp; $C48 &amp;BO$4)</f>
        <v>0</v>
      </c>
      <c r="BP48" s="225">
        <f>IFERROR(VLOOKUP($B48 &amp; $C48&amp;BP$4,tblForecast,BP$2,FALSE),0)</f>
        <v>0</v>
      </c>
      <c r="BQ48" s="226">
        <f ca="1">SUMIFS(OFFSET(tblForecast,,BQ$2,,1),OFFSET(tblForecast,,,,1),$B48-IF(CompareVer="LY",1,0)&amp; $C48 &amp;BQ$4)</f>
        <v>0</v>
      </c>
      <c r="BR48" s="225">
        <f t="shared" si="43"/>
        <v>0</v>
      </c>
      <c r="BS48" s="226">
        <f t="shared" ca="1" si="22"/>
        <v>0</v>
      </c>
      <c r="BT48" s="225">
        <f t="shared" si="272"/>
        <v>0</v>
      </c>
      <c r="BU48" s="226">
        <f t="shared" si="272"/>
        <v>0</v>
      </c>
      <c r="BV48" s="226">
        <f>IFERROR(VLOOKUP($B48 &amp; $C48&amp;BV$4,tblForecast,BV$2,FALSE),0)</f>
        <v>0</v>
      </c>
      <c r="BW48" s="226">
        <f t="shared" si="273"/>
        <v>0</v>
      </c>
      <c r="BX48" s="226">
        <f t="shared" si="273"/>
        <v>0</v>
      </c>
      <c r="BY48" s="175">
        <f ca="1">SUMIFS(OFFSET(tblForecast,,BY$2,,1),OFFSET(tblForecast,,,,1),$B48-IF(CompareVer="LY",1,0)&amp; $C48 &amp;BY$4)</f>
        <v>0</v>
      </c>
      <c r="BZ48" s="176">
        <f t="shared" ca="1" si="25"/>
        <v>0</v>
      </c>
      <c r="CA48" s="90">
        <f t="shared" si="274"/>
        <v>0</v>
      </c>
      <c r="CB48" s="90">
        <f t="shared" si="274"/>
        <v>0</v>
      </c>
      <c r="CC48" s="90">
        <f>IFERROR(VLOOKUP($B48 &amp; $C48&amp;CC$4,tblForecast,CC$2,FALSE),0)</f>
        <v>0</v>
      </c>
      <c r="CD48" s="90">
        <f t="shared" si="275"/>
        <v>0</v>
      </c>
      <c r="CE48" s="90">
        <f t="shared" si="275"/>
        <v>0</v>
      </c>
      <c r="CF48" s="90">
        <f ca="1">SUMIFS(OFFSET(tblForecast,,CF$2,,1),OFFSET(tblForecast,,,,1),$B48-IF(CompareVer="LY",1,0)&amp; $C48 &amp;CF$4)</f>
        <v>0</v>
      </c>
      <c r="CG48" s="176">
        <f t="shared" ca="1" si="28"/>
        <v>0</v>
      </c>
      <c r="CH48" s="90">
        <f t="shared" si="276"/>
        <v>0</v>
      </c>
      <c r="CI48" s="90">
        <f t="shared" si="276"/>
        <v>0</v>
      </c>
      <c r="CJ48" s="90">
        <f>IFERROR(VLOOKUP($B48 &amp; $C48&amp;CJ$4,tblForecast,CJ$2,FALSE),0)</f>
        <v>0</v>
      </c>
      <c r="CK48" s="90">
        <f t="shared" si="277"/>
        <v>0</v>
      </c>
      <c r="CL48" s="90">
        <f t="shared" si="277"/>
        <v>0</v>
      </c>
      <c r="CM48" s="90">
        <f ca="1">SUMIFS(OFFSET(tblForecast,,CM$2,,1),OFFSET(tblForecast,,,,1),$B48-IF(CompareVer="LY",1,0)&amp; $C48 &amp;CM$4)</f>
        <v>0</v>
      </c>
      <c r="CN48" s="176">
        <f t="shared" ca="1" si="31"/>
        <v>0</v>
      </c>
      <c r="CO48" s="177">
        <f t="shared" si="46"/>
        <v>0</v>
      </c>
      <c r="CP48" s="221">
        <f t="shared" ca="1" si="46"/>
        <v>0</v>
      </c>
      <c r="CQ48" s="176">
        <f t="shared" ca="1" si="33"/>
        <v>0</v>
      </c>
      <c r="CR48" s="177">
        <f t="shared" si="44"/>
        <v>0</v>
      </c>
      <c r="CS48" s="221">
        <f t="shared" ca="1" si="34"/>
        <v>0</v>
      </c>
      <c r="CT48" s="176">
        <f t="shared" ca="1" si="47"/>
        <v>0</v>
      </c>
      <c r="CU48" s="44">
        <f>IFERROR(VLOOKUP($B48 &amp; $C48&amp;CU$4,tblForecast,CU$2,FALSE),0)</f>
        <v>0</v>
      </c>
      <c r="CV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ca="1" si="36"/>
        <v>0</v>
      </c>
      <c r="CZ48" s="276">
        <f>IFERROR(VLOOKUP(Brand&amp;Channel&amp;Country&amp;$C48,tblDiscount,6,FALSE),0)</f>
        <v>0</v>
      </c>
      <c r="DA48" s="277">
        <f t="shared" si="278"/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279</v>
      </c>
      <c r="D49" s="252">
        <f t="shared" ref="D49" si="281">SUM(D45:D48)</f>
        <v>0</v>
      </c>
      <c r="E49" s="253">
        <f t="shared" ref="E49" si="282">SUM(E45:E48)</f>
        <v>0</v>
      </c>
      <c r="F49" s="254">
        <f t="shared" si="45"/>
        <v>0</v>
      </c>
      <c r="G49" s="255">
        <f>SUM(G45:G48)</f>
        <v>0</v>
      </c>
      <c r="H49" s="256">
        <f>IFERROR(D49/G49,0)</f>
        <v>0</v>
      </c>
      <c r="I49" s="256">
        <f>IFERROR(SUMPRODUCT(I45:I48,G45:G48)/G49,0)</f>
        <v>0</v>
      </c>
      <c r="J49" s="255">
        <f>SUM(J45:J48)</f>
        <v>0</v>
      </c>
      <c r="K49" s="297">
        <f>SUM(K45:K48)</f>
        <v>0</v>
      </c>
      <c r="L49" s="257">
        <f>SUM(L45:L48)</f>
        <v>0</v>
      </c>
      <c r="M49" s="257">
        <f t="shared" ref="M49:O49" si="283">SUM(M45:M48)</f>
        <v>0</v>
      </c>
      <c r="N49" s="257">
        <f t="shared" si="283"/>
        <v>0</v>
      </c>
      <c r="O49" s="257">
        <f t="shared" ca="1" si="283"/>
        <v>0</v>
      </c>
      <c r="P49" s="258">
        <f t="shared" ca="1" si="39"/>
        <v>0</v>
      </c>
      <c r="Q49" s="260">
        <f t="shared" ref="Q49:S49" si="284">SUM(Q45:Q48)</f>
        <v>0</v>
      </c>
      <c r="R49" s="260">
        <f t="shared" si="284"/>
        <v>0</v>
      </c>
      <c r="S49" s="260">
        <f t="shared" si="284"/>
        <v>0</v>
      </c>
      <c r="T49" s="260">
        <f ca="1">SUM(T45:T48)</f>
        <v>0</v>
      </c>
      <c r="U49" s="258">
        <f t="shared" ca="1" si="7"/>
        <v>0</v>
      </c>
      <c r="V49" s="261">
        <f>V48</f>
        <v>0</v>
      </c>
      <c r="W49" s="325">
        <f>W48</f>
        <v>0</v>
      </c>
      <c r="X49" s="262">
        <f ca="1">X48</f>
        <v>0</v>
      </c>
      <c r="Y49" s="252">
        <f>SUM(Y45:Y48)</f>
        <v>0</v>
      </c>
      <c r="Z49" s="257">
        <f t="shared" ref="Z49:AB49" si="285">SUM(Z45:Z48)</f>
        <v>0</v>
      </c>
      <c r="AA49" s="257">
        <f t="shared" si="285"/>
        <v>0</v>
      </c>
      <c r="AB49" s="257">
        <f t="shared" ca="1" si="285"/>
        <v>0</v>
      </c>
      <c r="AC49" s="258">
        <f t="shared" ca="1" si="9"/>
        <v>0</v>
      </c>
      <c r="AD49" s="263">
        <f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</v>
      </c>
      <c r="AH49" s="265">
        <f>IFERROR(SUMPRODUCT(AH45:AH48,Q45:Q48)/Q49,0)</f>
        <v>0</v>
      </c>
      <c r="AI49" s="266">
        <f>IFERROR(SUMPRODUCT(AI45:AI48,R45:R48)/R49,0)</f>
        <v>0</v>
      </c>
      <c r="AJ49" s="266">
        <f t="shared" ref="AJ49:AK49" si="286">IFERROR(SUMPRODUCT(AJ45:AJ48,S45:S48)/S49,0)</f>
        <v>0</v>
      </c>
      <c r="AK49" s="266">
        <f t="shared" ca="1" si="286"/>
        <v>0</v>
      </c>
      <c r="AL49" s="258">
        <f t="shared" ca="1" si="262"/>
        <v>0</v>
      </c>
      <c r="AM49" s="265">
        <f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0</v>
      </c>
      <c r="AQ49" s="258">
        <f t="shared" ca="1" si="14"/>
        <v>0</v>
      </c>
      <c r="AR49" s="265">
        <f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0</v>
      </c>
      <c r="AV49" s="258">
        <f t="shared" ca="1" si="16"/>
        <v>0</v>
      </c>
      <c r="AW49" s="267">
        <f>IFERROR(SUMPRODUCT(AW45:AW48,V45:V48)/V49,0)</f>
        <v>0</v>
      </c>
      <c r="AX49" s="268">
        <f t="shared" ref="AX49:AZ49" ca="1" si="287">IFERROR(SUMPRODUCT(AX45:AX48,X45:X48)/X49,0)</f>
        <v>0</v>
      </c>
      <c r="AY49" s="268">
        <f t="shared" si="287"/>
        <v>0</v>
      </c>
      <c r="AZ49" s="268">
        <f t="shared" ca="1" si="287"/>
        <v>0</v>
      </c>
      <c r="BA49" s="259">
        <f>BA48</f>
        <v>0</v>
      </c>
      <c r="BB49" s="260">
        <f t="shared" ref="BB49:BD49" si="288">BB48</f>
        <v>0</v>
      </c>
      <c r="BC49" s="260">
        <f t="shared" si="288"/>
        <v>0</v>
      </c>
      <c r="BD49" s="260">
        <f t="shared" ca="1" si="288"/>
        <v>0</v>
      </c>
      <c r="BE49" s="258">
        <f t="shared" ca="1" si="19"/>
        <v>0</v>
      </c>
      <c r="BF49" s="260">
        <f>BF48</f>
        <v>0</v>
      </c>
      <c r="BG49" s="260">
        <f ca="1">BG48</f>
        <v>0</v>
      </c>
      <c r="BH49" s="269">
        <f>IF(Q49&lt;&gt;0,(BA49*COUNTIF(BH45:BH48,"&lt;&gt;0")/Q49),0)</f>
        <v>0</v>
      </c>
      <c r="BI49" s="270">
        <f ca="1">IF(T49&lt;&gt;0,(BD49*COUNTIF(BI45:BI48,"&lt;&gt;0")/T49),0)</f>
        <v>0</v>
      </c>
      <c r="BJ49" s="271">
        <f t="shared" ref="BJ49" si="289">IF(BA49&lt;&gt;0,(Q49/COUNTIF(BJ45:BJ48,"&lt;&gt;0"))/BA49,0)</f>
        <v>0</v>
      </c>
      <c r="BK49" s="272">
        <f t="shared" ref="BK49" ca="1" si="290">IF(BD49&lt;&gt;0,(T49/COUNTIF(BK45:BK48,"&lt;&gt;0"))/BD49,0)</f>
        <v>0</v>
      </c>
      <c r="BL49" s="259">
        <f>SUM(BL45:BL48)</f>
        <v>0</v>
      </c>
      <c r="BM49" s="260">
        <f ca="1">SUM(BM45:BM48)</f>
        <v>0</v>
      </c>
      <c r="BN49" s="259">
        <f>SUM(BN45:BN48)</f>
        <v>0</v>
      </c>
      <c r="BO49" s="260">
        <f t="shared" ref="BO49:BQ49" ca="1" si="291">SUM(BO45:BO48)</f>
        <v>0</v>
      </c>
      <c r="BP49" s="259">
        <f>SUM(BP45:BP48)</f>
        <v>0</v>
      </c>
      <c r="BQ49" s="260">
        <f t="shared" ca="1" si="291"/>
        <v>0</v>
      </c>
      <c r="BR49" s="259">
        <f t="shared" si="43"/>
        <v>0</v>
      </c>
      <c r="BS49" s="260">
        <f t="shared" ca="1" si="22"/>
        <v>0</v>
      </c>
      <c r="BT49" s="259">
        <f>SUM(BT45:BT48)</f>
        <v>0</v>
      </c>
      <c r="BU49" s="260">
        <f>SUM(BU45:BU48)</f>
        <v>0</v>
      </c>
      <c r="BV49" s="260">
        <f>SUM(BV45:BV48)</f>
        <v>0</v>
      </c>
      <c r="BW49" s="260">
        <f t="shared" ref="BW49:BX49" si="292">SUM(BW45:BW48)</f>
        <v>0</v>
      </c>
      <c r="BX49" s="260">
        <f t="shared" si="292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293">SUM(CB45:CB48)</f>
        <v>0</v>
      </c>
      <c r="CC49" s="257">
        <f t="shared" si="293"/>
        <v>0</v>
      </c>
      <c r="CD49" s="257">
        <f t="shared" si="293"/>
        <v>0</v>
      </c>
      <c r="CE49" s="257">
        <f t="shared" si="293"/>
        <v>0</v>
      </c>
      <c r="CF49" s="257">
        <f t="shared" ca="1" si="293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294">SUM(CI45:CI48)</f>
        <v>0</v>
      </c>
      <c r="CJ49" s="257">
        <f t="shared" si="294"/>
        <v>0</v>
      </c>
      <c r="CK49" s="257">
        <f t="shared" si="294"/>
        <v>0</v>
      </c>
      <c r="CL49" s="257">
        <f t="shared" si="294"/>
        <v>0</v>
      </c>
      <c r="CM49" s="257">
        <f t="shared" ca="1" si="294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>
        <f t="shared" ref="CU49" si="295">SUM(CU45:CU48)</f>
        <v>0</v>
      </c>
      <c r="CW49" s="100">
        <f>CW48</f>
        <v>0</v>
      </c>
      <c r="CX49" s="101">
        <f ca="1">CX48</f>
        <v>0</v>
      </c>
      <c r="CY49" s="99">
        <f t="shared" ca="1" si="36"/>
        <v>0</v>
      </c>
      <c r="CZ49" s="276"/>
      <c r="DA49" s="277"/>
      <c r="DB49" s="277"/>
      <c r="DC49" s="278"/>
    </row>
    <row r="50" spans="1:107" x14ac:dyDescent="0.25">
      <c r="A50" s="44" t="s">
        <v>301</v>
      </c>
      <c r="B50" s="44">
        <v>2018</v>
      </c>
      <c r="C50" s="88">
        <v>31</v>
      </c>
      <c r="D50" s="97">
        <f t="shared" ref="D50:D54" si="296">G50*H50</f>
        <v>0</v>
      </c>
      <c r="E50" s="201">
        <f t="shared" ref="E50:E54" si="297">IFERROR(D50*F50,0)</f>
        <v>0</v>
      </c>
      <c r="F50" s="181">
        <f t="shared" si="45"/>
        <v>0</v>
      </c>
      <c r="G50" s="175">
        <f t="shared" si="256"/>
        <v>0</v>
      </c>
      <c r="H50" s="202">
        <f t="shared" si="256"/>
        <v>0</v>
      </c>
      <c r="I50" s="202">
        <f t="shared" si="256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$C50&amp;K$4&amp;$A50,tblForecast,K$2+2,FALSE),0)</f>
        <v>0</v>
      </c>
      <c r="L50" s="90">
        <f t="shared" ref="L50:O54" si="298">Q50*AM50</f>
        <v>0</v>
      </c>
      <c r="M50" s="90">
        <f t="shared" si="298"/>
        <v>0</v>
      </c>
      <c r="N50" s="90">
        <f t="shared" si="298"/>
        <v>0</v>
      </c>
      <c r="O50" s="90">
        <f t="shared" ca="1" si="298"/>
        <v>0</v>
      </c>
      <c r="P50" s="91">
        <f t="shared" ca="1" si="39"/>
        <v>0</v>
      </c>
      <c r="Q50" s="236">
        <f>IFERROR(VLOOKUP($B50 &amp; $C50&amp;Q$4,tblForecast,Q$2,FALSE),0)</f>
        <v>0</v>
      </c>
      <c r="R50" s="238">
        <f>IF(IFERROR(VLOOKUP($B50 &amp; $C50&amp;R$4,tblForecast,R$2,FALSE),0)=0,Q50,IFERROR(VLOOKUP($B50 &amp; $C50&amp;R$4,tblForecast,R$2,FALSE),0))</f>
        <v>0</v>
      </c>
      <c r="S50" s="238">
        <f t="shared" si="258"/>
        <v>0</v>
      </c>
      <c r="T50" s="238">
        <f ca="1">SUMIFS(OFFSET(tblForecast,,T$2,,1),OFFSET(tblForecast,,,,1),$B50-IF(CompareVer="LY",1,0)&amp; $C50 &amp;T$4)</f>
        <v>0</v>
      </c>
      <c r="U50" s="91">
        <f t="shared" ca="1" si="7"/>
        <v>0</v>
      </c>
      <c r="V50" s="247">
        <f t="shared" ref="V50:W54" si="299">IFERROR(IF(Q49&lt;&gt;0,Q50/Q49,0),0)</f>
        <v>0</v>
      </c>
      <c r="W50" s="327">
        <f t="shared" si="299"/>
        <v>0</v>
      </c>
      <c r="X50" s="248">
        <f t="shared" ref="X50:X54" ca="1" si="300">IFERROR(IF(T49&lt;&gt;0,T50/T49,0),0)</f>
        <v>0</v>
      </c>
      <c r="Y50" s="97">
        <f t="shared" ref="Y50:AB54" si="301">IFERROR(L50*AD50,0)</f>
        <v>0</v>
      </c>
      <c r="Z50" s="90">
        <f t="shared" si="301"/>
        <v>0</v>
      </c>
      <c r="AA50" s="90">
        <f t="shared" si="301"/>
        <v>0</v>
      </c>
      <c r="AB50" s="90">
        <f t="shared" ca="1" si="301"/>
        <v>0</v>
      </c>
      <c r="AC50" s="91">
        <f t="shared" ca="1" si="9"/>
        <v>0</v>
      </c>
      <c r="AD50" s="75">
        <f t="shared" ref="AD50:AG54" si="302">IF(AM50&lt;&gt;0,1-AR50/AM50,0)</f>
        <v>0</v>
      </c>
      <c r="AE50" s="93">
        <f t="shared" si="302"/>
        <v>0</v>
      </c>
      <c r="AF50" s="93">
        <f t="shared" si="302"/>
        <v>0</v>
      </c>
      <c r="AG50" s="93">
        <f t="shared" ca="1" si="302"/>
        <v>0</v>
      </c>
      <c r="AH50" s="104">
        <f>IFERROR(VLOOKUP($B50 &amp; $C50&amp;AH$4,tblForecast,AH$2,FALSE),0)</f>
        <v>0</v>
      </c>
      <c r="AI50" s="94">
        <f t="shared" si="261"/>
        <v>0</v>
      </c>
      <c r="AJ50" s="94">
        <f t="shared" si="261"/>
        <v>0</v>
      </c>
      <c r="AK50" s="94">
        <f ca="1">IFERROR(CF50/BY50,0)</f>
        <v>0</v>
      </c>
      <c r="AL50" s="91">
        <f t="shared" ca="1" si="262"/>
        <v>0</v>
      </c>
      <c r="AM50" s="104">
        <f>IFERROR(VLOOKUP($B50 &amp; $C50&amp;AM$4,tblForecast,AM$2,FALSE),0)</f>
        <v>0</v>
      </c>
      <c r="AN50" s="94">
        <f t="shared" si="263"/>
        <v>0</v>
      </c>
      <c r="AO50" s="94">
        <f t="shared" si="263"/>
        <v>0</v>
      </c>
      <c r="AP50" s="94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91">
        <f t="shared" ca="1" si="14"/>
        <v>0</v>
      </c>
      <c r="AR50" s="104">
        <f>IFERROR(VLOOKUP($B50 &amp; $C50&amp;AR$4,tblForecast,AR$2,FALSE),0)</f>
        <v>0</v>
      </c>
      <c r="AS50" s="94">
        <f t="shared" si="264"/>
        <v>0</v>
      </c>
      <c r="AT50" s="94">
        <f t="shared" si="264"/>
        <v>0</v>
      </c>
      <c r="AU50" s="94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91">
        <f t="shared" ca="1" si="16"/>
        <v>0</v>
      </c>
      <c r="AW50" s="180">
        <f t="shared" ref="AW50:AZ54" si="303">IFERROR((AM50/AH50-1)*-1,0)</f>
        <v>0</v>
      </c>
      <c r="AX50" s="181">
        <f t="shared" si="303"/>
        <v>0</v>
      </c>
      <c r="AY50" s="181">
        <f t="shared" si="303"/>
        <v>0</v>
      </c>
      <c r="AZ50" s="181">
        <f t="shared" ca="1" si="303"/>
        <v>0</v>
      </c>
      <c r="BA50" s="225">
        <f t="shared" ref="BA50" si="304">CW50+BF50</f>
        <v>0</v>
      </c>
      <c r="BB50" s="226">
        <f>IF(IFERROR(VLOOKUP($B50 &amp; $C50&amp;BB$4,tblForecast,BB$2,FALSE),0)=0,BA50,IFERROR(VLOOKUP($B50 &amp; $C50&amp;BB$4,tblForecast,BB$2,FALSE),0))</f>
        <v>0</v>
      </c>
      <c r="BC50" s="226">
        <f t="shared" si="266"/>
        <v>0</v>
      </c>
      <c r="BD50" s="226">
        <f t="shared" ref="BD50:BD54" ca="1" si="305">CX50+BG50</f>
        <v>0</v>
      </c>
      <c r="BE50" s="176">
        <f t="shared" ca="1" si="19"/>
        <v>0</v>
      </c>
      <c r="BF50" s="226">
        <f>IFERROR(VLOOKUP($B50 &amp; $C50&amp;BF$4,tblForecast,BF$2,FALSE),0)</f>
        <v>0</v>
      </c>
      <c r="BG50" s="226">
        <f ca="1">SUMIFS(OFFSET(tblForecast,,BG$2,,1),OFFSET(tblForecast,,,,1),$B50-IF(CompareVer="LY",1,0)&amp; $C50 &amp;BG$4)</f>
        <v>0</v>
      </c>
      <c r="BH50" s="178">
        <f t="shared" ref="BH50" si="306">IF(Q50&lt;&gt;0,BA50/Q50,0)</f>
        <v>0</v>
      </c>
      <c r="BI50" s="186">
        <f t="shared" ref="BI50" ca="1" si="307">IF(T50&lt;&gt;0,BD50/T50,0)</f>
        <v>0</v>
      </c>
      <c r="BJ50" s="183">
        <f t="shared" ref="BJ50:BJ54" si="308">IF(BA50&lt;&gt;0,Q50/BA50,0)</f>
        <v>0</v>
      </c>
      <c r="BK50" s="96">
        <f t="shared" ref="BK50:BK54" ca="1" si="309">IF(BD50&lt;&gt;0,T50/BD50,0)</f>
        <v>0</v>
      </c>
      <c r="BL50" s="225">
        <f>IFERROR(VLOOKUP($B50 &amp; $C50&amp;BL$4,tblForecast,BL$2,FALSE),0)</f>
        <v>0</v>
      </c>
      <c r="BM50" s="226">
        <f ca="1">SUMIFS(OFFSET(tblForecast,,BM$2,,1),OFFSET(tblForecast,,,,1),$B50-IF(CompareVer="LY",1,0)&amp; $C50 &amp;BM$4)</f>
        <v>0</v>
      </c>
      <c r="BN50" s="225">
        <f>IFERROR(VLOOKUP($B50 &amp; $C50&amp;BN$4,tblForecast,BN$2,FALSE),0)</f>
        <v>0</v>
      </c>
      <c r="BO50" s="226">
        <f ca="1">SUMIFS(OFFSET(tblForecast,,BO$2,,1),OFFSET(tblForecast,,,,1),$B50-IF(CompareVer="LY",1,0)&amp; $C50 &amp;BO$4)</f>
        <v>0</v>
      </c>
      <c r="BP50" s="225">
        <f>IFERROR(VLOOKUP($B50 &amp; $C50&amp;BP$4,tblForecast,BP$2,FALSE),0)</f>
        <v>0</v>
      </c>
      <c r="BQ50" s="226">
        <f ca="1">SUMIFS(OFFSET(tblForecast,,BQ$2,,1),OFFSET(tblForecast,,,,1),$B50-IF(CompareVer="LY",1,0)&amp; $C50 &amp;BQ$4)</f>
        <v>0</v>
      </c>
      <c r="BR50" s="225">
        <f t="shared" si="43"/>
        <v>0</v>
      </c>
      <c r="BS50" s="226">
        <f t="shared" ca="1" si="22"/>
        <v>0</v>
      </c>
      <c r="BT50" s="225">
        <f t="shared" si="272"/>
        <v>0</v>
      </c>
      <c r="BU50" s="226">
        <f t="shared" si="272"/>
        <v>0</v>
      </c>
      <c r="BV50" s="226">
        <f>IFERROR(VLOOKUP($B50 &amp; $C50&amp;BV$4,tblForecast,BV$2,FALSE),0)</f>
        <v>0</v>
      </c>
      <c r="BW50" s="226">
        <f t="shared" si="273"/>
        <v>0</v>
      </c>
      <c r="BX50" s="226">
        <f t="shared" si="273"/>
        <v>0</v>
      </c>
      <c r="BY50" s="175">
        <f ca="1">SUMIFS(OFFSET(tblForecast,,BY$2,,1),OFFSET(tblForecast,,,,1),$B50-IF(CompareVer="LY",1,0)&amp; $C50 &amp;BY$4)</f>
        <v>0</v>
      </c>
      <c r="BZ50" s="176">
        <f t="shared" ca="1" si="25"/>
        <v>0</v>
      </c>
      <c r="CA50" s="90">
        <f t="shared" si="274"/>
        <v>0</v>
      </c>
      <c r="CB50" s="90">
        <f t="shared" si="274"/>
        <v>0</v>
      </c>
      <c r="CC50" s="90">
        <f>IFERROR(VLOOKUP($B50 &amp; $C50&amp;CC$4,tblForecast,CC$2,FALSE),0)</f>
        <v>0</v>
      </c>
      <c r="CD50" s="90">
        <f t="shared" si="275"/>
        <v>0</v>
      </c>
      <c r="CE50" s="90">
        <f t="shared" si="275"/>
        <v>0</v>
      </c>
      <c r="CF50" s="90">
        <f ca="1">SUMIFS(OFFSET(tblForecast,,CF$2,,1),OFFSET(tblForecast,,,,1),$B50-IF(CompareVer="LY",1,0)&amp; $C50 &amp;CF$4)</f>
        <v>0</v>
      </c>
      <c r="CG50" s="176">
        <f t="shared" ca="1" si="28"/>
        <v>0</v>
      </c>
      <c r="CH50" s="90">
        <f t="shared" si="276"/>
        <v>0</v>
      </c>
      <c r="CI50" s="90">
        <f t="shared" si="276"/>
        <v>0</v>
      </c>
      <c r="CJ50" s="90">
        <f>IFERROR(VLOOKUP($B50 &amp; $C50&amp;CJ$4,tblForecast,CJ$2,FALSE),0)</f>
        <v>0</v>
      </c>
      <c r="CK50" s="90">
        <f t="shared" si="277"/>
        <v>0</v>
      </c>
      <c r="CL50" s="90">
        <f t="shared" si="277"/>
        <v>0</v>
      </c>
      <c r="CM50" s="90">
        <f ca="1">SUMIFS(OFFSET(tblForecast,,CM$2,,1),OFFSET(tblForecast,,,,1),$B50-IF(CompareVer="LY",1,0)&amp; $C50 &amp;CM$4)</f>
        <v>0</v>
      </c>
      <c r="CN50" s="176">
        <f t="shared" ca="1" si="31"/>
        <v>0</v>
      </c>
      <c r="CO50" s="177">
        <f t="shared" si="46"/>
        <v>0</v>
      </c>
      <c r="CP50" s="221">
        <f t="shared" ca="1" si="46"/>
        <v>0</v>
      </c>
      <c r="CQ50" s="176">
        <f t="shared" ca="1" si="33"/>
        <v>0</v>
      </c>
      <c r="CR50" s="177">
        <f t="shared" si="44"/>
        <v>0</v>
      </c>
      <c r="CS50" s="221">
        <f t="shared" ca="1" si="34"/>
        <v>0</v>
      </c>
      <c r="CT50" s="176">
        <f t="shared" ca="1" si="47"/>
        <v>0</v>
      </c>
      <c r="CU50" s="44">
        <f t="shared" ref="CU50:CU113" si="310">IFERROR(VLOOKUP($B50 &amp; $C50&amp;CU$4,tblForecast,CU$2,FALSE),0)</f>
        <v>0</v>
      </c>
      <c r="CV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6">
        <f>IFERROR(VLOOKUP(Brand&amp;Channel&amp;Country&amp;$C50,tblDiscount,6,FALSE),0)</f>
        <v>0</v>
      </c>
      <c r="DA50" s="277">
        <f t="shared" ref="DA50" si="311"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478</v>
      </c>
      <c r="B51" s="44">
        <v>2018</v>
      </c>
      <c r="C51" s="88">
        <v>32</v>
      </c>
      <c r="D51" s="51">
        <f t="shared" si="296"/>
        <v>0</v>
      </c>
      <c r="E51" s="201">
        <f t="shared" si="297"/>
        <v>0</v>
      </c>
      <c r="F51" s="181">
        <f t="shared" si="45"/>
        <v>0</v>
      </c>
      <c r="G51" s="175">
        <f t="shared" si="256"/>
        <v>0</v>
      </c>
      <c r="H51" s="202">
        <f t="shared" si="256"/>
        <v>0</v>
      </c>
      <c r="I51" s="202">
        <f t="shared" si="256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ca="1" si="298"/>
        <v>0</v>
      </c>
      <c r="M51" s="90">
        <f t="shared" si="298"/>
        <v>0</v>
      </c>
      <c r="N51" s="46">
        <f t="shared" si="298"/>
        <v>0</v>
      </c>
      <c r="O51" s="46">
        <f t="shared" ca="1" si="298"/>
        <v>0</v>
      </c>
      <c r="P51" s="47">
        <f t="shared" ca="1" si="39"/>
        <v>0</v>
      </c>
      <c r="Q51" s="240">
        <f ca="1">IF(NewPlan,T51,Q50*W51)</f>
        <v>0</v>
      </c>
      <c r="R51" s="238">
        <f>IFERROR(VLOOKUP($B51 &amp; $C51&amp;R$4,tblForecast,R$2,FALSE),0)</f>
        <v>0</v>
      </c>
      <c r="S51" s="238">
        <f t="shared" si="258"/>
        <v>0</v>
      </c>
      <c r="T51" s="238">
        <f ca="1">SUMIFS(OFFSET(tblForecast,,T$2,,1),OFFSET(tblForecast,,,,1),$B51-IF(CompareVer="LY",1,0)&amp; $C51 &amp;T$4)</f>
        <v>0</v>
      </c>
      <c r="U51" s="91">
        <f t="shared" ca="1" si="7"/>
        <v>0</v>
      </c>
      <c r="V51" s="247">
        <f t="shared" si="299"/>
        <v>0</v>
      </c>
      <c r="W51" s="327">
        <f ca="1">IFERROR(IF(R50&lt;&gt;0,R51/R50,X51),0)</f>
        <v>0</v>
      </c>
      <c r="X51" s="248">
        <f t="shared" ca="1" si="300"/>
        <v>0</v>
      </c>
      <c r="Y51" s="51">
        <f t="shared" ca="1" si="301"/>
        <v>0</v>
      </c>
      <c r="Z51" s="46">
        <f t="shared" si="301"/>
        <v>0</v>
      </c>
      <c r="AA51" s="46">
        <f t="shared" si="301"/>
        <v>0</v>
      </c>
      <c r="AB51" s="46">
        <f t="shared" ca="1" si="301"/>
        <v>0</v>
      </c>
      <c r="AC51" s="91">
        <f t="shared" ca="1" si="9"/>
        <v>0</v>
      </c>
      <c r="AD51" s="75">
        <f>IF(AM51&lt;&gt;0,1-AR51/AM51,0)</f>
        <v>0</v>
      </c>
      <c r="AE51" s="93">
        <f t="shared" si="302"/>
        <v>0</v>
      </c>
      <c r="AF51" s="93">
        <f t="shared" si="302"/>
        <v>0</v>
      </c>
      <c r="AG51" s="76">
        <f t="shared" ca="1" si="302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si="261"/>
        <v>0</v>
      </c>
      <c r="AJ51" s="94">
        <f t="shared" si="261"/>
        <v>0</v>
      </c>
      <c r="AK51" s="49">
        <f ca="1">IFERROR(CF51/BY51,0)</f>
        <v>0</v>
      </c>
      <c r="AL51" s="47">
        <f t="shared" ca="1" si="262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si="263"/>
        <v>0</v>
      </c>
      <c r="AO51" s="94">
        <f t="shared" si="263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si="264"/>
        <v>0</v>
      </c>
      <c r="AT51" s="94">
        <f t="shared" si="264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0">
        <f t="shared" si="303"/>
        <v>0</v>
      </c>
      <c r="AX51" s="191">
        <f t="shared" si="303"/>
        <v>0</v>
      </c>
      <c r="AY51" s="191">
        <f t="shared" si="303"/>
        <v>0</v>
      </c>
      <c r="AZ51" s="191">
        <f t="shared" ca="1" si="303"/>
        <v>0</v>
      </c>
      <c r="BA51" s="233">
        <f ca="1">IF(BA50+BV51+BL51+BR51-Q51&lt;0,0,BA50+BV51+BL51+BR51-Q51)</f>
        <v>0</v>
      </c>
      <c r="BB51" s="229">
        <f ca="1">IF(IFERROR(VLOOKUP($B51 &amp; $C51&amp;BB$4,tblForecast,BB$2,FALSE),0)=0,BA51,IFERROR(VLOOKUP($B51 &amp; $C51&amp;BB$4,tblForecast,BB$2,FALSE),0))</f>
        <v>0</v>
      </c>
      <c r="BC51" s="229">
        <f ca="1">SUMIFS(OFFSET(tblForecast,,BC$2,,1),OFFSET(tblForecast,,,,1),$B51-IF(CompareVer="LY",1,0)&amp; $C51 &amp;BC$4)</f>
        <v>0</v>
      </c>
      <c r="BD51" s="229">
        <f t="shared" ca="1" si="305"/>
        <v>0</v>
      </c>
      <c r="BE51" s="193">
        <f t="shared" ca="1" si="19"/>
        <v>0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0</v>
      </c>
      <c r="BH51" s="178">
        <f ca="1">IF(Q51&lt;&gt;0,BA51/Q51,0)</f>
        <v>0</v>
      </c>
      <c r="BI51" s="182">
        <f ca="1">IF(T51&lt;&gt;0,BD51/T51,0)</f>
        <v>0</v>
      </c>
      <c r="BJ51" s="194">
        <f t="shared" ca="1" si="308"/>
        <v>0</v>
      </c>
      <c r="BK51" s="50">
        <f t="shared" ca="1" si="309"/>
        <v>0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0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0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0</v>
      </c>
      <c r="BR51" s="225">
        <f t="shared" si="43"/>
        <v>0</v>
      </c>
      <c r="BS51" s="229">
        <f t="shared" ca="1" si="22"/>
        <v>0</v>
      </c>
      <c r="BT51" s="232">
        <f t="shared" si="272"/>
        <v>0</v>
      </c>
      <c r="BU51" s="229">
        <f t="shared" si="272"/>
        <v>0</v>
      </c>
      <c r="BV51" s="229">
        <f>IF($A51="a",IFERROR(VLOOKUP($B51 &amp; $C51&amp;BV$4,tblForecast,BV$2,FALSE),0),BT51+BU51)</f>
        <v>0</v>
      </c>
      <c r="BW51" s="229">
        <f t="shared" si="273"/>
        <v>0</v>
      </c>
      <c r="BX51" s="229">
        <f t="shared" si="273"/>
        <v>0</v>
      </c>
      <c r="BY51" s="192">
        <f ca="1">SUMIFS(OFFSET(tblForecast,,BY$2,,1),OFFSET(tblForecast,,,,1),$B51-IF(CompareVer="LY",1,0)&amp; $C51 &amp;BY$4)</f>
        <v>0</v>
      </c>
      <c r="BZ51" s="193">
        <f t="shared" ca="1" si="25"/>
        <v>0</v>
      </c>
      <c r="CA51" s="330">
        <f t="shared" si="274"/>
        <v>0</v>
      </c>
      <c r="CB51" s="46">
        <f t="shared" si="274"/>
        <v>0</v>
      </c>
      <c r="CC51" s="46">
        <f>IF($A51="a",IFERROR(VLOOKUP($B51 &amp; $C51&amp;CC$4,tblForecast,CC$2,FALSE),0),CA51+CB51)</f>
        <v>0</v>
      </c>
      <c r="CD51" s="46">
        <f t="shared" si="275"/>
        <v>0</v>
      </c>
      <c r="CE51" s="46">
        <f t="shared" si="275"/>
        <v>0</v>
      </c>
      <c r="CF51" s="46">
        <f ca="1">SUMIFS(OFFSET(tblForecast,,CF$2,,1),OFFSET(tblForecast,,,,1),$B51-IF(CompareVer="LY",1,0)&amp; $C51 &amp;CF$4)</f>
        <v>0</v>
      </c>
      <c r="CG51" s="193">
        <f t="shared" ca="1" si="28"/>
        <v>0</v>
      </c>
      <c r="CH51" s="330">
        <f t="shared" si="276"/>
        <v>0</v>
      </c>
      <c r="CI51" s="46">
        <f t="shared" si="276"/>
        <v>0</v>
      </c>
      <c r="CJ51" s="46">
        <f>IF($A51="a",IFERROR(VLOOKUP($B51 &amp; $C51&amp;CJ$4,tblForecast,CJ$2,FALSE),0),CH51+CI51)</f>
        <v>0</v>
      </c>
      <c r="CK51" s="46">
        <f t="shared" si="277"/>
        <v>0</v>
      </c>
      <c r="CL51" s="46">
        <f t="shared" si="277"/>
        <v>0</v>
      </c>
      <c r="CM51" s="46">
        <f ca="1">SUMIFS(OFFSET(tblForecast,,CM$2,,1),OFFSET(tblForecast,,,,1),$B51-IF(CompareVer="LY",1,0)&amp; $C51 &amp;CM$4)</f>
        <v>0</v>
      </c>
      <c r="CN51" s="193">
        <f t="shared" ca="1" si="31"/>
        <v>0</v>
      </c>
      <c r="CO51" s="177">
        <f t="shared" si="46"/>
        <v>0</v>
      </c>
      <c r="CP51" s="221">
        <f t="shared" ca="1" si="46"/>
        <v>0</v>
      </c>
      <c r="CQ51" s="193">
        <f t="shared" ca="1" si="33"/>
        <v>0</v>
      </c>
      <c r="CR51" s="177">
        <f t="shared" si="44"/>
        <v>0</v>
      </c>
      <c r="CS51" s="221">
        <f t="shared" ca="1" si="34"/>
        <v>0</v>
      </c>
      <c r="CT51" s="193">
        <f t="shared" ca="1" si="47"/>
        <v>0</v>
      </c>
      <c r="CU51" s="398">
        <f t="shared" si="310"/>
        <v>0</v>
      </c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6">
        <f>IFERROR(VLOOKUP(Brand&amp;Channel&amp;Country&amp;$C51,tblDiscount,6,FALSE),0)</f>
        <v>0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478</v>
      </c>
      <c r="B52" s="44">
        <v>2018</v>
      </c>
      <c r="C52" s="88">
        <v>33</v>
      </c>
      <c r="D52" s="51">
        <f t="shared" si="296"/>
        <v>0</v>
      </c>
      <c r="E52" s="201">
        <f t="shared" si="297"/>
        <v>0</v>
      </c>
      <c r="F52" s="181">
        <f t="shared" si="45"/>
        <v>0</v>
      </c>
      <c r="G52" s="175">
        <f t="shared" si="256"/>
        <v>0</v>
      </c>
      <c r="H52" s="202">
        <f t="shared" si="256"/>
        <v>0</v>
      </c>
      <c r="I52" s="202">
        <f t="shared" si="256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298"/>
        <v>0</v>
      </c>
      <c r="M52" s="90">
        <f t="shared" si="298"/>
        <v>0</v>
      </c>
      <c r="N52" s="46">
        <f t="shared" si="298"/>
        <v>0</v>
      </c>
      <c r="O52" s="46">
        <f t="shared" ca="1" si="298"/>
        <v>0</v>
      </c>
      <c r="P52" s="47">
        <f t="shared" ca="1" si="39"/>
        <v>0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258"/>
        <v>0</v>
      </c>
      <c r="T52" s="238">
        <f ca="1">SUMIFS(OFFSET(tblForecast,,T$2,,1),OFFSET(tblForecast,,,,1),$B52-IF(CompareVer="LY",1,0)&amp; $C52 &amp;T$4)</f>
        <v>0</v>
      </c>
      <c r="U52" s="91">
        <f t="shared" ca="1" si="7"/>
        <v>0</v>
      </c>
      <c r="V52" s="247">
        <f t="shared" ca="1" si="299"/>
        <v>0</v>
      </c>
      <c r="W52" s="327">
        <f ca="1">IFERROR(IF(R51&lt;&gt;0,R52/R51,X52),0)</f>
        <v>0</v>
      </c>
      <c r="X52" s="248">
        <f t="shared" ca="1" si="300"/>
        <v>0</v>
      </c>
      <c r="Y52" s="51">
        <f t="shared" ca="1" si="301"/>
        <v>0</v>
      </c>
      <c r="Z52" s="46">
        <f t="shared" si="301"/>
        <v>0</v>
      </c>
      <c r="AA52" s="46">
        <f t="shared" si="301"/>
        <v>0</v>
      </c>
      <c r="AB52" s="46">
        <f t="shared" ca="1" si="301"/>
        <v>0</v>
      </c>
      <c r="AC52" s="91">
        <f t="shared" ca="1" si="9"/>
        <v>0</v>
      </c>
      <c r="AD52" s="75">
        <f>IF(AM52&lt;&gt;0,1-AR52/AM52,0)</f>
        <v>0</v>
      </c>
      <c r="AE52" s="93">
        <f t="shared" si="302"/>
        <v>0</v>
      </c>
      <c r="AF52" s="93">
        <f t="shared" si="302"/>
        <v>0</v>
      </c>
      <c r="AG52" s="76">
        <f t="shared" ca="1" si="302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261"/>
        <v>0</v>
      </c>
      <c r="AJ52" s="94">
        <f t="shared" si="261"/>
        <v>0</v>
      </c>
      <c r="AK52" s="49">
        <f ca="1">IFERROR(CF52/BY52,0)</f>
        <v>0</v>
      </c>
      <c r="AL52" s="47">
        <f t="shared" ca="1" si="262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263"/>
        <v>0</v>
      </c>
      <c r="AO52" s="94">
        <f t="shared" si="263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264"/>
        <v>0</v>
      </c>
      <c r="AT52" s="94">
        <f t="shared" si="264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0">
        <f t="shared" si="303"/>
        <v>0</v>
      </c>
      <c r="AX52" s="191">
        <f t="shared" si="303"/>
        <v>0</v>
      </c>
      <c r="AY52" s="191">
        <f t="shared" si="303"/>
        <v>0</v>
      </c>
      <c r="AZ52" s="191">
        <f t="shared" ca="1" si="303"/>
        <v>0</v>
      </c>
      <c r="BA52" s="233">
        <f ca="1">IF(BA51+BV52+BL52+BR52-Q52&lt;0,0,BA51+BV52+BL52+BR52-Q52)</f>
        <v>0</v>
      </c>
      <c r="BB52" s="229">
        <f ca="1">IF(IFERROR(VLOOKUP($B52 &amp; $C52&amp;BB$4,tblForecast,BB$2,FALSE),0)=0,BA52,IFERROR(VLOOKUP($B52 &amp; $C52&amp;BB$4,tblForecast,BB$2,FALSE),0))</f>
        <v>0</v>
      </c>
      <c r="BC52" s="229">
        <f ca="1">SUMIFS(OFFSET(tblForecast,,BC$2,,1),OFFSET(tblForecast,,,,1),$B52-IF(CompareVer="LY",1,0)&amp; $C52 &amp;BC$4)</f>
        <v>0</v>
      </c>
      <c r="BD52" s="229">
        <f t="shared" ca="1" si="305"/>
        <v>0</v>
      </c>
      <c r="BE52" s="193">
        <f t="shared" ca="1" si="19"/>
        <v>0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0</v>
      </c>
      <c r="BH52" s="178">
        <f ca="1">IF(Q52&lt;&gt;0,BA52/Q52,0)</f>
        <v>0</v>
      </c>
      <c r="BI52" s="182">
        <f ca="1">IF(T52&lt;&gt;0,BD52/T52,0)</f>
        <v>0</v>
      </c>
      <c r="BJ52" s="194">
        <f t="shared" ca="1" si="308"/>
        <v>0</v>
      </c>
      <c r="BK52" s="50">
        <f t="shared" ca="1" si="309"/>
        <v>0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0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0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0</v>
      </c>
      <c r="BR52" s="225">
        <f t="shared" si="43"/>
        <v>0</v>
      </c>
      <c r="BS52" s="229">
        <f t="shared" ca="1" si="22"/>
        <v>0</v>
      </c>
      <c r="BT52" s="232">
        <f t="shared" si="272"/>
        <v>0</v>
      </c>
      <c r="BU52" s="229">
        <f t="shared" si="272"/>
        <v>0</v>
      </c>
      <c r="BV52" s="229">
        <f>IF($A52="a",IFERROR(VLOOKUP($B52 &amp; $C52&amp;BV$4,tblForecast,BV$2,FALSE),0),BT52+BU52)</f>
        <v>0</v>
      </c>
      <c r="BW52" s="229">
        <f t="shared" si="273"/>
        <v>0</v>
      </c>
      <c r="BX52" s="229">
        <f t="shared" si="273"/>
        <v>0</v>
      </c>
      <c r="BY52" s="192">
        <f ca="1">SUMIFS(OFFSET(tblForecast,,BY$2,,1),OFFSET(tblForecast,,,,1),$B52-IF(CompareVer="LY",1,0)&amp; $C52 &amp;BY$4)</f>
        <v>0</v>
      </c>
      <c r="BZ52" s="193">
        <f t="shared" ca="1" si="25"/>
        <v>0</v>
      </c>
      <c r="CA52" s="330">
        <f t="shared" si="274"/>
        <v>0</v>
      </c>
      <c r="CB52" s="46">
        <f t="shared" si="274"/>
        <v>0</v>
      </c>
      <c r="CC52" s="46">
        <f>IF($A52="a",IFERROR(VLOOKUP($B52 &amp; $C52&amp;CC$4,tblForecast,CC$2,FALSE),0),CA52+CB52)</f>
        <v>0</v>
      </c>
      <c r="CD52" s="46">
        <f t="shared" si="275"/>
        <v>0</v>
      </c>
      <c r="CE52" s="46">
        <f t="shared" si="275"/>
        <v>0</v>
      </c>
      <c r="CF52" s="46">
        <f ca="1">SUMIFS(OFFSET(tblForecast,,CF$2,,1),OFFSET(tblForecast,,,,1),$B52-IF(CompareVer="LY",1,0)&amp; $C52 &amp;CF$4)</f>
        <v>0</v>
      </c>
      <c r="CG52" s="193">
        <f t="shared" ca="1" si="28"/>
        <v>0</v>
      </c>
      <c r="CH52" s="330">
        <f t="shared" si="276"/>
        <v>0</v>
      </c>
      <c r="CI52" s="46">
        <f t="shared" si="276"/>
        <v>0</v>
      </c>
      <c r="CJ52" s="46">
        <f>IF($A52="a",IFERROR(VLOOKUP($B52 &amp; $C52&amp;CJ$4,tblForecast,CJ$2,FALSE),0),CH52+CI52)</f>
        <v>0</v>
      </c>
      <c r="CK52" s="46">
        <f t="shared" si="277"/>
        <v>0</v>
      </c>
      <c r="CL52" s="46">
        <f t="shared" si="277"/>
        <v>0</v>
      </c>
      <c r="CM52" s="46">
        <f ca="1">SUMIFS(OFFSET(tblForecast,,CM$2,,1),OFFSET(tblForecast,,,,1),$B52-IF(CompareVer="LY",1,0)&amp; $C52 &amp;CM$4)</f>
        <v>0</v>
      </c>
      <c r="CN52" s="193">
        <f t="shared" ca="1" si="31"/>
        <v>0</v>
      </c>
      <c r="CO52" s="177">
        <f t="shared" si="46"/>
        <v>0</v>
      </c>
      <c r="CP52" s="221">
        <f t="shared" ca="1" si="46"/>
        <v>0</v>
      </c>
      <c r="CQ52" s="193">
        <f t="shared" ca="1" si="33"/>
        <v>0</v>
      </c>
      <c r="CR52" s="177">
        <f t="shared" si="44"/>
        <v>0</v>
      </c>
      <c r="CS52" s="221">
        <f t="shared" ca="1" si="34"/>
        <v>0</v>
      </c>
      <c r="CT52" s="193">
        <f t="shared" ca="1" si="47"/>
        <v>0</v>
      </c>
      <c r="CU52" s="44">
        <f t="shared" si="310"/>
        <v>0</v>
      </c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6">
        <f>IFERROR(VLOOKUP(Brand&amp;Channel&amp;Country&amp;$C52,tblDiscount,6,FALSE),0)</f>
        <v>0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478</v>
      </c>
      <c r="B53" s="44">
        <v>2018</v>
      </c>
      <c r="C53" s="88">
        <v>34</v>
      </c>
      <c r="D53" s="51">
        <f t="shared" si="296"/>
        <v>0</v>
      </c>
      <c r="E53" s="201">
        <f t="shared" si="297"/>
        <v>0</v>
      </c>
      <c r="F53" s="181">
        <f t="shared" si="45"/>
        <v>0</v>
      </c>
      <c r="G53" s="175">
        <f t="shared" si="256"/>
        <v>0</v>
      </c>
      <c r="H53" s="202">
        <f t="shared" si="256"/>
        <v>0</v>
      </c>
      <c r="I53" s="202">
        <f t="shared" si="256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298"/>
        <v>0</v>
      </c>
      <c r="M53" s="90">
        <f t="shared" si="298"/>
        <v>0</v>
      </c>
      <c r="N53" s="46">
        <f t="shared" si="298"/>
        <v>0</v>
      </c>
      <c r="O53" s="46">
        <f t="shared" ca="1" si="298"/>
        <v>0</v>
      </c>
      <c r="P53" s="47">
        <f t="shared" ca="1" si="39"/>
        <v>0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258"/>
        <v>0</v>
      </c>
      <c r="T53" s="238">
        <f ca="1">SUMIFS(OFFSET(tblForecast,,T$2,,1),OFFSET(tblForecast,,,,1),$B53-IF(CompareVer="LY",1,0)&amp; $C53 &amp;T$4)</f>
        <v>0</v>
      </c>
      <c r="U53" s="91">
        <f t="shared" ca="1" si="7"/>
        <v>0</v>
      </c>
      <c r="V53" s="247">
        <f t="shared" ca="1" si="299"/>
        <v>0</v>
      </c>
      <c r="W53" s="327">
        <f ca="1">IFERROR(IF(R52&lt;&gt;0,R53/R52,X53),0)</f>
        <v>0</v>
      </c>
      <c r="X53" s="248">
        <f t="shared" ca="1" si="300"/>
        <v>0</v>
      </c>
      <c r="Y53" s="51">
        <f t="shared" ca="1" si="301"/>
        <v>0</v>
      </c>
      <c r="Z53" s="46">
        <f t="shared" si="301"/>
        <v>0</v>
      </c>
      <c r="AA53" s="46">
        <f t="shared" si="301"/>
        <v>0</v>
      </c>
      <c r="AB53" s="46">
        <f t="shared" ca="1" si="301"/>
        <v>0</v>
      </c>
      <c r="AC53" s="91">
        <f t="shared" ca="1" si="9"/>
        <v>0</v>
      </c>
      <c r="AD53" s="75">
        <f>IF(AM53&lt;&gt;0,1-AR53/AM53,0)</f>
        <v>0</v>
      </c>
      <c r="AE53" s="93">
        <f t="shared" si="302"/>
        <v>0</v>
      </c>
      <c r="AF53" s="93">
        <f t="shared" si="302"/>
        <v>0</v>
      </c>
      <c r="AG53" s="76">
        <f t="shared" ca="1" si="302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261"/>
        <v>0</v>
      </c>
      <c r="AJ53" s="94">
        <f t="shared" si="261"/>
        <v>0</v>
      </c>
      <c r="AK53" s="49">
        <f ca="1">IFERROR(CF53/BY53,0)</f>
        <v>0</v>
      </c>
      <c r="AL53" s="47">
        <f t="shared" ca="1" si="262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263"/>
        <v>0</v>
      </c>
      <c r="AO53" s="94">
        <f t="shared" si="263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264"/>
        <v>0</v>
      </c>
      <c r="AT53" s="94">
        <f t="shared" si="264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0">
        <f t="shared" si="303"/>
        <v>0</v>
      </c>
      <c r="AX53" s="191">
        <f t="shared" si="303"/>
        <v>0</v>
      </c>
      <c r="AY53" s="191">
        <f t="shared" si="303"/>
        <v>0</v>
      </c>
      <c r="AZ53" s="191">
        <f t="shared" ca="1" si="303"/>
        <v>0</v>
      </c>
      <c r="BA53" s="233">
        <f ca="1">IF(BA52+BV53+BL53+BR53-Q53&lt;0,0,BA52+BV53+BL53+BR53-Q53)</f>
        <v>0</v>
      </c>
      <c r="BB53" s="229">
        <f ca="1">IF(IFERROR(VLOOKUP($B53 &amp; $C53&amp;BB$4,tblForecast,BB$2,FALSE),0)=0,BA53,IFERROR(VLOOKUP($B53 &amp; $C53&amp;BB$4,tblForecast,BB$2,FALSE),0))</f>
        <v>0</v>
      </c>
      <c r="BC53" s="229">
        <f ca="1">SUMIFS(OFFSET(tblForecast,,BC$2,,1),OFFSET(tblForecast,,,,1),$B53-IF(CompareVer="LY",1,0)&amp; $C53 &amp;BC$4)</f>
        <v>0</v>
      </c>
      <c r="BD53" s="229">
        <f t="shared" ca="1" si="305"/>
        <v>0</v>
      </c>
      <c r="BE53" s="193">
        <f t="shared" ca="1" si="19"/>
        <v>0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0</v>
      </c>
      <c r="BH53" s="178">
        <f ca="1">IF(Q53&lt;&gt;0,BA53/Q53,0)</f>
        <v>0</v>
      </c>
      <c r="BI53" s="182">
        <f ca="1">IF(T53&lt;&gt;0,BD53/T53,0)</f>
        <v>0</v>
      </c>
      <c r="BJ53" s="194">
        <f t="shared" ca="1" si="308"/>
        <v>0</v>
      </c>
      <c r="BK53" s="50">
        <f t="shared" ca="1" si="309"/>
        <v>0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0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0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0</v>
      </c>
      <c r="BR53" s="225">
        <f t="shared" si="43"/>
        <v>0</v>
      </c>
      <c r="BS53" s="229">
        <f t="shared" ca="1" si="22"/>
        <v>0</v>
      </c>
      <c r="BT53" s="232">
        <f t="shared" si="272"/>
        <v>0</v>
      </c>
      <c r="BU53" s="229">
        <f t="shared" si="272"/>
        <v>0</v>
      </c>
      <c r="BV53" s="229">
        <f>IF($A53="a",IFERROR(VLOOKUP($B53 &amp; $C53&amp;BV$4,tblForecast,BV$2,FALSE),0),BT53+BU53)</f>
        <v>0</v>
      </c>
      <c r="BW53" s="229">
        <f t="shared" si="273"/>
        <v>0</v>
      </c>
      <c r="BX53" s="229">
        <f t="shared" si="273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274"/>
        <v>0</v>
      </c>
      <c r="CB53" s="46">
        <f t="shared" si="274"/>
        <v>0</v>
      </c>
      <c r="CC53" s="46">
        <f>IF($A53="a",IFERROR(VLOOKUP($B53 &amp; $C53&amp;CC$4,tblForecast,CC$2,FALSE),0),CA53+CB53)</f>
        <v>0</v>
      </c>
      <c r="CD53" s="46">
        <f t="shared" si="275"/>
        <v>0</v>
      </c>
      <c r="CE53" s="46">
        <f t="shared" si="275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276"/>
        <v>0</v>
      </c>
      <c r="CI53" s="46">
        <f t="shared" si="276"/>
        <v>0</v>
      </c>
      <c r="CJ53" s="46">
        <f>IF($A53="a",IFERROR(VLOOKUP($B53 &amp; $C53&amp;CJ$4,tblForecast,CJ$2,FALSE),0),CH53+CI53)</f>
        <v>0</v>
      </c>
      <c r="CK53" s="46">
        <f t="shared" si="277"/>
        <v>0</v>
      </c>
      <c r="CL53" s="46">
        <f t="shared" si="277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>
        <f t="shared" si="310"/>
        <v>0</v>
      </c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6">
        <f>IFERROR(VLOOKUP(Brand&amp;Channel&amp;Country&amp;$C53,tblDiscount,6,FALSE),0)</f>
        <v>0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478</v>
      </c>
      <c r="B54" s="44">
        <v>2018</v>
      </c>
      <c r="C54" s="88">
        <v>35</v>
      </c>
      <c r="D54" s="51">
        <f t="shared" si="296"/>
        <v>0</v>
      </c>
      <c r="E54" s="201">
        <f t="shared" si="297"/>
        <v>0</v>
      </c>
      <c r="F54" s="181">
        <f t="shared" si="45"/>
        <v>0</v>
      </c>
      <c r="G54" s="175">
        <f t="shared" si="256"/>
        <v>0</v>
      </c>
      <c r="H54" s="202">
        <f t="shared" si="256"/>
        <v>0</v>
      </c>
      <c r="I54" s="202">
        <f t="shared" si="256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298"/>
        <v>0</v>
      </c>
      <c r="M54" s="90">
        <f t="shared" si="298"/>
        <v>0</v>
      </c>
      <c r="N54" s="46">
        <f t="shared" si="298"/>
        <v>0</v>
      </c>
      <c r="O54" s="46">
        <f t="shared" ca="1" si="298"/>
        <v>0</v>
      </c>
      <c r="P54" s="47">
        <f t="shared" ca="1" si="39"/>
        <v>0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258"/>
        <v>0</v>
      </c>
      <c r="T54" s="238">
        <f ca="1">SUMIFS(OFFSET(tblForecast,,T$2,,1),OFFSET(tblForecast,,,,1),$B54-IF(CompareVer="LY",1,0)&amp; $C54 &amp;T$4)</f>
        <v>0</v>
      </c>
      <c r="U54" s="91">
        <f t="shared" ca="1" si="7"/>
        <v>0</v>
      </c>
      <c r="V54" s="247">
        <f t="shared" ca="1" si="299"/>
        <v>0</v>
      </c>
      <c r="W54" s="327">
        <f ca="1">IFERROR(IF(R53&lt;&gt;0,R54/R53,X54),0)</f>
        <v>0</v>
      </c>
      <c r="X54" s="248">
        <f t="shared" ca="1" si="300"/>
        <v>0</v>
      </c>
      <c r="Y54" s="51">
        <f t="shared" ca="1" si="301"/>
        <v>0</v>
      </c>
      <c r="Z54" s="46">
        <f t="shared" si="301"/>
        <v>0</v>
      </c>
      <c r="AA54" s="46">
        <f t="shared" si="301"/>
        <v>0</v>
      </c>
      <c r="AB54" s="46">
        <f t="shared" ca="1" si="301"/>
        <v>0</v>
      </c>
      <c r="AC54" s="91">
        <f t="shared" ca="1" si="9"/>
        <v>0</v>
      </c>
      <c r="AD54" s="75">
        <f>IF(AM54&lt;&gt;0,1-AR54/AM54,0)</f>
        <v>0</v>
      </c>
      <c r="AE54" s="93">
        <f t="shared" si="302"/>
        <v>0</v>
      </c>
      <c r="AF54" s="93">
        <f t="shared" si="302"/>
        <v>0</v>
      </c>
      <c r="AG54" s="76">
        <f t="shared" ca="1" si="302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261"/>
        <v>0</v>
      </c>
      <c r="AJ54" s="94">
        <f t="shared" si="261"/>
        <v>0</v>
      </c>
      <c r="AK54" s="49">
        <f ca="1">IFERROR(CF54/BY54,0)</f>
        <v>0</v>
      </c>
      <c r="AL54" s="47">
        <f t="shared" ca="1" si="262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263"/>
        <v>0</v>
      </c>
      <c r="AO54" s="94">
        <f t="shared" si="263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264"/>
        <v>0</v>
      </c>
      <c r="AT54" s="94">
        <f t="shared" si="264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0">
        <f t="shared" si="303"/>
        <v>0</v>
      </c>
      <c r="AX54" s="191">
        <f t="shared" si="303"/>
        <v>0</v>
      </c>
      <c r="AY54" s="191">
        <f t="shared" si="303"/>
        <v>0</v>
      </c>
      <c r="AZ54" s="191">
        <f t="shared" ca="1" si="303"/>
        <v>0</v>
      </c>
      <c r="BA54" s="233">
        <f ca="1">IF(BA53+BV54+BL54+BR54-Q54&lt;0,0,BA53+BV54+BL54+BR54-Q54)</f>
        <v>0</v>
      </c>
      <c r="BB54" s="229">
        <f ca="1">IF(IFERROR(VLOOKUP($B54 &amp; $C54&amp;BB$4,tblForecast,BB$2,FALSE),0)=0,BA54,IFERROR(VLOOKUP($B54 &amp; $C54&amp;BB$4,tblForecast,BB$2,FALSE),0))</f>
        <v>0</v>
      </c>
      <c r="BC54" s="229">
        <f ca="1">SUMIFS(OFFSET(tblForecast,,BC$2,,1),OFFSET(tblForecast,,,,1),$B54-IF(CompareVer="LY",1,0)&amp; $C54 &amp;BC$4)</f>
        <v>0</v>
      </c>
      <c r="BD54" s="229">
        <f t="shared" ca="1" si="305"/>
        <v>0</v>
      </c>
      <c r="BE54" s="193">
        <f t="shared" ca="1" si="19"/>
        <v>0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0</v>
      </c>
      <c r="BH54" s="178">
        <f ca="1">IF(Q54&lt;&gt;0,BA54/Q54,0)</f>
        <v>0</v>
      </c>
      <c r="BI54" s="182">
        <f ca="1">IF(T54&lt;&gt;0,BD54/T54,0)</f>
        <v>0</v>
      </c>
      <c r="BJ54" s="194">
        <f t="shared" ca="1" si="308"/>
        <v>0</v>
      </c>
      <c r="BK54" s="50">
        <f t="shared" ca="1" si="309"/>
        <v>0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0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0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0</v>
      </c>
      <c r="BR54" s="225">
        <f t="shared" si="43"/>
        <v>0</v>
      </c>
      <c r="BS54" s="229">
        <f t="shared" ca="1" si="22"/>
        <v>0</v>
      </c>
      <c r="BT54" s="232">
        <f t="shared" si="272"/>
        <v>0</v>
      </c>
      <c r="BU54" s="229">
        <f t="shared" si="272"/>
        <v>0</v>
      </c>
      <c r="BV54" s="229">
        <f>IF($A54="a",IFERROR(VLOOKUP($B54 &amp; $C54&amp;BV$4,tblForecast,BV$2,FALSE),0),BT54+BU54)</f>
        <v>0</v>
      </c>
      <c r="BW54" s="229">
        <f t="shared" si="273"/>
        <v>0</v>
      </c>
      <c r="BX54" s="229">
        <f t="shared" si="273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274"/>
        <v>0</v>
      </c>
      <c r="CB54" s="46">
        <f t="shared" si="274"/>
        <v>0</v>
      </c>
      <c r="CC54" s="46">
        <f>IF($A54="a",IFERROR(VLOOKUP($B54 &amp; $C54&amp;CC$4,tblForecast,CC$2,FALSE),0),CA54+CB54)</f>
        <v>0</v>
      </c>
      <c r="CD54" s="46">
        <f t="shared" si="275"/>
        <v>0</v>
      </c>
      <c r="CE54" s="46">
        <f t="shared" si="275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276"/>
        <v>0</v>
      </c>
      <c r="CI54" s="46">
        <f t="shared" si="276"/>
        <v>0</v>
      </c>
      <c r="CJ54" s="46">
        <f>IF($A54="a",IFERROR(VLOOKUP($B54 &amp; $C54&amp;CJ$4,tblForecast,CJ$2,FALSE),0),CH54+CI54)</f>
        <v>0</v>
      </c>
      <c r="CK54" s="46">
        <f t="shared" si="277"/>
        <v>0</v>
      </c>
      <c r="CL54" s="46">
        <f t="shared" si="277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>
        <f t="shared" si="310"/>
        <v>0</v>
      </c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6">
        <f>IFERROR(VLOOKUP(Brand&amp;Channel&amp;Country&amp;$C54,tblDiscount,6,FALSE),0)</f>
        <v>0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280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312">SUM(M50:M54)</f>
        <v>0</v>
      </c>
      <c r="N55" s="257">
        <f t="shared" si="312"/>
        <v>0</v>
      </c>
      <c r="O55" s="257">
        <f t="shared" ca="1" si="312"/>
        <v>0</v>
      </c>
      <c r="P55" s="258">
        <f t="shared" ca="1" si="39"/>
        <v>0</v>
      </c>
      <c r="Q55" s="259">
        <f t="shared" ref="Q55:S55" ca="1" si="313">SUM(Q50:Q54)</f>
        <v>0</v>
      </c>
      <c r="R55" s="260">
        <f t="shared" si="313"/>
        <v>0</v>
      </c>
      <c r="S55" s="260">
        <f t="shared" si="313"/>
        <v>0</v>
      </c>
      <c r="T55" s="260">
        <f ca="1">SUM(T50:T54)</f>
        <v>0</v>
      </c>
      <c r="U55" s="258">
        <f t="shared" ca="1" si="7"/>
        <v>0</v>
      </c>
      <c r="V55" s="261">
        <f ca="1">V54</f>
        <v>0</v>
      </c>
      <c r="W55" s="325">
        <f ca="1">W54</f>
        <v>0</v>
      </c>
      <c r="X55" s="262">
        <f ca="1">X54</f>
        <v>0</v>
      </c>
      <c r="Y55" s="252">
        <f ca="1">SUM(Y50:Y54)</f>
        <v>0</v>
      </c>
      <c r="Z55" s="257">
        <f t="shared" ref="Z55:AB55" si="314">SUM(Z50:Z54)</f>
        <v>0</v>
      </c>
      <c r="AA55" s="257">
        <f t="shared" si="314"/>
        <v>0</v>
      </c>
      <c r="AB55" s="257">
        <f t="shared" ca="1" si="314"/>
        <v>0</v>
      </c>
      <c r="AC55" s="258">
        <f t="shared" ca="1" si="9"/>
        <v>0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0</v>
      </c>
      <c r="AL55" s="258">
        <f t="shared" ca="1" si="262"/>
        <v>0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0</v>
      </c>
      <c r="AQ55" s="258">
        <f t="shared" ca="1" si="14"/>
        <v>0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0</v>
      </c>
      <c r="AV55" s="258">
        <f t="shared" ca="1" si="16"/>
        <v>0</v>
      </c>
      <c r="AW55" s="267">
        <f ca="1">IFERROR(SUMPRODUCT(AW50:AW54,V50:V54)/V55,0)</f>
        <v>0</v>
      </c>
      <c r="AX55" s="268">
        <f t="shared" ref="AX55:AZ55" ca="1" si="315">IFERROR(SUMPRODUCT(AX50:AX54,X50:X54)/X55,0)</f>
        <v>0</v>
      </c>
      <c r="AY55" s="268">
        <f t="shared" ca="1" si="315"/>
        <v>0</v>
      </c>
      <c r="AZ55" s="268">
        <f t="shared" ca="1" si="315"/>
        <v>0</v>
      </c>
      <c r="BA55" s="259">
        <f ca="1">BA54</f>
        <v>0</v>
      </c>
      <c r="BB55" s="260">
        <f t="shared" ref="BB55:BD55" ca="1" si="316">BB54</f>
        <v>0</v>
      </c>
      <c r="BC55" s="260">
        <f t="shared" ca="1" si="316"/>
        <v>0</v>
      </c>
      <c r="BD55" s="260">
        <f t="shared" ca="1" si="316"/>
        <v>0</v>
      </c>
      <c r="BE55" s="258">
        <f t="shared" ca="1" si="19"/>
        <v>0</v>
      </c>
      <c r="BF55" s="260">
        <f>BF54</f>
        <v>0</v>
      </c>
      <c r="BG55" s="260">
        <f ca="1">BG54</f>
        <v>0</v>
      </c>
      <c r="BH55" s="269">
        <f ca="1">IF(Q55&lt;&gt;0,(BA55*COUNTIF(BH50:BH54,"&lt;&gt;0")/Q55),0)</f>
        <v>0</v>
      </c>
      <c r="BI55" s="270">
        <f ca="1">IF(T55&lt;&gt;0,(BD55*COUNTIF(BI50:BI54,"&lt;&gt;0")/T55),0)</f>
        <v>0</v>
      </c>
      <c r="BJ55" s="271">
        <f t="shared" ref="BJ55" ca="1" si="317">IF(BA55&lt;&gt;0,(Q55/COUNTIF(BJ50:BJ54,"&lt;&gt;0"))/BA55,0)</f>
        <v>0</v>
      </c>
      <c r="BK55" s="272">
        <f t="shared" ref="BK55" ca="1" si="318">IF(BD55&lt;&gt;0,(T55/COUNTIF(BK50:BK54,"&lt;&gt;0"))/BD55,0)</f>
        <v>0</v>
      </c>
      <c r="BL55" s="259">
        <f t="shared" ref="BL55" si="319">SUM(BL50:BL54)</f>
        <v>0</v>
      </c>
      <c r="BM55" s="260">
        <f ca="1">SUM(BM50:BM54)</f>
        <v>0</v>
      </c>
      <c r="BN55" s="259">
        <f t="shared" ref="BN55:BQ55" si="320">SUM(BN50:BN54)</f>
        <v>0</v>
      </c>
      <c r="BO55" s="260">
        <f t="shared" ca="1" si="320"/>
        <v>0</v>
      </c>
      <c r="BP55" s="259">
        <f t="shared" si="320"/>
        <v>0</v>
      </c>
      <c r="BQ55" s="260">
        <f t="shared" ca="1" si="320"/>
        <v>0</v>
      </c>
      <c r="BR55" s="259">
        <f t="shared" si="43"/>
        <v>0</v>
      </c>
      <c r="BS55" s="260">
        <f t="shared" ca="1" si="22"/>
        <v>0</v>
      </c>
      <c r="BT55" s="259">
        <f t="shared" ref="BT55:BY55" si="321">SUM(BT50:BT54)</f>
        <v>0</v>
      </c>
      <c r="BU55" s="260">
        <f t="shared" si="321"/>
        <v>0</v>
      </c>
      <c r="BV55" s="260">
        <f t="shared" si="321"/>
        <v>0</v>
      </c>
      <c r="BW55" s="260">
        <f t="shared" si="321"/>
        <v>0</v>
      </c>
      <c r="BX55" s="260">
        <f t="shared" si="321"/>
        <v>0</v>
      </c>
      <c r="BY55" s="273">
        <f t="shared" ca="1" si="321"/>
        <v>0</v>
      </c>
      <c r="BZ55" s="258">
        <f t="shared" ca="1" si="25"/>
        <v>0</v>
      </c>
      <c r="CA55" s="331">
        <f t="shared" ref="CA55:CF55" si="322">SUM(CA50:CA54)</f>
        <v>0</v>
      </c>
      <c r="CB55" s="257">
        <f t="shared" si="322"/>
        <v>0</v>
      </c>
      <c r="CC55" s="257">
        <f t="shared" si="322"/>
        <v>0</v>
      </c>
      <c r="CD55" s="257">
        <f t="shared" si="322"/>
        <v>0</v>
      </c>
      <c r="CE55" s="257">
        <f t="shared" si="322"/>
        <v>0</v>
      </c>
      <c r="CF55" s="257">
        <f t="shared" ca="1" si="322"/>
        <v>0</v>
      </c>
      <c r="CG55" s="258">
        <f t="shared" ca="1" si="28"/>
        <v>0</v>
      </c>
      <c r="CH55" s="331">
        <f t="shared" ref="CH55:CM55" si="323">SUM(CH50:CH54)</f>
        <v>0</v>
      </c>
      <c r="CI55" s="257">
        <f t="shared" si="323"/>
        <v>0</v>
      </c>
      <c r="CJ55" s="257">
        <f t="shared" si="323"/>
        <v>0</v>
      </c>
      <c r="CK55" s="257">
        <f t="shared" si="323"/>
        <v>0</v>
      </c>
      <c r="CL55" s="257">
        <f t="shared" si="323"/>
        <v>0</v>
      </c>
      <c r="CM55" s="257">
        <f t="shared" ca="1" si="323"/>
        <v>0</v>
      </c>
      <c r="CN55" s="258">
        <f t="shared" ca="1" si="31"/>
        <v>0</v>
      </c>
      <c r="CO55" s="274">
        <f t="shared" si="46"/>
        <v>0</v>
      </c>
      <c r="CP55" s="275">
        <f t="shared" ca="1" si="46"/>
        <v>0</v>
      </c>
      <c r="CQ55" s="258">
        <f t="shared" ca="1" si="33"/>
        <v>0</v>
      </c>
      <c r="CR55" s="274">
        <f t="shared" si="44"/>
        <v>0</v>
      </c>
      <c r="CS55" s="275">
        <f t="shared" ca="1" si="34"/>
        <v>0</v>
      </c>
      <c r="CT55" s="258">
        <f t="shared" ca="1" si="47"/>
        <v>0</v>
      </c>
      <c r="CU55" s="44">
        <f t="shared" si="310"/>
        <v>0</v>
      </c>
      <c r="CW55" s="100">
        <f>CW54</f>
        <v>0</v>
      </c>
      <c r="CX55" s="101">
        <f ca="1">CX54</f>
        <v>0</v>
      </c>
      <c r="CY55" s="99">
        <f t="shared" ca="1" si="36"/>
        <v>0</v>
      </c>
      <c r="CZ55" s="276"/>
      <c r="DA55" s="277"/>
      <c r="DB55" s="277"/>
      <c r="DC55" s="278"/>
    </row>
    <row r="56" spans="1:107" x14ac:dyDescent="0.25">
      <c r="A56" s="44" t="s">
        <v>478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324">IFERROR(VLOOKUP($B56 &amp; $C56&amp;G$4&amp;$A56,tblForecast,G$2,FALSE),0)</f>
        <v>0</v>
      </c>
      <c r="H56" s="202">
        <f t="shared" si="324"/>
        <v>0</v>
      </c>
      <c r="I56" s="202">
        <f t="shared" si="324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325">Q56*AM56</f>
        <v>0</v>
      </c>
      <c r="M56" s="90">
        <f t="shared" si="325"/>
        <v>0</v>
      </c>
      <c r="N56" s="46">
        <f t="shared" si="325"/>
        <v>0</v>
      </c>
      <c r="O56" s="46">
        <f t="shared" ca="1" si="325"/>
        <v>0</v>
      </c>
      <c r="P56" s="47">
        <f t="shared" ca="1" si="39"/>
        <v>0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326">IFERROR(VLOOKUP($B56 &amp; $C56&amp;S$4,tblForecast,S$2,FALSE),0)</f>
        <v>0</v>
      </c>
      <c r="T56" s="238">
        <f ca="1">SUMIFS(OFFSET(tblForecast,,T$2,,1),OFFSET(tblForecast,,,,1),$B56-IF(CompareVer="LY",1,0)&amp; $C56 &amp;T$4)</f>
        <v>0</v>
      </c>
      <c r="U56" s="91">
        <f t="shared" ca="1" si="7"/>
        <v>0</v>
      </c>
      <c r="V56" s="247">
        <f ca="1">IFERROR(IF(Q54&gt;0,Q56/Q54,0),0)</f>
        <v>0</v>
      </c>
      <c r="W56" s="327">
        <f ca="1">IFERROR(IF(R54&gt;0,R56/R54,X56),0)</f>
        <v>0</v>
      </c>
      <c r="X56" s="248">
        <f ca="1">IFERROR(IF(T54&gt;0,T56/T54,0),0)</f>
        <v>0</v>
      </c>
      <c r="Y56" s="51">
        <f t="shared" ref="Y56:AB59" ca="1" si="327">IFERROR(L56*AD56,0)</f>
        <v>0</v>
      </c>
      <c r="Z56" s="46">
        <f t="shared" si="327"/>
        <v>0</v>
      </c>
      <c r="AA56" s="46">
        <f t="shared" si="327"/>
        <v>0</v>
      </c>
      <c r="AB56" s="46">
        <f t="shared" ca="1" si="327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328">IF(AN56&lt;&gt;0,1-AS56/AN56,0)</f>
        <v>0</v>
      </c>
      <c r="AF56" s="93">
        <f t="shared" si="328"/>
        <v>0</v>
      </c>
      <c r="AG56" s="76">
        <f t="shared" ca="1" si="328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329">IFERROR(VLOOKUP($B56 &amp; $C56&amp;AI$4,tblForecast,AI$2,FALSE),0)</f>
        <v>0</v>
      </c>
      <c r="AJ56" s="94">
        <f t="shared" si="329"/>
        <v>0</v>
      </c>
      <c r="AK56" s="49">
        <f ca="1">IFERROR(CF56/BY56,0)</f>
        <v>0</v>
      </c>
      <c r="AL56" s="47">
        <f t="shared" ca="1" si="262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330">IFERROR(VLOOKUP($B56 &amp; $C56&amp;AN$4,tblForecast,AN$2,FALSE),0)</f>
        <v>0</v>
      </c>
      <c r="AO56" s="94">
        <f t="shared" si="330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331">IFERROR(VLOOKUP($B56 &amp; $C56&amp;AS$4,tblForecast,AS$2,FALSE),0)</f>
        <v>0</v>
      </c>
      <c r="AT56" s="94">
        <f t="shared" si="331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0">
        <f t="shared" ref="AW56:AZ59" ca="1" si="332">IFERROR((AM56/AH56-1)*-1,0)</f>
        <v>0</v>
      </c>
      <c r="AX56" s="191">
        <f t="shared" si="332"/>
        <v>0</v>
      </c>
      <c r="AY56" s="191">
        <f t="shared" si="332"/>
        <v>0</v>
      </c>
      <c r="AZ56" s="191">
        <f t="shared" ca="1" si="332"/>
        <v>0</v>
      </c>
      <c r="BA56" s="233">
        <f ca="1">IF(BA55+BV56+BL56+BR56-Q56&lt;0,0,BA55+BV56+BL56+BR56-Q56)</f>
        <v>0</v>
      </c>
      <c r="BB56" s="229">
        <f ca="1">IF(IFERROR(VLOOKUP($B56 &amp; $C56&amp;BB$4,tblForecast,BB$2,FALSE),0)=0,BA56,IFERROR(VLOOKUP($B56 &amp; $C56&amp;BB$4,tblForecast,BB$2,FALSE),0))</f>
        <v>0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333">CX56+BG56</f>
        <v>0</v>
      </c>
      <c r="BE56" s="193">
        <f t="shared" ca="1" si="19"/>
        <v>0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0</v>
      </c>
      <c r="BH56" s="178">
        <f ca="1">IF(Q56&lt;&gt;0,BA56/Q56,0)</f>
        <v>0</v>
      </c>
      <c r="BI56" s="182">
        <f ca="1">IF(T56&lt;&gt;0,BD56/T56,0)</f>
        <v>0</v>
      </c>
      <c r="BJ56" s="194">
        <f t="shared" ref="BJ56:BJ59" ca="1" si="334">IF(BA56&lt;&gt;0,Q56/BA56,0)</f>
        <v>0</v>
      </c>
      <c r="BK56" s="50">
        <f t="shared" ref="BK56:BK59" ca="1" si="335">IF(BD56&lt;&gt;0,T56/BD56,0)</f>
        <v>0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0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0</v>
      </c>
      <c r="BR56" s="225">
        <f t="shared" si="43"/>
        <v>0</v>
      </c>
      <c r="BS56" s="229">
        <f t="shared" ca="1" si="22"/>
        <v>0</v>
      </c>
      <c r="BT56" s="232">
        <f t="shared" ref="BT56:BU59" si="336">IFERROR(VLOOKUP($B56 &amp; $C56&amp;BT$4,tblForecast,BT$2,FALSE),0)</f>
        <v>0</v>
      </c>
      <c r="BU56" s="229">
        <f t="shared" si="336"/>
        <v>0</v>
      </c>
      <c r="BV56" s="229">
        <f>IF($A56="a",IFERROR(VLOOKUP($B56 &amp; $C56&amp;BV$4,tblForecast,BV$2,FALSE),0),BT56+BU56)</f>
        <v>0</v>
      </c>
      <c r="BW56" s="229">
        <f t="shared" ref="BW56:BX59" si="337">IFERROR(VLOOKUP($B56 &amp; $C56&amp;BW$4,tblForecast,BW$2,FALSE),0)</f>
        <v>0</v>
      </c>
      <c r="BX56" s="229">
        <f t="shared" si="337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338">IFERROR(VLOOKUP($B56 &amp; $C56&amp;CA$4,tblForecast,CA$2,FALSE),0)</f>
        <v>0</v>
      </c>
      <c r="CB56" s="46">
        <f t="shared" si="338"/>
        <v>0</v>
      </c>
      <c r="CC56" s="46">
        <f>IF($A56="a",IFERROR(VLOOKUP($B56 &amp; $C56&amp;CC$4,tblForecast,CC$2,FALSE),0),CA56+CB56)</f>
        <v>0</v>
      </c>
      <c r="CD56" s="46">
        <f t="shared" ref="CD56:CE59" si="339">IFERROR(VLOOKUP($B56 &amp; $C56&amp;CD$4,tblForecast,CD$2,FALSE),0)</f>
        <v>0</v>
      </c>
      <c r="CE56" s="46">
        <f t="shared" si="339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340">IFERROR(VLOOKUP($B56 &amp; $C56&amp;CH$4,tblForecast,CH$2,FALSE),0)</f>
        <v>0</v>
      </c>
      <c r="CI56" s="46">
        <f t="shared" si="340"/>
        <v>0</v>
      </c>
      <c r="CJ56" s="46">
        <f>IF($A56="a",IFERROR(VLOOKUP($B56 &amp; $C56&amp;CJ$4,tblForecast,CJ$2,FALSE),0),CH56+CI56)</f>
        <v>0</v>
      </c>
      <c r="CK56" s="46">
        <f t="shared" ref="CK56:CL59" si="341">IFERROR(VLOOKUP($B56 &amp; $C56&amp;CK$4,tblForecast,CK$2,FALSE),0)</f>
        <v>0</v>
      </c>
      <c r="CL56" s="46">
        <f t="shared" si="341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>
        <f t="shared" si="310"/>
        <v>0</v>
      </c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6">
        <f>IFERROR(VLOOKUP(Brand&amp;Channel&amp;Country&amp;$C56,tblDiscount,6,FALSE),0)</f>
        <v>0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478</v>
      </c>
      <c r="B57" s="44">
        <v>2018</v>
      </c>
      <c r="C57" s="88">
        <v>37</v>
      </c>
      <c r="D57" s="51">
        <f t="shared" ref="D57:D59" si="342">G57*H57</f>
        <v>0</v>
      </c>
      <c r="E57" s="201">
        <f t="shared" ref="E57:E59" si="343">IFERROR(D57*F57,0)</f>
        <v>0</v>
      </c>
      <c r="F57" s="181">
        <f t="shared" si="45"/>
        <v>0</v>
      </c>
      <c r="G57" s="175">
        <f t="shared" si="324"/>
        <v>0</v>
      </c>
      <c r="H57" s="202">
        <f t="shared" si="324"/>
        <v>0</v>
      </c>
      <c r="I57" s="202">
        <f t="shared" si="324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325"/>
        <v>0</v>
      </c>
      <c r="M57" s="90">
        <f t="shared" si="325"/>
        <v>0</v>
      </c>
      <c r="N57" s="46">
        <f t="shared" si="325"/>
        <v>0</v>
      </c>
      <c r="O57" s="46">
        <f t="shared" ca="1" si="325"/>
        <v>0</v>
      </c>
      <c r="P57" s="47">
        <f t="shared" ca="1" si="39"/>
        <v>0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326"/>
        <v>0</v>
      </c>
      <c r="T57" s="238">
        <f ca="1">SUMIFS(OFFSET(tblForecast,,T$2,,1),OFFSET(tblForecast,,,,1),$B57-IF(CompareVer="LY",1,0)&amp; $C57 &amp;T$4)</f>
        <v>0</v>
      </c>
      <c r="U57" s="91">
        <f t="shared" ca="1" si="7"/>
        <v>0</v>
      </c>
      <c r="V57" s="247">
        <f t="shared" ref="V57:V59" ca="1" si="344">IFERROR(IF(Q56&lt;&gt;0,Q57/Q56,0),0)</f>
        <v>0</v>
      </c>
      <c r="W57" s="327">
        <f ca="1">IFERROR(IF(R56&lt;&gt;0,R57/R56,X57),0)</f>
        <v>0</v>
      </c>
      <c r="X57" s="248">
        <f t="shared" ref="X57:X59" ca="1" si="345">IFERROR(IF(T56&lt;&gt;0,T57/T56,0),0)</f>
        <v>0</v>
      </c>
      <c r="Y57" s="51">
        <f t="shared" ca="1" si="327"/>
        <v>0</v>
      </c>
      <c r="Z57" s="46">
        <f t="shared" si="327"/>
        <v>0</v>
      </c>
      <c r="AA57" s="46">
        <f t="shared" si="327"/>
        <v>0</v>
      </c>
      <c r="AB57" s="46">
        <f t="shared" ca="1" si="327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328"/>
        <v>0</v>
      </c>
      <c r="AF57" s="93">
        <f t="shared" si="328"/>
        <v>0</v>
      </c>
      <c r="AG57" s="76">
        <f t="shared" ca="1" si="328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329"/>
        <v>0</v>
      </c>
      <c r="AJ57" s="94">
        <f t="shared" si="329"/>
        <v>0</v>
      </c>
      <c r="AK57" s="49">
        <f ca="1">IFERROR(CF57/BY57,0)</f>
        <v>0</v>
      </c>
      <c r="AL57" s="47">
        <f t="shared" ca="1" si="262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330"/>
        <v>0</v>
      </c>
      <c r="AO57" s="94">
        <f t="shared" si="330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331"/>
        <v>0</v>
      </c>
      <c r="AT57" s="94">
        <f t="shared" si="331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0">
        <f t="shared" ca="1" si="332"/>
        <v>0</v>
      </c>
      <c r="AX57" s="191">
        <f t="shared" si="332"/>
        <v>0</v>
      </c>
      <c r="AY57" s="191">
        <f t="shared" si="332"/>
        <v>0</v>
      </c>
      <c r="AZ57" s="191">
        <f t="shared" ca="1" si="332"/>
        <v>0</v>
      </c>
      <c r="BA57" s="233">
        <f ca="1">IF(BA56+BV57+BL57+BR57-Q57&lt;0,0,BA56+BV57+BL57+BR57-Q57)</f>
        <v>0</v>
      </c>
      <c r="BB57" s="229">
        <f ca="1">IF(IFERROR(VLOOKUP($B57 &amp; $C57&amp;BB$4,tblForecast,BB$2,FALSE),0)=0,BA57,IFERROR(VLOOKUP($B57 &amp; $C57&amp;BB$4,tblForecast,BB$2,FALSE),0))</f>
        <v>0</v>
      </c>
      <c r="BC57" s="229">
        <f ca="1">SUMIFS(OFFSET(tblForecast,,BC$2,,1),OFFSET(tblForecast,,,,1),$B57-IF(CompareVer="LY",1,0)&amp; $C57 &amp;BC$4)</f>
        <v>0</v>
      </c>
      <c r="BD57" s="229">
        <f t="shared" ca="1" si="333"/>
        <v>0</v>
      </c>
      <c r="BE57" s="193">
        <f t="shared" ca="1" si="19"/>
        <v>0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0</v>
      </c>
      <c r="BH57" s="178">
        <f ca="1">IF(Q57&lt;&gt;0,BA57/Q57,0)</f>
        <v>0</v>
      </c>
      <c r="BI57" s="182">
        <f ca="1">IF(T57&lt;&gt;0,BD57/T57,0)</f>
        <v>0</v>
      </c>
      <c r="BJ57" s="194">
        <f t="shared" ca="1" si="334"/>
        <v>0</v>
      </c>
      <c r="BK57" s="50">
        <f t="shared" ca="1" si="335"/>
        <v>0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0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0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0</v>
      </c>
      <c r="BR57" s="225">
        <f t="shared" si="43"/>
        <v>0</v>
      </c>
      <c r="BS57" s="229">
        <f t="shared" ca="1" si="22"/>
        <v>0</v>
      </c>
      <c r="BT57" s="232">
        <f t="shared" si="336"/>
        <v>0</v>
      </c>
      <c r="BU57" s="229">
        <f t="shared" si="336"/>
        <v>0</v>
      </c>
      <c r="BV57" s="229">
        <f>IF($A57="a",IFERROR(VLOOKUP($B57 &amp; $C57&amp;BV$4,tblForecast,BV$2,FALSE),0),BT57+BU57)</f>
        <v>0</v>
      </c>
      <c r="BW57" s="229">
        <f t="shared" si="337"/>
        <v>0</v>
      </c>
      <c r="BX57" s="229">
        <f t="shared" si="337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338"/>
        <v>0</v>
      </c>
      <c r="CB57" s="46">
        <f t="shared" si="338"/>
        <v>0</v>
      </c>
      <c r="CC57" s="46">
        <f>IF($A57="a",IFERROR(VLOOKUP($B57 &amp; $C57&amp;CC$4,tblForecast,CC$2,FALSE),0),CA57+CB57)</f>
        <v>0</v>
      </c>
      <c r="CD57" s="46">
        <f t="shared" si="339"/>
        <v>0</v>
      </c>
      <c r="CE57" s="46">
        <f t="shared" si="339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340"/>
        <v>0</v>
      </c>
      <c r="CI57" s="46">
        <f t="shared" si="340"/>
        <v>0</v>
      </c>
      <c r="CJ57" s="46">
        <f>IF($A57="a",IFERROR(VLOOKUP($B57 &amp; $C57&amp;CJ$4,tblForecast,CJ$2,FALSE),0),CH57+CI57)</f>
        <v>0</v>
      </c>
      <c r="CK57" s="46">
        <f t="shared" si="341"/>
        <v>0</v>
      </c>
      <c r="CL57" s="46">
        <f t="shared" si="341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>
        <f t="shared" si="310"/>
        <v>0</v>
      </c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6">
        <f>IFERROR(VLOOKUP(Brand&amp;Channel&amp;Country&amp;$C57,tblDiscount,6,FALSE),0)</f>
        <v>0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478</v>
      </c>
      <c r="B58" s="44">
        <v>2018</v>
      </c>
      <c r="C58" s="88">
        <v>38</v>
      </c>
      <c r="D58" s="51">
        <f t="shared" si="342"/>
        <v>0</v>
      </c>
      <c r="E58" s="201">
        <f t="shared" si="343"/>
        <v>0</v>
      </c>
      <c r="F58" s="181">
        <f t="shared" si="45"/>
        <v>0</v>
      </c>
      <c r="G58" s="175">
        <f t="shared" si="324"/>
        <v>0</v>
      </c>
      <c r="H58" s="202">
        <f t="shared" si="324"/>
        <v>0</v>
      </c>
      <c r="I58" s="202">
        <f t="shared" si="324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325"/>
        <v>0</v>
      </c>
      <c r="M58" s="90">
        <f t="shared" si="325"/>
        <v>0</v>
      </c>
      <c r="N58" s="46">
        <f t="shared" si="325"/>
        <v>0</v>
      </c>
      <c r="O58" s="46">
        <f t="shared" ca="1" si="325"/>
        <v>0</v>
      </c>
      <c r="P58" s="47">
        <f t="shared" ca="1" si="39"/>
        <v>0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326"/>
        <v>0</v>
      </c>
      <c r="T58" s="238">
        <f ca="1">SUMIFS(OFFSET(tblForecast,,T$2,,1),OFFSET(tblForecast,,,,1),$B58-IF(CompareVer="LY",1,0)&amp; $C58 &amp;T$4)</f>
        <v>0</v>
      </c>
      <c r="U58" s="91">
        <f t="shared" ca="1" si="7"/>
        <v>0</v>
      </c>
      <c r="V58" s="247">
        <f t="shared" ca="1" si="344"/>
        <v>0</v>
      </c>
      <c r="W58" s="327">
        <f ca="1">IFERROR(IF(R57&lt;&gt;0,R58/R57,X58),0)</f>
        <v>0</v>
      </c>
      <c r="X58" s="248">
        <f t="shared" ca="1" si="345"/>
        <v>0</v>
      </c>
      <c r="Y58" s="51">
        <f t="shared" ca="1" si="327"/>
        <v>0</v>
      </c>
      <c r="Z58" s="46">
        <f t="shared" si="327"/>
        <v>0</v>
      </c>
      <c r="AA58" s="46">
        <f t="shared" si="327"/>
        <v>0</v>
      </c>
      <c r="AB58" s="46">
        <f t="shared" ca="1" si="327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328"/>
        <v>0</v>
      </c>
      <c r="AF58" s="93">
        <f t="shared" si="328"/>
        <v>0</v>
      </c>
      <c r="AG58" s="76">
        <f t="shared" ca="1" si="328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329"/>
        <v>0</v>
      </c>
      <c r="AJ58" s="94">
        <f t="shared" si="329"/>
        <v>0</v>
      </c>
      <c r="AK58" s="49">
        <f ca="1">IFERROR(CF58/BY58,0)</f>
        <v>0</v>
      </c>
      <c r="AL58" s="47">
        <f t="shared" ca="1" si="262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330"/>
        <v>0</v>
      </c>
      <c r="AO58" s="94">
        <f t="shared" si="330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331"/>
        <v>0</v>
      </c>
      <c r="AT58" s="94">
        <f t="shared" si="331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0">
        <f t="shared" ca="1" si="332"/>
        <v>0</v>
      </c>
      <c r="AX58" s="191">
        <f t="shared" si="332"/>
        <v>0</v>
      </c>
      <c r="AY58" s="191">
        <f t="shared" si="332"/>
        <v>0</v>
      </c>
      <c r="AZ58" s="191">
        <f t="shared" ca="1" si="332"/>
        <v>0</v>
      </c>
      <c r="BA58" s="233">
        <f ca="1">IF(BA57+BV58+BL58+BR58-Q58&lt;0,0,BA57+BV58+BL58+BR58-Q58)</f>
        <v>0</v>
      </c>
      <c r="BB58" s="229">
        <f ca="1">IF(IFERROR(VLOOKUP($B58 &amp; $C58&amp;BB$4,tblForecast,BB$2,FALSE),0)=0,BA58,IFERROR(VLOOKUP($B58 &amp; $C58&amp;BB$4,tblForecast,BB$2,FALSE),0))</f>
        <v>0</v>
      </c>
      <c r="BC58" s="229">
        <f ca="1">SUMIFS(OFFSET(tblForecast,,BC$2,,1),OFFSET(tblForecast,,,,1),$B58-IF(CompareVer="LY",1,0)&amp; $C58 &amp;BC$4)</f>
        <v>0</v>
      </c>
      <c r="BD58" s="229">
        <f t="shared" ca="1" si="333"/>
        <v>0</v>
      </c>
      <c r="BE58" s="193">
        <f t="shared" ca="1" si="19"/>
        <v>0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0</v>
      </c>
      <c r="BH58" s="178">
        <f ca="1">IF(Q58&lt;&gt;0,BA58/Q58,0)</f>
        <v>0</v>
      </c>
      <c r="BI58" s="182">
        <f ca="1">IF(T58&lt;&gt;0,BD58/T58,0)</f>
        <v>0</v>
      </c>
      <c r="BJ58" s="194">
        <f t="shared" ca="1" si="334"/>
        <v>0</v>
      </c>
      <c r="BK58" s="50">
        <f t="shared" ca="1" si="335"/>
        <v>0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0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0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0</v>
      </c>
      <c r="BR58" s="225">
        <f t="shared" si="43"/>
        <v>0</v>
      </c>
      <c r="BS58" s="229">
        <f t="shared" ca="1" si="22"/>
        <v>0</v>
      </c>
      <c r="BT58" s="232">
        <f t="shared" si="336"/>
        <v>0</v>
      </c>
      <c r="BU58" s="229">
        <f t="shared" si="336"/>
        <v>0</v>
      </c>
      <c r="BV58" s="229">
        <f>IF($A58="a",IFERROR(VLOOKUP($B58 &amp; $C58&amp;BV$4,tblForecast,BV$2,FALSE),0),BT58+BU58)</f>
        <v>0</v>
      </c>
      <c r="BW58" s="229">
        <f t="shared" si="337"/>
        <v>0</v>
      </c>
      <c r="BX58" s="229">
        <f t="shared" si="337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338"/>
        <v>0</v>
      </c>
      <c r="CB58" s="46">
        <f t="shared" si="338"/>
        <v>0</v>
      </c>
      <c r="CC58" s="46">
        <f>IF($A58="a",IFERROR(VLOOKUP($B58 &amp; $C58&amp;CC$4,tblForecast,CC$2,FALSE),0),CA58+CB58)</f>
        <v>0</v>
      </c>
      <c r="CD58" s="46">
        <f t="shared" si="339"/>
        <v>0</v>
      </c>
      <c r="CE58" s="46">
        <f t="shared" si="339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340"/>
        <v>0</v>
      </c>
      <c r="CI58" s="46">
        <f t="shared" si="340"/>
        <v>0</v>
      </c>
      <c r="CJ58" s="46">
        <f>IF($A58="a",IFERROR(VLOOKUP($B58 &amp; $C58&amp;CJ$4,tblForecast,CJ$2,FALSE),0),CH58+CI58)</f>
        <v>0</v>
      </c>
      <c r="CK58" s="46">
        <f t="shared" si="341"/>
        <v>0</v>
      </c>
      <c r="CL58" s="46">
        <f t="shared" si="341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>
        <f t="shared" si="310"/>
        <v>0</v>
      </c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6">
        <f>IFERROR(VLOOKUP(Brand&amp;Channel&amp;Country&amp;$C58,tblDiscount,6,FALSE),0)</f>
        <v>0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478</v>
      </c>
      <c r="B59" s="44">
        <v>2018</v>
      </c>
      <c r="C59" s="88">
        <v>39</v>
      </c>
      <c r="D59" s="51">
        <f t="shared" si="342"/>
        <v>0</v>
      </c>
      <c r="E59" s="201">
        <f t="shared" si="343"/>
        <v>0</v>
      </c>
      <c r="F59" s="181">
        <f t="shared" si="45"/>
        <v>0</v>
      </c>
      <c r="G59" s="175">
        <f t="shared" si="324"/>
        <v>0</v>
      </c>
      <c r="H59" s="202">
        <f t="shared" si="324"/>
        <v>0</v>
      </c>
      <c r="I59" s="202">
        <f t="shared" si="324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325"/>
        <v>0</v>
      </c>
      <c r="M59" s="90">
        <f t="shared" si="325"/>
        <v>0</v>
      </c>
      <c r="N59" s="46">
        <f t="shared" si="325"/>
        <v>0</v>
      </c>
      <c r="O59" s="46">
        <f t="shared" ca="1" si="325"/>
        <v>0</v>
      </c>
      <c r="P59" s="47">
        <f t="shared" ca="1" si="39"/>
        <v>0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326"/>
        <v>0</v>
      </c>
      <c r="T59" s="238">
        <f ca="1">SUMIFS(OFFSET(tblForecast,,T$2,,1),OFFSET(tblForecast,,,,1),$B59-IF(CompareVer="LY",1,0)&amp; $C59 &amp;T$4)</f>
        <v>0</v>
      </c>
      <c r="U59" s="91">
        <f t="shared" ca="1" si="7"/>
        <v>0</v>
      </c>
      <c r="V59" s="247">
        <f t="shared" ca="1" si="344"/>
        <v>0</v>
      </c>
      <c r="W59" s="327">
        <f ca="1">IFERROR(IF(R58&lt;&gt;0,R59/R58,X59),0)</f>
        <v>0</v>
      </c>
      <c r="X59" s="248">
        <f t="shared" ca="1" si="345"/>
        <v>0</v>
      </c>
      <c r="Y59" s="51">
        <f t="shared" ca="1" si="327"/>
        <v>0</v>
      </c>
      <c r="Z59" s="46">
        <f t="shared" si="327"/>
        <v>0</v>
      </c>
      <c r="AA59" s="46">
        <f t="shared" si="327"/>
        <v>0</v>
      </c>
      <c r="AB59" s="46">
        <f t="shared" ca="1" si="327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328"/>
        <v>0</v>
      </c>
      <c r="AF59" s="93">
        <f t="shared" si="328"/>
        <v>0</v>
      </c>
      <c r="AG59" s="76">
        <f t="shared" ca="1" si="328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329"/>
        <v>0</v>
      </c>
      <c r="AJ59" s="94">
        <f t="shared" si="329"/>
        <v>0</v>
      </c>
      <c r="AK59" s="49">
        <f ca="1">IFERROR(CF59/BY59,0)</f>
        <v>0</v>
      </c>
      <c r="AL59" s="47">
        <f t="shared" ca="1" si="262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330"/>
        <v>0</v>
      </c>
      <c r="AO59" s="94">
        <f t="shared" si="330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331"/>
        <v>0</v>
      </c>
      <c r="AT59" s="94">
        <f t="shared" si="331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0">
        <f t="shared" ca="1" si="332"/>
        <v>0</v>
      </c>
      <c r="AX59" s="191">
        <f t="shared" si="332"/>
        <v>0</v>
      </c>
      <c r="AY59" s="191">
        <f t="shared" si="332"/>
        <v>0</v>
      </c>
      <c r="AZ59" s="191">
        <f t="shared" ca="1" si="332"/>
        <v>0</v>
      </c>
      <c r="BA59" s="233">
        <f ca="1">IF(BA58+BV59+BL59+BR59-Q59&lt;0,0,BA58+BV59+BL59+BR59-Q59)</f>
        <v>0</v>
      </c>
      <c r="BB59" s="229">
        <f ca="1">IF(IFERROR(VLOOKUP($B59 &amp; $C59&amp;BB$4,tblForecast,BB$2,FALSE),0)=0,BA59,IFERROR(VLOOKUP($B59 &amp; $C59&amp;BB$4,tblForecast,BB$2,FALSE),0))</f>
        <v>0</v>
      </c>
      <c r="BC59" s="229">
        <f ca="1">SUMIFS(OFFSET(tblForecast,,BC$2,,1),OFFSET(tblForecast,,,,1),$B59-IF(CompareVer="LY",1,0)&amp; $C59 &amp;BC$4)</f>
        <v>0</v>
      </c>
      <c r="BD59" s="229">
        <f t="shared" ca="1" si="333"/>
        <v>0</v>
      </c>
      <c r="BE59" s="193">
        <f t="shared" ca="1" si="19"/>
        <v>0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0</v>
      </c>
      <c r="BH59" s="178">
        <f ca="1">IF(Q59&lt;&gt;0,BA59/Q59,0)</f>
        <v>0</v>
      </c>
      <c r="BI59" s="182">
        <f ca="1">IF(T59&lt;&gt;0,BD59/T59,0)</f>
        <v>0</v>
      </c>
      <c r="BJ59" s="194">
        <f t="shared" ca="1" si="334"/>
        <v>0</v>
      </c>
      <c r="BK59" s="50">
        <f t="shared" ca="1" si="335"/>
        <v>0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0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0</v>
      </c>
      <c r="BR59" s="225">
        <f t="shared" si="43"/>
        <v>0</v>
      </c>
      <c r="BS59" s="229">
        <f t="shared" ca="1" si="22"/>
        <v>0</v>
      </c>
      <c r="BT59" s="232">
        <f t="shared" si="336"/>
        <v>0</v>
      </c>
      <c r="BU59" s="229">
        <f t="shared" si="336"/>
        <v>0</v>
      </c>
      <c r="BV59" s="229">
        <f>IF($A59="a",IFERROR(VLOOKUP($B59 &amp; $C59&amp;BV$4,tblForecast,BV$2,FALSE),0),BT59+BU59)</f>
        <v>0</v>
      </c>
      <c r="BW59" s="229">
        <f t="shared" si="337"/>
        <v>0</v>
      </c>
      <c r="BX59" s="229">
        <f t="shared" si="337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338"/>
        <v>0</v>
      </c>
      <c r="CB59" s="46">
        <f t="shared" si="338"/>
        <v>0</v>
      </c>
      <c r="CC59" s="46">
        <f>IF($A59="a",IFERROR(VLOOKUP($B59 &amp; $C59&amp;CC$4,tblForecast,CC$2,FALSE),0),CA59+CB59)</f>
        <v>0</v>
      </c>
      <c r="CD59" s="46">
        <f t="shared" si="339"/>
        <v>0</v>
      </c>
      <c r="CE59" s="46">
        <f t="shared" si="339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340"/>
        <v>0</v>
      </c>
      <c r="CI59" s="46">
        <f t="shared" si="340"/>
        <v>0</v>
      </c>
      <c r="CJ59" s="46">
        <f>IF($A59="a",IFERROR(VLOOKUP($B59 &amp; $C59&amp;CJ$4,tblForecast,CJ$2,FALSE),0),CH59+CI59)</f>
        <v>0</v>
      </c>
      <c r="CK59" s="46">
        <f t="shared" si="341"/>
        <v>0</v>
      </c>
      <c r="CL59" s="46">
        <f t="shared" si="341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>
        <f t="shared" si="310"/>
        <v>0</v>
      </c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6">
        <f>IFERROR(VLOOKUP(Brand&amp;Channel&amp;Country&amp;$C59,tblDiscount,6,FALSE),0)</f>
        <v>0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281</v>
      </c>
      <c r="D60" s="252">
        <f t="shared" ref="D60" si="346">SUM(D56:D59)</f>
        <v>0</v>
      </c>
      <c r="E60" s="253">
        <f t="shared" ref="E60" si="347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348">SUM(M56:M59)</f>
        <v>0</v>
      </c>
      <c r="N60" s="257">
        <f t="shared" si="348"/>
        <v>0</v>
      </c>
      <c r="O60" s="257">
        <f t="shared" ca="1" si="348"/>
        <v>0</v>
      </c>
      <c r="P60" s="258">
        <f t="shared" ca="1" si="39"/>
        <v>0</v>
      </c>
      <c r="Q60" s="259">
        <f t="shared" ref="Q60:S60" ca="1" si="349">SUM(Q56:Q59)</f>
        <v>0</v>
      </c>
      <c r="R60" s="260">
        <f t="shared" si="349"/>
        <v>0</v>
      </c>
      <c r="S60" s="260">
        <f t="shared" si="349"/>
        <v>0</v>
      </c>
      <c r="T60" s="260">
        <f ca="1">SUM(T56:T59)</f>
        <v>0</v>
      </c>
      <c r="U60" s="258">
        <f t="shared" ca="1" si="7"/>
        <v>0</v>
      </c>
      <c r="V60" s="261">
        <f t="shared" ref="V60:X61" ca="1" si="350">V59</f>
        <v>0</v>
      </c>
      <c r="W60" s="325">
        <f t="shared" ca="1" si="350"/>
        <v>0</v>
      </c>
      <c r="X60" s="262">
        <f t="shared" ca="1" si="350"/>
        <v>0</v>
      </c>
      <c r="Y60" s="252">
        <f ca="1">SUM(Y56:Y59)</f>
        <v>0</v>
      </c>
      <c r="Z60" s="257">
        <f t="shared" ref="Z60:AB60" si="351">SUM(Z56:Z59)</f>
        <v>0</v>
      </c>
      <c r="AA60" s="257">
        <f t="shared" si="351"/>
        <v>0</v>
      </c>
      <c r="AB60" s="257">
        <f t="shared" ca="1" si="351"/>
        <v>0</v>
      </c>
      <c r="AC60" s="258">
        <f t="shared" ca="1" si="9"/>
        <v>0</v>
      </c>
      <c r="AD60" s="263">
        <f t="shared" ref="AD60:AG61" ca="1" si="352">IFERROR(Y60/L60,0)</f>
        <v>0</v>
      </c>
      <c r="AE60" s="264">
        <f t="shared" si="352"/>
        <v>0</v>
      </c>
      <c r="AF60" s="264">
        <f t="shared" si="352"/>
        <v>0</v>
      </c>
      <c r="AG60" s="264">
        <f t="shared" ca="1" si="352"/>
        <v>0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353">IFERROR(SUMPRODUCT(AJ56:AJ59,S56:S59)/S60,0)</f>
        <v>0</v>
      </c>
      <c r="AK60" s="266">
        <f t="shared" ca="1" si="353"/>
        <v>0</v>
      </c>
      <c r="AL60" s="258">
        <f t="shared" ca="1" si="262"/>
        <v>0</v>
      </c>
      <c r="AM60" s="265">
        <f t="shared" ref="AM60:AP61" ca="1" si="354">IF(Q60&lt;&gt;0,L60/Q60,0)</f>
        <v>0</v>
      </c>
      <c r="AN60" s="266">
        <f t="shared" si="354"/>
        <v>0</v>
      </c>
      <c r="AO60" s="266">
        <f t="shared" si="354"/>
        <v>0</v>
      </c>
      <c r="AP60" s="266">
        <f t="shared" ca="1" si="354"/>
        <v>0</v>
      </c>
      <c r="AQ60" s="258">
        <f t="shared" ca="1" si="14"/>
        <v>0</v>
      </c>
      <c r="AR60" s="265">
        <f t="shared" ref="AR60:AU61" ca="1" si="355">IFERROR((L60*(1-AD60))/Q60,0)</f>
        <v>0</v>
      </c>
      <c r="AS60" s="266">
        <f t="shared" si="355"/>
        <v>0</v>
      </c>
      <c r="AT60" s="266">
        <f t="shared" si="355"/>
        <v>0</v>
      </c>
      <c r="AU60" s="266">
        <f t="shared" ca="1" si="355"/>
        <v>0</v>
      </c>
      <c r="AV60" s="258">
        <f t="shared" ca="1" si="16"/>
        <v>0</v>
      </c>
      <c r="AW60" s="267">
        <f ca="1">IFERROR(SUMPRODUCT(AW56:AW59,Q56:Q59)/Q60,0)</f>
        <v>0</v>
      </c>
      <c r="AX60" s="268">
        <f t="shared" ref="AX60:AZ60" ca="1" si="356">IFERROR(SUMPRODUCT(AX56:AX59,X56:X59)/X60,0)</f>
        <v>0</v>
      </c>
      <c r="AY60" s="268">
        <f t="shared" ca="1" si="356"/>
        <v>0</v>
      </c>
      <c r="AZ60" s="268">
        <f t="shared" ca="1" si="356"/>
        <v>0</v>
      </c>
      <c r="BA60" s="259">
        <f ca="1">BA59</f>
        <v>0</v>
      </c>
      <c r="BB60" s="260">
        <f t="shared" ref="BB60:BD61" ca="1" si="357">BB59</f>
        <v>0</v>
      </c>
      <c r="BC60" s="260">
        <f t="shared" ca="1" si="357"/>
        <v>0</v>
      </c>
      <c r="BD60" s="260">
        <f t="shared" ca="1" si="357"/>
        <v>0</v>
      </c>
      <c r="BE60" s="258">
        <f t="shared" ca="1" si="19"/>
        <v>0</v>
      </c>
      <c r="BF60" s="260">
        <f>BF59</f>
        <v>0</v>
      </c>
      <c r="BG60" s="260">
        <f ca="1">BG59</f>
        <v>0</v>
      </c>
      <c r="BH60" s="269">
        <f ca="1">IF(Q60&lt;&gt;0,(BA60*COUNTIF(BH56:BH59,"&lt;&gt;0")/Q60),0)</f>
        <v>0</v>
      </c>
      <c r="BI60" s="270">
        <f ca="1">IF(T60&lt;&gt;0,(BD60*COUNTIF(BI56:BI59,"&lt;&gt;0")/T60),0)</f>
        <v>0</v>
      </c>
      <c r="BJ60" s="271">
        <f t="shared" ref="BJ60" ca="1" si="358">IF(BA60&lt;&gt;0,(Q60/COUNTIF(BJ56:BJ59,"&lt;&gt;0"))/BA60,0)</f>
        <v>0</v>
      </c>
      <c r="BK60" s="272">
        <f t="shared" ref="BK60" ca="1" si="359">IF(BD60&lt;&gt;0,(T60/COUNTIF(BK56:BK59,"&lt;&gt;0"))/BD60,0)</f>
        <v>0</v>
      </c>
      <c r="BL60" s="259">
        <f>SUM(BL56:BL59)</f>
        <v>0</v>
      </c>
      <c r="BM60" s="260">
        <f ca="1">SUM(BM56:BM59)</f>
        <v>0</v>
      </c>
      <c r="BN60" s="259">
        <f>SUM(BN56:BN59)</f>
        <v>0</v>
      </c>
      <c r="BO60" s="260">
        <f t="shared" ref="BO60:BQ60" ca="1" si="360">SUM(BO56:BO59)</f>
        <v>0</v>
      </c>
      <c r="BP60" s="259">
        <f>SUM(BP56:BP59)</f>
        <v>0</v>
      </c>
      <c r="BQ60" s="260">
        <f t="shared" ca="1" si="360"/>
        <v>0</v>
      </c>
      <c r="BR60" s="259">
        <f t="shared" si="43"/>
        <v>0</v>
      </c>
      <c r="BS60" s="260">
        <f t="shared" ca="1" si="22"/>
        <v>0</v>
      </c>
      <c r="BT60" s="259">
        <f t="shared" ref="BT60:BY60" si="361">SUM(BT56:BT59)</f>
        <v>0</v>
      </c>
      <c r="BU60" s="260">
        <f t="shared" si="361"/>
        <v>0</v>
      </c>
      <c r="BV60" s="260">
        <f t="shared" si="361"/>
        <v>0</v>
      </c>
      <c r="BW60" s="260">
        <f t="shared" si="361"/>
        <v>0</v>
      </c>
      <c r="BX60" s="260">
        <f t="shared" si="361"/>
        <v>0</v>
      </c>
      <c r="BY60" s="273">
        <f t="shared" ca="1" si="361"/>
        <v>0</v>
      </c>
      <c r="BZ60" s="258">
        <f t="shared" ca="1" si="25"/>
        <v>0</v>
      </c>
      <c r="CA60" s="331">
        <f t="shared" ref="CA60:CF60" si="362">SUM(CA56:CA59)</f>
        <v>0</v>
      </c>
      <c r="CB60" s="257">
        <f t="shared" si="362"/>
        <v>0</v>
      </c>
      <c r="CC60" s="257">
        <f t="shared" si="362"/>
        <v>0</v>
      </c>
      <c r="CD60" s="257">
        <f t="shared" si="362"/>
        <v>0</v>
      </c>
      <c r="CE60" s="257">
        <f t="shared" si="362"/>
        <v>0</v>
      </c>
      <c r="CF60" s="257">
        <f t="shared" ca="1" si="362"/>
        <v>0</v>
      </c>
      <c r="CG60" s="258">
        <f t="shared" ca="1" si="28"/>
        <v>0</v>
      </c>
      <c r="CH60" s="331">
        <f t="shared" ref="CH60:CM60" si="363">SUM(CH56:CH59)</f>
        <v>0</v>
      </c>
      <c r="CI60" s="257">
        <f t="shared" si="363"/>
        <v>0</v>
      </c>
      <c r="CJ60" s="257">
        <f t="shared" si="363"/>
        <v>0</v>
      </c>
      <c r="CK60" s="257">
        <f t="shared" si="363"/>
        <v>0</v>
      </c>
      <c r="CL60" s="257">
        <f t="shared" si="363"/>
        <v>0</v>
      </c>
      <c r="CM60" s="257">
        <f t="shared" ca="1" si="363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>
        <f t="shared" si="310"/>
        <v>0</v>
      </c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:E61" si="364">D49+D55+D60</f>
        <v>0</v>
      </c>
      <c r="E61" s="204">
        <f t="shared" si="364"/>
        <v>0</v>
      </c>
      <c r="F61" s="205">
        <f t="shared" si="45"/>
        <v>0</v>
      </c>
      <c r="G61" s="203">
        <f>G49+G55+G60</f>
        <v>0</v>
      </c>
      <c r="H61" s="206">
        <f>IFERROR(D61/G61,0)</f>
        <v>0</v>
      </c>
      <c r="I61" s="58">
        <f>IFERROR((I49*G49+I55*G55+I60*G60)/G61,0)</f>
        <v>0</v>
      </c>
      <c r="J61" s="203">
        <f t="shared" ref="J61:K61" si="365">J49+J55+J60</f>
        <v>0</v>
      </c>
      <c r="K61" s="298">
        <f t="shared" si="365"/>
        <v>0</v>
      </c>
      <c r="L61" s="53">
        <f ca="1">L49+L55+L60</f>
        <v>0</v>
      </c>
      <c r="M61" s="53">
        <f t="shared" ref="M61:O61" si="366">M49+M55+M60</f>
        <v>0</v>
      </c>
      <c r="N61" s="53">
        <f t="shared" si="366"/>
        <v>0</v>
      </c>
      <c r="O61" s="53">
        <f t="shared" ca="1" si="366"/>
        <v>0</v>
      </c>
      <c r="P61" s="54">
        <f t="shared" ca="1" si="39"/>
        <v>0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0</v>
      </c>
      <c r="U61" s="54">
        <f t="shared" ca="1" si="7"/>
        <v>0</v>
      </c>
      <c r="V61" s="245">
        <f t="shared" ca="1" si="350"/>
        <v>0</v>
      </c>
      <c r="W61" s="326">
        <f t="shared" ca="1" si="350"/>
        <v>0</v>
      </c>
      <c r="X61" s="246">
        <f t="shared" ca="1" si="350"/>
        <v>0</v>
      </c>
      <c r="Y61" s="52">
        <f ca="1">Y49+Y55+Y60</f>
        <v>0</v>
      </c>
      <c r="Z61" s="53">
        <f t="shared" ref="Z61:AB61" si="367">Z49+Z55+Z60</f>
        <v>0</v>
      </c>
      <c r="AA61" s="53">
        <f t="shared" si="367"/>
        <v>0</v>
      </c>
      <c r="AB61" s="53">
        <f t="shared" ca="1" si="367"/>
        <v>0</v>
      </c>
      <c r="AC61" s="54">
        <f t="shared" ca="1" si="9"/>
        <v>0</v>
      </c>
      <c r="AD61" s="77">
        <f t="shared" ca="1" si="352"/>
        <v>0</v>
      </c>
      <c r="AE61" s="78">
        <f t="shared" si="352"/>
        <v>0</v>
      </c>
      <c r="AF61" s="78">
        <f t="shared" si="352"/>
        <v>0</v>
      </c>
      <c r="AG61" s="78">
        <f t="shared" ca="1" si="352"/>
        <v>0</v>
      </c>
      <c r="AH61" s="58">
        <f ca="1">IFERROR((AH49*Q49+AH55*Q55+AH60*Q60)/Q61,0)</f>
        <v>0</v>
      </c>
      <c r="AI61" s="58">
        <f t="shared" ref="AI61:AL61" si="368">IFERROR((AI49*R49+AI55*R55+AI60*R60)/R61,0)</f>
        <v>0</v>
      </c>
      <c r="AJ61" s="58">
        <f t="shared" si="368"/>
        <v>0</v>
      </c>
      <c r="AK61" s="58">
        <f t="shared" ca="1" si="368"/>
        <v>0</v>
      </c>
      <c r="AL61" s="54">
        <f t="shared" ca="1" si="368"/>
        <v>0</v>
      </c>
      <c r="AM61" s="57">
        <f t="shared" ca="1" si="354"/>
        <v>0</v>
      </c>
      <c r="AN61" s="58">
        <f t="shared" si="354"/>
        <v>0</v>
      </c>
      <c r="AO61" s="58">
        <f t="shared" si="354"/>
        <v>0</v>
      </c>
      <c r="AP61" s="58">
        <f t="shared" ca="1" si="354"/>
        <v>0</v>
      </c>
      <c r="AQ61" s="54">
        <f t="shared" ca="1" si="14"/>
        <v>0</v>
      </c>
      <c r="AR61" s="57">
        <f t="shared" ca="1" si="355"/>
        <v>0</v>
      </c>
      <c r="AS61" s="58">
        <f t="shared" si="355"/>
        <v>0</v>
      </c>
      <c r="AT61" s="58">
        <f t="shared" si="355"/>
        <v>0</v>
      </c>
      <c r="AU61" s="58">
        <f t="shared" ca="1" si="355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369">IFERROR((AX49*X49+AX55*X55+AX60*X60)/X61,0)</f>
        <v>0</v>
      </c>
      <c r="AY61" s="60">
        <f t="shared" ca="1" si="369"/>
        <v>0</v>
      </c>
      <c r="AZ61" s="60">
        <f t="shared" ca="1" si="369"/>
        <v>0</v>
      </c>
      <c r="BA61" s="234">
        <f ca="1">BA60</f>
        <v>0</v>
      </c>
      <c r="BB61" s="228">
        <f t="shared" ca="1" si="357"/>
        <v>0</v>
      </c>
      <c r="BC61" s="228">
        <f t="shared" ca="1" si="357"/>
        <v>0</v>
      </c>
      <c r="BD61" s="228">
        <f t="shared" ca="1" si="357"/>
        <v>0</v>
      </c>
      <c r="BE61" s="54">
        <f t="shared" ca="1" si="19"/>
        <v>0</v>
      </c>
      <c r="BF61" s="228">
        <f>BF60</f>
        <v>0</v>
      </c>
      <c r="BG61" s="228">
        <f ca="1">BG60</f>
        <v>0</v>
      </c>
      <c r="BH61" s="62">
        <f ca="1">IF(Q59&lt;&gt;0,(BA61/(Q61/13)),0)</f>
        <v>0</v>
      </c>
      <c r="BI61" s="132">
        <f ca="1">IF(T59&lt;&gt;0,(BD61/(T61/13)),0)</f>
        <v>0</v>
      </c>
      <c r="BJ61" s="189">
        <f t="shared" ref="BJ61" ca="1" si="370">IF(BA61&lt;&gt;0,(Q61/13)/BA61,0)</f>
        <v>0</v>
      </c>
      <c r="BK61" s="61">
        <f t="shared" ref="BK61" ca="1" si="371">IF(BD61&lt;&gt;0,(T61/13)/BD61,0)</f>
        <v>0</v>
      </c>
      <c r="BL61" s="227">
        <f t="shared" ref="BL61:BY61" si="372">BL49+BL55+BL60</f>
        <v>0</v>
      </c>
      <c r="BM61" s="228">
        <f t="shared" ca="1" si="372"/>
        <v>0</v>
      </c>
      <c r="BN61" s="227">
        <f t="shared" si="372"/>
        <v>0</v>
      </c>
      <c r="BO61" s="228">
        <f t="shared" ca="1" si="372"/>
        <v>0</v>
      </c>
      <c r="BP61" s="227">
        <f t="shared" si="372"/>
        <v>0</v>
      </c>
      <c r="BQ61" s="228">
        <f t="shared" ca="1" si="372"/>
        <v>0</v>
      </c>
      <c r="BR61" s="227">
        <f t="shared" si="43"/>
        <v>0</v>
      </c>
      <c r="BS61" s="228">
        <f t="shared" ca="1" si="22"/>
        <v>0</v>
      </c>
      <c r="BT61" s="227">
        <f t="shared" si="372"/>
        <v>0</v>
      </c>
      <c r="BU61" s="228">
        <f t="shared" si="372"/>
        <v>0</v>
      </c>
      <c r="BV61" s="228">
        <f t="shared" si="372"/>
        <v>0</v>
      </c>
      <c r="BW61" s="228">
        <f t="shared" si="372"/>
        <v>0</v>
      </c>
      <c r="BX61" s="228">
        <f t="shared" si="372"/>
        <v>0</v>
      </c>
      <c r="BY61" s="56">
        <f t="shared" ca="1" si="372"/>
        <v>0</v>
      </c>
      <c r="BZ61" s="54">
        <f t="shared" ca="1" si="25"/>
        <v>0</v>
      </c>
      <c r="CA61" s="332">
        <f t="shared" ref="CA61:CF61" si="373">CA49+CA55+CA60</f>
        <v>0</v>
      </c>
      <c r="CB61" s="53">
        <f t="shared" si="373"/>
        <v>0</v>
      </c>
      <c r="CC61" s="53">
        <f t="shared" si="373"/>
        <v>0</v>
      </c>
      <c r="CD61" s="53">
        <f t="shared" si="373"/>
        <v>0</v>
      </c>
      <c r="CE61" s="53">
        <f t="shared" si="373"/>
        <v>0</v>
      </c>
      <c r="CF61" s="53">
        <f t="shared" ca="1" si="373"/>
        <v>0</v>
      </c>
      <c r="CG61" s="54">
        <f t="shared" ca="1" si="28"/>
        <v>0</v>
      </c>
      <c r="CH61" s="332">
        <f t="shared" ref="CH61:CM61" si="374">CH49+CH55+CH60</f>
        <v>0</v>
      </c>
      <c r="CI61" s="53">
        <f t="shared" si="374"/>
        <v>0</v>
      </c>
      <c r="CJ61" s="53">
        <f t="shared" si="374"/>
        <v>0</v>
      </c>
      <c r="CK61" s="53">
        <f t="shared" si="374"/>
        <v>0</v>
      </c>
      <c r="CL61" s="53">
        <f t="shared" si="374"/>
        <v>0</v>
      </c>
      <c r="CM61" s="53">
        <f t="shared" ca="1" si="374"/>
        <v>0</v>
      </c>
      <c r="CN61" s="54">
        <f t="shared" ca="1" si="31"/>
        <v>0</v>
      </c>
      <c r="CO61" s="55">
        <f t="shared" si="46"/>
        <v>0</v>
      </c>
      <c r="CP61" s="222">
        <f t="shared" ca="1" si="46"/>
        <v>0</v>
      </c>
      <c r="CQ61" s="54">
        <f t="shared" ca="1" si="33"/>
        <v>0</v>
      </c>
      <c r="CR61" s="55">
        <f t="shared" si="44"/>
        <v>0</v>
      </c>
      <c r="CS61" s="222">
        <f t="shared" ca="1" si="34"/>
        <v>0</v>
      </c>
      <c r="CT61" s="54">
        <f t="shared" ca="1" si="47"/>
        <v>0</v>
      </c>
      <c r="CU61" s="44">
        <f t="shared" si="310"/>
        <v>0</v>
      </c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6"/>
      <c r="DA61" s="277"/>
      <c r="DB61" s="277"/>
      <c r="DC61" s="278"/>
    </row>
    <row r="62" spans="1:107" x14ac:dyDescent="0.25">
      <c r="A62" s="44" t="s">
        <v>478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375">IFERROR(VLOOKUP($B62 &amp; $C62&amp;G$4&amp;$A62,tblForecast,G$2,FALSE),0)</f>
        <v>0</v>
      </c>
      <c r="H62" s="202">
        <f t="shared" si="375"/>
        <v>0</v>
      </c>
      <c r="I62" s="202">
        <f t="shared" si="375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376">Q62*AM62</f>
        <v>0</v>
      </c>
      <c r="M62" s="90">
        <f t="shared" si="376"/>
        <v>0</v>
      </c>
      <c r="N62" s="46">
        <f t="shared" si="376"/>
        <v>0</v>
      </c>
      <c r="O62" s="46">
        <f t="shared" ca="1" si="376"/>
        <v>0</v>
      </c>
      <c r="P62" s="47">
        <f t="shared" ca="1" si="39"/>
        <v>0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377">IFERROR(VLOOKUP($B62 &amp; $C62&amp;S$4,tblForecast,S$2,FALSE),0)</f>
        <v>0</v>
      </c>
      <c r="T62" s="238">
        <f ca="1">SUMIFS(OFFSET(tblForecast,,T$2,,1),OFFSET(tblForecast,,,,1),$B62-IF(CompareVer="LY",1,0)&amp; $C62 &amp;T$4)</f>
        <v>0</v>
      </c>
      <c r="U62" s="91">
        <f t="shared" ca="1" si="7"/>
        <v>0</v>
      </c>
      <c r="V62" s="247">
        <f ca="1">IFERROR(IF(Q59&lt;&gt;0,Q62/Q59,0),0)</f>
        <v>0</v>
      </c>
      <c r="W62" s="327">
        <f ca="1">IFERROR(IF(R59&lt;&gt;0,R62/R59,X62),0)</f>
        <v>0</v>
      </c>
      <c r="X62" s="248">
        <f ca="1">IFERROR(IF(T59&lt;&gt;0,T62/T59,0),0)</f>
        <v>0</v>
      </c>
      <c r="Y62" s="51">
        <f t="shared" ref="Y62:AB65" ca="1" si="378">IFERROR(L62*AD62,0)</f>
        <v>0</v>
      </c>
      <c r="Z62" s="46">
        <f t="shared" si="378"/>
        <v>0</v>
      </c>
      <c r="AA62" s="46">
        <f t="shared" si="378"/>
        <v>0</v>
      </c>
      <c r="AB62" s="46">
        <f t="shared" ca="1" si="378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379">IF(AN62&lt;&gt;0,1-AS62/AN62,0)</f>
        <v>0</v>
      </c>
      <c r="AF62" s="93">
        <f t="shared" si="379"/>
        <v>0</v>
      </c>
      <c r="AG62" s="76">
        <f t="shared" ca="1" si="379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380">IFERROR(VLOOKUP($B62 &amp; $C62&amp;AI$4,tblForecast,AI$2,FALSE),0)</f>
        <v>0</v>
      </c>
      <c r="AJ62" s="94">
        <f t="shared" si="380"/>
        <v>0</v>
      </c>
      <c r="AK62" s="49">
        <f ca="1">IFERROR(CF62/BY62,0)</f>
        <v>0</v>
      </c>
      <c r="AL62" s="47">
        <f t="shared" ref="AL62:AL94" ca="1" si="381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382">IFERROR(VLOOKUP($B62 &amp; $C62&amp;AN$4,tblForecast,AN$2,FALSE),0)</f>
        <v>0</v>
      </c>
      <c r="AO62" s="94">
        <f t="shared" si="382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383">IFERROR(VLOOKUP($B62 &amp; $C62&amp;AS$4,tblForecast,AS$2,FALSE),0)</f>
        <v>0</v>
      </c>
      <c r="AT62" s="94">
        <f t="shared" si="383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0">
        <f t="shared" ref="AW62:AZ65" ca="1" si="384">IFERROR((AM62/AH62-1)*-1,0)</f>
        <v>0</v>
      </c>
      <c r="AX62" s="191">
        <f t="shared" si="384"/>
        <v>0</v>
      </c>
      <c r="AY62" s="191">
        <f t="shared" si="384"/>
        <v>0</v>
      </c>
      <c r="AZ62" s="191">
        <f t="shared" ca="1" si="384"/>
        <v>0</v>
      </c>
      <c r="BA62" s="233">
        <f ca="1">IF(BA61+BV62+BL62+BR62-Q62&lt;0,0,BA61+BV62+BL62+BR62-Q62)</f>
        <v>0</v>
      </c>
      <c r="BB62" s="229">
        <f ca="1">IF(IFERROR(VLOOKUP($B62 &amp; $C62&amp;BB$4,tblForecast,BB$2,FALSE),0)=0,BA62,IFERROR(VLOOKUP($B62 &amp; $C62&amp;BB$4,tblForecast,BB$2,FALSE),0))</f>
        <v>0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385">CX62+BG62</f>
        <v>0</v>
      </c>
      <c r="BE62" s="193">
        <f t="shared" ca="1" si="19"/>
        <v>0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0</v>
      </c>
      <c r="BH62" s="178">
        <f ca="1">IF(Q62&lt;&gt;0,BA62/Q62,0)</f>
        <v>0</v>
      </c>
      <c r="BI62" s="182">
        <f ca="1">IF(T62&lt;&gt;0,BD62/T62,0)</f>
        <v>0</v>
      </c>
      <c r="BJ62" s="194">
        <f t="shared" ref="BJ62:BJ65" ca="1" si="386">IF(BA62&lt;&gt;0,Q62/BA62,0)</f>
        <v>0</v>
      </c>
      <c r="BK62" s="50">
        <f t="shared" ref="BK62:BK65" ca="1" si="387">IF(BD62&lt;&gt;0,T62/BD62,0)</f>
        <v>0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0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0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0</v>
      </c>
      <c r="BR62" s="225">
        <f t="shared" si="43"/>
        <v>0</v>
      </c>
      <c r="BS62" s="229">
        <f t="shared" ca="1" si="22"/>
        <v>0</v>
      </c>
      <c r="BT62" s="232">
        <f t="shared" ref="BT62:BU65" si="388">IFERROR(VLOOKUP($B62 &amp; $C62&amp;BT$4,tblForecast,BT$2,FALSE),0)</f>
        <v>0</v>
      </c>
      <c r="BU62" s="229">
        <f t="shared" si="388"/>
        <v>0</v>
      </c>
      <c r="BV62" s="229">
        <f>IF($A62="a",IFERROR(VLOOKUP($B62 &amp; $C62&amp;BV$4,tblForecast,BV$2,FALSE),0),BT62+BU62)</f>
        <v>0</v>
      </c>
      <c r="BW62" s="229">
        <f t="shared" ref="BW62:BX65" si="389">IFERROR(VLOOKUP($B62 &amp; $C62&amp;BW$4,tblForecast,BW$2,FALSE),0)</f>
        <v>0</v>
      </c>
      <c r="BX62" s="229">
        <f t="shared" si="389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390">IFERROR(VLOOKUP($B62 &amp; $C62&amp;CA$4,tblForecast,CA$2,FALSE),0)</f>
        <v>0</v>
      </c>
      <c r="CB62" s="46">
        <f t="shared" si="390"/>
        <v>0</v>
      </c>
      <c r="CC62" s="46">
        <f>IF($A62="a",IFERROR(VLOOKUP($B62 &amp; $C62&amp;CC$4,tblForecast,CC$2,FALSE),0),CA62+CB62)</f>
        <v>0</v>
      </c>
      <c r="CD62" s="46">
        <f t="shared" ref="CD62:CE65" si="391">IFERROR(VLOOKUP($B62 &amp; $C62&amp;CD$4,tblForecast,CD$2,FALSE),0)</f>
        <v>0</v>
      </c>
      <c r="CE62" s="46">
        <f t="shared" si="391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392">IFERROR(VLOOKUP($B62 &amp; $C62&amp;CH$4,tblForecast,CH$2,FALSE),0)</f>
        <v>0</v>
      </c>
      <c r="CI62" s="46">
        <f t="shared" si="392"/>
        <v>0</v>
      </c>
      <c r="CJ62" s="46">
        <f>IF($A62="a",IFERROR(VLOOKUP($B62 &amp; $C62&amp;CJ$4,tblForecast,CJ$2,FALSE),0),CH62+CI62)</f>
        <v>0</v>
      </c>
      <c r="CK62" s="46">
        <f t="shared" ref="CK62:CL65" si="393">IFERROR(VLOOKUP($B62 &amp; $C62&amp;CK$4,tblForecast,CK$2,FALSE),0)</f>
        <v>0</v>
      </c>
      <c r="CL62" s="46">
        <f t="shared" si="393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>
        <f t="shared" si="310"/>
        <v>0</v>
      </c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6">
        <f>IFERROR(VLOOKUP(Brand&amp;Channel&amp;Country&amp;$C62,tblDiscount,6,FALSE),0)</f>
        <v>0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478</v>
      </c>
      <c r="B63" s="44">
        <v>2018</v>
      </c>
      <c r="C63" s="88">
        <v>41</v>
      </c>
      <c r="D63" s="51">
        <f t="shared" ref="D63:D65" si="394">G63*H63</f>
        <v>0</v>
      </c>
      <c r="E63" s="201">
        <f t="shared" ref="E63:E65" si="395">IFERROR(D63*F63,0)</f>
        <v>0</v>
      </c>
      <c r="F63" s="181">
        <f t="shared" si="45"/>
        <v>0</v>
      </c>
      <c r="G63" s="175">
        <f t="shared" si="375"/>
        <v>0</v>
      </c>
      <c r="H63" s="202">
        <f t="shared" si="375"/>
        <v>0</v>
      </c>
      <c r="I63" s="202">
        <f t="shared" si="375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376"/>
        <v>0</v>
      </c>
      <c r="M63" s="90">
        <f t="shared" si="376"/>
        <v>0</v>
      </c>
      <c r="N63" s="46">
        <f t="shared" si="376"/>
        <v>0</v>
      </c>
      <c r="O63" s="46">
        <f t="shared" ca="1" si="376"/>
        <v>0</v>
      </c>
      <c r="P63" s="47">
        <f t="shared" ca="1" si="39"/>
        <v>0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377"/>
        <v>0</v>
      </c>
      <c r="T63" s="238">
        <f ca="1">SUMIFS(OFFSET(tblForecast,,T$2,,1),OFFSET(tblForecast,,,,1),$B63-IF(CompareVer="LY",1,0)&amp; $C63 &amp;T$4)</f>
        <v>0</v>
      </c>
      <c r="U63" s="91">
        <f t="shared" ca="1" si="7"/>
        <v>0</v>
      </c>
      <c r="V63" s="247">
        <f t="shared" ref="V63:V65" ca="1" si="396">IFERROR(IF(Q62&lt;&gt;0,Q63/Q62,0),0)</f>
        <v>0</v>
      </c>
      <c r="W63" s="327">
        <f ca="1">IFERROR(IF(R62&lt;&gt;0,R63/R62,X63),0)</f>
        <v>0</v>
      </c>
      <c r="X63" s="248">
        <f ca="1">IFERROR(IF(T62&lt;&gt;0,T63/T62,0),0)</f>
        <v>0</v>
      </c>
      <c r="Y63" s="51">
        <f t="shared" ca="1" si="378"/>
        <v>0</v>
      </c>
      <c r="Z63" s="46">
        <f t="shared" si="378"/>
        <v>0</v>
      </c>
      <c r="AA63" s="46">
        <f t="shared" si="378"/>
        <v>0</v>
      </c>
      <c r="AB63" s="46">
        <f t="shared" ca="1" si="378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379"/>
        <v>0</v>
      </c>
      <c r="AF63" s="93">
        <f t="shared" si="379"/>
        <v>0</v>
      </c>
      <c r="AG63" s="76">
        <f t="shared" ca="1" si="379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380"/>
        <v>0</v>
      </c>
      <c r="AJ63" s="94">
        <f t="shared" si="380"/>
        <v>0</v>
      </c>
      <c r="AK63" s="49">
        <f ca="1">IFERROR(CF63/BY63,0)</f>
        <v>0</v>
      </c>
      <c r="AL63" s="47">
        <f t="shared" ca="1" si="381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382"/>
        <v>0</v>
      </c>
      <c r="AO63" s="94">
        <f t="shared" si="382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383"/>
        <v>0</v>
      </c>
      <c r="AT63" s="94">
        <f t="shared" si="383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0">
        <f t="shared" ca="1" si="384"/>
        <v>0</v>
      </c>
      <c r="AX63" s="191">
        <f t="shared" si="384"/>
        <v>0</v>
      </c>
      <c r="AY63" s="191">
        <f t="shared" si="384"/>
        <v>0</v>
      </c>
      <c r="AZ63" s="191">
        <f t="shared" ca="1" si="384"/>
        <v>0</v>
      </c>
      <c r="BA63" s="233">
        <f ca="1">IF(BA62+BV63+BL63+BR63-Q63&lt;0,0,BA62+BV63+BL63+BR63-Q63)</f>
        <v>0</v>
      </c>
      <c r="BB63" s="229">
        <f ca="1">IF(IFERROR(VLOOKUP($B63 &amp; $C63&amp;BB$4,tblForecast,BB$2,FALSE),0)=0,BA63,IFERROR(VLOOKUP($B63 &amp; $C63&amp;BB$4,tblForecast,BB$2,FALSE),0))</f>
        <v>0</v>
      </c>
      <c r="BC63" s="229">
        <f ca="1">SUMIFS(OFFSET(tblForecast,,BC$2,,1),OFFSET(tblForecast,,,,1),$B63-IF(CompareVer="LY",1,0)&amp; $C63 &amp;BC$4)</f>
        <v>0</v>
      </c>
      <c r="BD63" s="229">
        <f t="shared" ca="1" si="385"/>
        <v>0</v>
      </c>
      <c r="BE63" s="193">
        <f t="shared" ca="1" si="19"/>
        <v>0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0</v>
      </c>
      <c r="BH63" s="178">
        <f ca="1">IF(Q63&lt;&gt;0,BA63/Q63,0)</f>
        <v>0</v>
      </c>
      <c r="BI63" s="182">
        <f ca="1">IF(T63&lt;&gt;0,BD63/T63,0)</f>
        <v>0</v>
      </c>
      <c r="BJ63" s="194">
        <f t="shared" ca="1" si="386"/>
        <v>0</v>
      </c>
      <c r="BK63" s="50">
        <f t="shared" ca="1" si="387"/>
        <v>0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0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0</v>
      </c>
      <c r="BR63" s="225">
        <f t="shared" si="43"/>
        <v>0</v>
      </c>
      <c r="BS63" s="229">
        <f t="shared" ca="1" si="22"/>
        <v>0</v>
      </c>
      <c r="BT63" s="232">
        <f t="shared" si="388"/>
        <v>0</v>
      </c>
      <c r="BU63" s="229">
        <f t="shared" si="388"/>
        <v>0</v>
      </c>
      <c r="BV63" s="229">
        <f>IF($A63="a",IFERROR(VLOOKUP($B63 &amp; $C63&amp;BV$4,tblForecast,BV$2,FALSE),0),BT63+BU63)</f>
        <v>0</v>
      </c>
      <c r="BW63" s="229">
        <f t="shared" si="389"/>
        <v>0</v>
      </c>
      <c r="BX63" s="229">
        <f t="shared" si="389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390"/>
        <v>0</v>
      </c>
      <c r="CB63" s="46">
        <f t="shared" si="390"/>
        <v>0</v>
      </c>
      <c r="CC63" s="46">
        <f>IF($A63="a",IFERROR(VLOOKUP($B63 &amp; $C63&amp;CC$4,tblForecast,CC$2,FALSE),0),CA63+CB63)</f>
        <v>0</v>
      </c>
      <c r="CD63" s="46">
        <f t="shared" si="391"/>
        <v>0</v>
      </c>
      <c r="CE63" s="46">
        <f t="shared" si="391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392"/>
        <v>0</v>
      </c>
      <c r="CI63" s="46">
        <f t="shared" si="392"/>
        <v>0</v>
      </c>
      <c r="CJ63" s="46">
        <f>IF($A63="a",IFERROR(VLOOKUP($B63 &amp; $C63&amp;CJ$4,tblForecast,CJ$2,FALSE),0),CH63+CI63)</f>
        <v>0</v>
      </c>
      <c r="CK63" s="46">
        <f t="shared" si="393"/>
        <v>0</v>
      </c>
      <c r="CL63" s="46">
        <f t="shared" si="393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>
        <f t="shared" si="310"/>
        <v>0</v>
      </c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6">
        <f>IFERROR(VLOOKUP(Brand&amp;Channel&amp;Country&amp;$C63,tblDiscount,6,FALSE),0)</f>
        <v>0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478</v>
      </c>
      <c r="B64" s="44">
        <v>2018</v>
      </c>
      <c r="C64" s="88">
        <v>42</v>
      </c>
      <c r="D64" s="51">
        <f t="shared" si="394"/>
        <v>0</v>
      </c>
      <c r="E64" s="201">
        <f t="shared" si="395"/>
        <v>0</v>
      </c>
      <c r="F64" s="181">
        <f t="shared" si="45"/>
        <v>0</v>
      </c>
      <c r="G64" s="175">
        <f t="shared" si="375"/>
        <v>0</v>
      </c>
      <c r="H64" s="202">
        <f t="shared" si="375"/>
        <v>0</v>
      </c>
      <c r="I64" s="202">
        <f t="shared" si="375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376"/>
        <v>0</v>
      </c>
      <c r="M64" s="90">
        <f t="shared" si="376"/>
        <v>0</v>
      </c>
      <c r="N64" s="46">
        <f t="shared" si="376"/>
        <v>0</v>
      </c>
      <c r="O64" s="46">
        <f t="shared" ca="1" si="376"/>
        <v>0</v>
      </c>
      <c r="P64" s="47">
        <f t="shared" ca="1" si="39"/>
        <v>0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377"/>
        <v>0</v>
      </c>
      <c r="T64" s="238">
        <f ca="1">SUMIFS(OFFSET(tblForecast,,T$2,,1),OFFSET(tblForecast,,,,1),$B64-IF(CompareVer="LY",1,0)&amp; $C64 &amp;T$4)</f>
        <v>0</v>
      </c>
      <c r="U64" s="91">
        <f t="shared" ca="1" si="7"/>
        <v>0</v>
      </c>
      <c r="V64" s="247">
        <f t="shared" ca="1" si="396"/>
        <v>0</v>
      </c>
      <c r="W64" s="327">
        <f ca="1">IFERROR(IF(R63&lt;&gt;0,R64/R63,X64),0)</f>
        <v>0</v>
      </c>
      <c r="X64" s="248">
        <f ca="1">IFERROR(IF(T63&lt;&gt;0,T64/T63,0),0)</f>
        <v>0</v>
      </c>
      <c r="Y64" s="51">
        <f t="shared" ca="1" si="378"/>
        <v>0</v>
      </c>
      <c r="Z64" s="46">
        <f t="shared" si="378"/>
        <v>0</v>
      </c>
      <c r="AA64" s="46">
        <f t="shared" si="378"/>
        <v>0</v>
      </c>
      <c r="AB64" s="46">
        <f t="shared" ca="1" si="378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379"/>
        <v>0</v>
      </c>
      <c r="AF64" s="93">
        <f t="shared" si="379"/>
        <v>0</v>
      </c>
      <c r="AG64" s="76">
        <f t="shared" ca="1" si="379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380"/>
        <v>0</v>
      </c>
      <c r="AJ64" s="94">
        <f t="shared" si="380"/>
        <v>0</v>
      </c>
      <c r="AK64" s="49">
        <f ca="1">IFERROR(CF64/BY64,0)</f>
        <v>0</v>
      </c>
      <c r="AL64" s="47">
        <f t="shared" ca="1" si="381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382"/>
        <v>0</v>
      </c>
      <c r="AO64" s="94">
        <f t="shared" si="382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383"/>
        <v>0</v>
      </c>
      <c r="AT64" s="94">
        <f t="shared" si="383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0">
        <f t="shared" ca="1" si="384"/>
        <v>0</v>
      </c>
      <c r="AX64" s="191">
        <f t="shared" si="384"/>
        <v>0</v>
      </c>
      <c r="AY64" s="191">
        <f t="shared" si="384"/>
        <v>0</v>
      </c>
      <c r="AZ64" s="191">
        <f t="shared" ca="1" si="384"/>
        <v>0</v>
      </c>
      <c r="BA64" s="233">
        <f ca="1">IF(BA63+BV64+BL64+BR64-Q64&lt;0,0,BA63+BV64+BL64+BR64-Q64)</f>
        <v>0</v>
      </c>
      <c r="BB64" s="229">
        <f ca="1">IF(IFERROR(VLOOKUP($B64 &amp; $C64&amp;BB$4,tblForecast,BB$2,FALSE),0)=0,BA64,IFERROR(VLOOKUP($B64 &amp; $C64&amp;BB$4,tblForecast,BB$2,FALSE),0))</f>
        <v>0</v>
      </c>
      <c r="BC64" s="229">
        <f ca="1">SUMIFS(OFFSET(tblForecast,,BC$2,,1),OFFSET(tblForecast,,,,1),$B64-IF(CompareVer="LY",1,0)&amp; $C64 &amp;BC$4)</f>
        <v>0</v>
      </c>
      <c r="BD64" s="229">
        <f t="shared" ca="1" si="385"/>
        <v>0</v>
      </c>
      <c r="BE64" s="193">
        <f t="shared" ca="1" si="19"/>
        <v>0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0</v>
      </c>
      <c r="BH64" s="178">
        <f ca="1">IF(Q64&lt;&gt;0,BA64/Q64,0)</f>
        <v>0</v>
      </c>
      <c r="BI64" s="182">
        <f ca="1">IF(T64&lt;&gt;0,BD64/T64,0)</f>
        <v>0</v>
      </c>
      <c r="BJ64" s="194">
        <f t="shared" ca="1" si="386"/>
        <v>0</v>
      </c>
      <c r="BK64" s="50">
        <f t="shared" ca="1" si="387"/>
        <v>0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0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0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0</v>
      </c>
      <c r="BR64" s="225">
        <f t="shared" si="43"/>
        <v>0</v>
      </c>
      <c r="BS64" s="229">
        <f t="shared" ca="1" si="22"/>
        <v>0</v>
      </c>
      <c r="BT64" s="232">
        <f t="shared" si="388"/>
        <v>0</v>
      </c>
      <c r="BU64" s="229">
        <f t="shared" si="388"/>
        <v>0</v>
      </c>
      <c r="BV64" s="229">
        <f>IF($A64="a",IFERROR(VLOOKUP($B64 &amp; $C64&amp;BV$4,tblForecast,BV$2,FALSE),0),BT64+BU64)</f>
        <v>0</v>
      </c>
      <c r="BW64" s="229">
        <f t="shared" si="389"/>
        <v>0</v>
      </c>
      <c r="BX64" s="229">
        <f t="shared" si="389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390"/>
        <v>0</v>
      </c>
      <c r="CB64" s="46">
        <f t="shared" si="390"/>
        <v>0</v>
      </c>
      <c r="CC64" s="46">
        <f>IF($A64="a",IFERROR(VLOOKUP($B64 &amp; $C64&amp;CC$4,tblForecast,CC$2,FALSE),0),CA64+CB64)</f>
        <v>0</v>
      </c>
      <c r="CD64" s="46">
        <f t="shared" si="391"/>
        <v>0</v>
      </c>
      <c r="CE64" s="46">
        <f t="shared" si="391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392"/>
        <v>0</v>
      </c>
      <c r="CI64" s="46">
        <f t="shared" si="392"/>
        <v>0</v>
      </c>
      <c r="CJ64" s="46">
        <f>IF($A64="a",IFERROR(VLOOKUP($B64 &amp; $C64&amp;CJ$4,tblForecast,CJ$2,FALSE),0),CH64+CI64)</f>
        <v>0</v>
      </c>
      <c r="CK64" s="46">
        <f t="shared" si="393"/>
        <v>0</v>
      </c>
      <c r="CL64" s="46">
        <f t="shared" si="393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>
        <f t="shared" si="310"/>
        <v>0</v>
      </c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6">
        <f>IFERROR(VLOOKUP(Brand&amp;Channel&amp;Country&amp;$C64,tblDiscount,6,FALSE),0)</f>
        <v>0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478</v>
      </c>
      <c r="B65" s="44">
        <v>2018</v>
      </c>
      <c r="C65" s="88">
        <v>43</v>
      </c>
      <c r="D65" s="51">
        <f t="shared" si="394"/>
        <v>0</v>
      </c>
      <c r="E65" s="201">
        <f t="shared" si="395"/>
        <v>0</v>
      </c>
      <c r="F65" s="181">
        <f t="shared" si="45"/>
        <v>0</v>
      </c>
      <c r="G65" s="175">
        <f t="shared" si="375"/>
        <v>0</v>
      </c>
      <c r="H65" s="202">
        <f t="shared" si="375"/>
        <v>0</v>
      </c>
      <c r="I65" s="202">
        <f t="shared" si="375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376"/>
        <v>0</v>
      </c>
      <c r="M65" s="90">
        <f t="shared" si="376"/>
        <v>0</v>
      </c>
      <c r="N65" s="46">
        <f t="shared" si="376"/>
        <v>0</v>
      </c>
      <c r="O65" s="46">
        <f t="shared" ca="1" si="376"/>
        <v>0</v>
      </c>
      <c r="P65" s="47">
        <f t="shared" ca="1" si="39"/>
        <v>0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377"/>
        <v>0</v>
      </c>
      <c r="T65" s="238">
        <f ca="1">SUMIFS(OFFSET(tblForecast,,T$2,,1),OFFSET(tblForecast,,,,1),$B65-IF(CompareVer="LY",1,0)&amp; $C65 &amp;T$4)</f>
        <v>0</v>
      </c>
      <c r="U65" s="91">
        <f t="shared" ca="1" si="7"/>
        <v>0</v>
      </c>
      <c r="V65" s="247">
        <f t="shared" ca="1" si="396"/>
        <v>0</v>
      </c>
      <c r="W65" s="327">
        <f ca="1">IFERROR(IF(R64&lt;&gt;0,R65/R64,X65),0)</f>
        <v>0</v>
      </c>
      <c r="X65" s="248">
        <f ca="1">IFERROR(IF(T64&lt;&gt;0,T65/T64,0),0)</f>
        <v>0</v>
      </c>
      <c r="Y65" s="51">
        <f t="shared" ca="1" si="378"/>
        <v>0</v>
      </c>
      <c r="Z65" s="46">
        <f t="shared" si="378"/>
        <v>0</v>
      </c>
      <c r="AA65" s="46">
        <f t="shared" si="378"/>
        <v>0</v>
      </c>
      <c r="AB65" s="46">
        <f t="shared" ca="1" si="378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379"/>
        <v>0</v>
      </c>
      <c r="AF65" s="93">
        <f t="shared" si="379"/>
        <v>0</v>
      </c>
      <c r="AG65" s="76">
        <f t="shared" ca="1" si="379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380"/>
        <v>0</v>
      </c>
      <c r="AJ65" s="94">
        <f t="shared" si="380"/>
        <v>0</v>
      </c>
      <c r="AK65" s="49">
        <f ca="1">IFERROR(CF65/BY65,0)</f>
        <v>0</v>
      </c>
      <c r="AL65" s="47">
        <f t="shared" ca="1" si="381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382"/>
        <v>0</v>
      </c>
      <c r="AO65" s="94">
        <f t="shared" si="382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383"/>
        <v>0</v>
      </c>
      <c r="AT65" s="94">
        <f t="shared" si="383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0">
        <f t="shared" ca="1" si="384"/>
        <v>0</v>
      </c>
      <c r="AX65" s="191">
        <f t="shared" si="384"/>
        <v>0</v>
      </c>
      <c r="AY65" s="191">
        <f t="shared" si="384"/>
        <v>0</v>
      </c>
      <c r="AZ65" s="191">
        <f t="shared" ca="1" si="384"/>
        <v>0</v>
      </c>
      <c r="BA65" s="233">
        <f ca="1">IF(BA64+BV65+BL65+BR65-Q65&lt;0,0,BA64+BV65+BL65+BR65-Q65)</f>
        <v>0</v>
      </c>
      <c r="BB65" s="229">
        <f ca="1">IF(IFERROR(VLOOKUP($B65 &amp; $C65&amp;BB$4,tblForecast,BB$2,FALSE),0)=0,BA65,IFERROR(VLOOKUP($B65 &amp; $C65&amp;BB$4,tblForecast,BB$2,FALSE),0))</f>
        <v>0</v>
      </c>
      <c r="BC65" s="229">
        <f ca="1">SUMIFS(OFFSET(tblForecast,,BC$2,,1),OFFSET(tblForecast,,,,1),$B65-IF(CompareVer="LY",1,0)&amp; $C65 &amp;BC$4)</f>
        <v>0</v>
      </c>
      <c r="BD65" s="229">
        <f t="shared" ca="1" si="385"/>
        <v>0</v>
      </c>
      <c r="BE65" s="193">
        <f t="shared" ca="1" si="19"/>
        <v>0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0</v>
      </c>
      <c r="BH65" s="178">
        <f ca="1">IF(Q65&lt;&gt;0,BA65/Q65,0)</f>
        <v>0</v>
      </c>
      <c r="BI65" s="182">
        <f ca="1">IF(T65&lt;&gt;0,BD65/T65,0)</f>
        <v>0</v>
      </c>
      <c r="BJ65" s="194">
        <f t="shared" ca="1" si="386"/>
        <v>0</v>
      </c>
      <c r="BK65" s="50">
        <f t="shared" ca="1" si="387"/>
        <v>0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0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0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0</v>
      </c>
      <c r="BR65" s="225">
        <f t="shared" si="43"/>
        <v>0</v>
      </c>
      <c r="BS65" s="229">
        <f t="shared" ca="1" si="22"/>
        <v>0</v>
      </c>
      <c r="BT65" s="232">
        <f t="shared" si="388"/>
        <v>0</v>
      </c>
      <c r="BU65" s="229">
        <f t="shared" si="388"/>
        <v>0</v>
      </c>
      <c r="BV65" s="229">
        <f>IF($A65="a",IFERROR(VLOOKUP($B65 &amp; $C65&amp;BV$4,tblForecast,BV$2,FALSE),0),BT65+BU65)</f>
        <v>0</v>
      </c>
      <c r="BW65" s="229">
        <f t="shared" si="389"/>
        <v>0</v>
      </c>
      <c r="BX65" s="229">
        <f t="shared" si="389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390"/>
        <v>0</v>
      </c>
      <c r="CB65" s="46">
        <f t="shared" si="390"/>
        <v>0</v>
      </c>
      <c r="CC65" s="46">
        <f>IF($A65="a",IFERROR(VLOOKUP($B65 &amp; $C65&amp;CC$4,tblForecast,CC$2,FALSE),0),CA65+CB65)</f>
        <v>0</v>
      </c>
      <c r="CD65" s="46">
        <f t="shared" si="391"/>
        <v>0</v>
      </c>
      <c r="CE65" s="46">
        <f t="shared" si="391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392"/>
        <v>0</v>
      </c>
      <c r="CI65" s="46">
        <f t="shared" si="392"/>
        <v>0</v>
      </c>
      <c r="CJ65" s="46">
        <f>IF($A65="a",IFERROR(VLOOKUP($B65 &amp; $C65&amp;CJ$4,tblForecast,CJ$2,FALSE),0),CH65+CI65)</f>
        <v>0</v>
      </c>
      <c r="CK65" s="46">
        <f t="shared" si="393"/>
        <v>0</v>
      </c>
      <c r="CL65" s="46">
        <f t="shared" si="393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>
        <f t="shared" si="310"/>
        <v>0</v>
      </c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6">
        <f>IFERROR(VLOOKUP(Brand&amp;Channel&amp;Country&amp;$C65,tblDiscount,6,FALSE),0)</f>
        <v>0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282</v>
      </c>
      <c r="D66" s="252">
        <f t="shared" ref="D66" si="397">SUM(D62:D65)</f>
        <v>0</v>
      </c>
      <c r="E66" s="253">
        <f t="shared" ref="E66" si="398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399">SUM(M62:M65)</f>
        <v>0</v>
      </c>
      <c r="N66" s="257">
        <f t="shared" si="399"/>
        <v>0</v>
      </c>
      <c r="O66" s="257">
        <f t="shared" ca="1" si="399"/>
        <v>0</v>
      </c>
      <c r="P66" s="258">
        <f t="shared" ca="1" si="39"/>
        <v>0</v>
      </c>
      <c r="Q66" s="260">
        <f t="shared" ref="Q66:S66" ca="1" si="400">SUM(Q62:Q65)</f>
        <v>0</v>
      </c>
      <c r="R66" s="260">
        <f t="shared" si="400"/>
        <v>0</v>
      </c>
      <c r="S66" s="260">
        <f t="shared" si="400"/>
        <v>0</v>
      </c>
      <c r="T66" s="260">
        <f ca="1">SUM(T62:T65)</f>
        <v>0</v>
      </c>
      <c r="U66" s="258">
        <f t="shared" ca="1" si="7"/>
        <v>0</v>
      </c>
      <c r="V66" s="261">
        <f ca="1">V65</f>
        <v>0</v>
      </c>
      <c r="W66" s="325">
        <f ca="1">W65</f>
        <v>0</v>
      </c>
      <c r="X66" s="262">
        <f ca="1">X65</f>
        <v>0</v>
      </c>
      <c r="Y66" s="252">
        <f ca="1">SUM(Y62:Y65)</f>
        <v>0</v>
      </c>
      <c r="Z66" s="257">
        <f t="shared" ref="Z66:AB66" si="401">SUM(Z62:Z65)</f>
        <v>0</v>
      </c>
      <c r="AA66" s="257">
        <f t="shared" si="401"/>
        <v>0</v>
      </c>
      <c r="AB66" s="257">
        <f t="shared" ca="1" si="401"/>
        <v>0</v>
      </c>
      <c r="AC66" s="258">
        <f t="shared" ca="1" si="9"/>
        <v>0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402">IFERROR(SUMPRODUCT(AJ62:AJ65,S62:S65)/S66,0)</f>
        <v>0</v>
      </c>
      <c r="AK66" s="266">
        <f t="shared" ca="1" si="402"/>
        <v>0</v>
      </c>
      <c r="AL66" s="258">
        <f t="shared" ca="1" si="381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0</v>
      </c>
      <c r="AQ66" s="258">
        <f t="shared" ca="1" si="14"/>
        <v>0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0</v>
      </c>
      <c r="AV66" s="258">
        <f t="shared" ca="1" si="16"/>
        <v>0</v>
      </c>
      <c r="AW66" s="267">
        <f ca="1">IFERROR(SUMPRODUCT(AW62:AW65,V62:V65)/V66,0)</f>
        <v>0</v>
      </c>
      <c r="AX66" s="268">
        <f t="shared" ref="AX66:AZ66" ca="1" si="403">IFERROR(SUMPRODUCT(AX62:AX65,X62:X65)/X66,0)</f>
        <v>0</v>
      </c>
      <c r="AY66" s="268">
        <f t="shared" ca="1" si="403"/>
        <v>0</v>
      </c>
      <c r="AZ66" s="268">
        <f t="shared" ca="1" si="403"/>
        <v>0</v>
      </c>
      <c r="BA66" s="259">
        <f ca="1">BA65</f>
        <v>0</v>
      </c>
      <c r="BB66" s="260">
        <f t="shared" ref="BB66:BD66" ca="1" si="404">BB65</f>
        <v>0</v>
      </c>
      <c r="BC66" s="260">
        <f t="shared" ca="1" si="404"/>
        <v>0</v>
      </c>
      <c r="BD66" s="260">
        <f t="shared" ca="1" si="404"/>
        <v>0</v>
      </c>
      <c r="BE66" s="258">
        <f t="shared" ca="1" si="19"/>
        <v>0</v>
      </c>
      <c r="BF66" s="260">
        <f>BF65</f>
        <v>0</v>
      </c>
      <c r="BG66" s="260">
        <f ca="1">BG65</f>
        <v>0</v>
      </c>
      <c r="BH66" s="269">
        <f ca="1">IF(Q66&lt;&gt;0,(BA66*COUNTIF(BH62:BH65,"&lt;&gt;0")/Q66),0)</f>
        <v>0</v>
      </c>
      <c r="BI66" s="270">
        <f ca="1">IF(T66&lt;&gt;0,(BD66*COUNTIF(BI62:BI65,"&lt;&gt;0")/T66),0)</f>
        <v>0</v>
      </c>
      <c r="BJ66" s="271">
        <f t="shared" ref="BJ66" ca="1" si="405">IF(BA66&lt;&gt;0,(Q66/COUNTIF(BJ62:BJ65,"&lt;&gt;0"))/BA66,0)</f>
        <v>0</v>
      </c>
      <c r="BK66" s="272">
        <f t="shared" ref="BK66" ca="1" si="406">IF(BD66&lt;&gt;0,(T66/COUNTIF(BK62:BK65,"&lt;&gt;0"))/BD66,0)</f>
        <v>0</v>
      </c>
      <c r="BL66" s="259">
        <f>SUM(BL62:BL65)</f>
        <v>0</v>
      </c>
      <c r="BM66" s="260">
        <f ca="1">SUM(BM62:BM65)</f>
        <v>0</v>
      </c>
      <c r="BN66" s="259">
        <f>SUM(BN62:BN65)</f>
        <v>0</v>
      </c>
      <c r="BO66" s="260">
        <f t="shared" ref="BO66:BQ66" ca="1" si="407">SUM(BO62:BO65)</f>
        <v>0</v>
      </c>
      <c r="BP66" s="259">
        <f>SUM(BP62:BP65)</f>
        <v>0</v>
      </c>
      <c r="BQ66" s="260">
        <f t="shared" ca="1" si="407"/>
        <v>0</v>
      </c>
      <c r="BR66" s="259">
        <f t="shared" si="43"/>
        <v>0</v>
      </c>
      <c r="BS66" s="260">
        <f t="shared" ca="1" si="22"/>
        <v>0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408">SUM(BW62:BW65)</f>
        <v>0</v>
      </c>
      <c r="BX66" s="260">
        <f t="shared" si="408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409">SUM(CB62:CB65)</f>
        <v>0</v>
      </c>
      <c r="CC66" s="257">
        <f t="shared" si="409"/>
        <v>0</v>
      </c>
      <c r="CD66" s="257">
        <f t="shared" si="409"/>
        <v>0</v>
      </c>
      <c r="CE66" s="257">
        <f t="shared" si="409"/>
        <v>0</v>
      </c>
      <c r="CF66" s="257">
        <f t="shared" ca="1" si="409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410">SUM(CI62:CI65)</f>
        <v>0</v>
      </c>
      <c r="CJ66" s="257">
        <f t="shared" si="410"/>
        <v>0</v>
      </c>
      <c r="CK66" s="257">
        <f t="shared" si="410"/>
        <v>0</v>
      </c>
      <c r="CL66" s="257">
        <f t="shared" si="410"/>
        <v>0</v>
      </c>
      <c r="CM66" s="257">
        <f t="shared" ca="1" si="410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>
        <f t="shared" si="310"/>
        <v>0</v>
      </c>
      <c r="CW66" s="100">
        <f>CW65</f>
        <v>0</v>
      </c>
      <c r="CX66" s="101">
        <f ca="1">CX65</f>
        <v>0</v>
      </c>
      <c r="CY66" s="99">
        <f t="shared" ca="1" si="36"/>
        <v>0</v>
      </c>
      <c r="CZ66" s="276"/>
      <c r="DA66" s="277"/>
      <c r="DB66" s="277"/>
      <c r="DC66" s="278"/>
    </row>
    <row r="67" spans="1:107" x14ac:dyDescent="0.25">
      <c r="A67" s="44" t="s">
        <v>478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411">IFERROR(VLOOKUP($B67 &amp; $C67&amp;G$4&amp;$A67,tblForecast,G$2,FALSE),0)</f>
        <v>0</v>
      </c>
      <c r="H67" s="202">
        <f t="shared" si="411"/>
        <v>0</v>
      </c>
      <c r="I67" s="202">
        <f t="shared" si="411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412">Q67*AM67</f>
        <v>0</v>
      </c>
      <c r="M67" s="90">
        <f t="shared" si="412"/>
        <v>0</v>
      </c>
      <c r="N67" s="46">
        <f t="shared" si="412"/>
        <v>0</v>
      </c>
      <c r="O67" s="46">
        <f t="shared" ca="1" si="412"/>
        <v>0</v>
      </c>
      <c r="P67" s="47">
        <f t="shared" ca="1" si="39"/>
        <v>0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413">IFERROR(VLOOKUP($B67 &amp; $C67&amp;S$4,tblForecast,S$2,FALSE),0)</f>
        <v>0</v>
      </c>
      <c r="T67" s="238">
        <f ca="1">SUMIFS(OFFSET(tblForecast,,T$2,,1),OFFSET(tblForecast,,,,1),$B67-IF(CompareVer="LY",1,0)&amp; $C67 &amp;T$4)</f>
        <v>0</v>
      </c>
      <c r="U67" s="91">
        <f t="shared" ca="1" si="7"/>
        <v>0</v>
      </c>
      <c r="V67" s="247">
        <f ca="1">IFERROR(IF(Q65&gt;0,Q67/Q65,0),0)</f>
        <v>0</v>
      </c>
      <c r="W67" s="327">
        <f ca="1">IFERROR(IF(R65&gt;0,R67/R65,X67),0)</f>
        <v>0</v>
      </c>
      <c r="X67" s="248">
        <f ca="1">IFERROR(IF(T65&gt;0,T67/T65,0),0)</f>
        <v>0</v>
      </c>
      <c r="Y67" s="51">
        <f t="shared" ref="Y67:AB71" ca="1" si="414">IFERROR(L67*AD67,0)</f>
        <v>0</v>
      </c>
      <c r="Z67" s="46">
        <f t="shared" si="414"/>
        <v>0</v>
      </c>
      <c r="AA67" s="46">
        <f t="shared" si="414"/>
        <v>0</v>
      </c>
      <c r="AB67" s="46">
        <f t="shared" ca="1" si="414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415">IF(AN67&lt;&gt;0,1-AS67/AN67,0)</f>
        <v>0</v>
      </c>
      <c r="AF67" s="93">
        <f t="shared" si="415"/>
        <v>0</v>
      </c>
      <c r="AG67" s="76">
        <f t="shared" ca="1" si="415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416">IFERROR(VLOOKUP($B67 &amp; $C67&amp;AI$4,tblForecast,AI$2,FALSE),0)</f>
        <v>0</v>
      </c>
      <c r="AJ67" s="94">
        <f t="shared" si="416"/>
        <v>0</v>
      </c>
      <c r="AK67" s="49">
        <f ca="1">IFERROR(CF67/BY67,0)</f>
        <v>0</v>
      </c>
      <c r="AL67" s="47">
        <f t="shared" ca="1" si="381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417">IFERROR(VLOOKUP($B67 &amp; $C67&amp;AN$4,tblForecast,AN$2,FALSE),0)</f>
        <v>0</v>
      </c>
      <c r="AO67" s="94">
        <f t="shared" si="417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418">IFERROR(VLOOKUP($B67 &amp; $C67&amp;AS$4,tblForecast,AS$2,FALSE),0)</f>
        <v>0</v>
      </c>
      <c r="AT67" s="94">
        <f t="shared" si="418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0">
        <f t="shared" ref="AW67:AZ71" ca="1" si="419">IFERROR((AM67/AH67-1)*-1,0)</f>
        <v>0</v>
      </c>
      <c r="AX67" s="191">
        <f t="shared" si="419"/>
        <v>0</v>
      </c>
      <c r="AY67" s="191">
        <f t="shared" si="419"/>
        <v>0</v>
      </c>
      <c r="AZ67" s="191">
        <f t="shared" ca="1" si="419"/>
        <v>0</v>
      </c>
      <c r="BA67" s="233">
        <f ca="1">IF(BA66+BV67+BL67+BR67-Q67&lt;0,0,BA66+BV67+BL67+BR67-Q67)</f>
        <v>0</v>
      </c>
      <c r="BB67" s="229">
        <f ca="1">IF(IFERROR(VLOOKUP($B67 &amp; $C67&amp;BB$4,tblForecast,BB$2,FALSE),0)=0,BA67,IFERROR(VLOOKUP($B67 &amp; $C67&amp;BB$4,tblForecast,BB$2,FALSE),0))</f>
        <v>0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420">CX67+BG67</f>
        <v>0</v>
      </c>
      <c r="BE67" s="193">
        <f t="shared" ca="1" si="19"/>
        <v>0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0</v>
      </c>
      <c r="BH67" s="178">
        <f ca="1">IF(Q67&lt;&gt;0,BA67/Q67,0)</f>
        <v>0</v>
      </c>
      <c r="BI67" s="182">
        <f ca="1">IF(T67&lt;&gt;0,BD67/T67,0)</f>
        <v>0</v>
      </c>
      <c r="BJ67" s="194">
        <f t="shared" ref="BJ67:BJ71" ca="1" si="421">IF(BA67&lt;&gt;0,Q67/BA67,0)</f>
        <v>0</v>
      </c>
      <c r="BK67" s="50">
        <f t="shared" ref="BK67:BK71" ca="1" si="422">IF(BD67&lt;&gt;0,T67/BD67,0)</f>
        <v>0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0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0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0</v>
      </c>
      <c r="BR67" s="225">
        <f t="shared" si="43"/>
        <v>0</v>
      </c>
      <c r="BS67" s="229">
        <f t="shared" ca="1" si="22"/>
        <v>0</v>
      </c>
      <c r="BT67" s="232">
        <f t="shared" ref="BT67:BU71" si="423">IFERROR(VLOOKUP($B67 &amp; $C67&amp;BT$4,tblForecast,BT$2,FALSE),0)</f>
        <v>0</v>
      </c>
      <c r="BU67" s="229">
        <f t="shared" si="423"/>
        <v>0</v>
      </c>
      <c r="BV67" s="229">
        <f>IF($A67="a",IFERROR(VLOOKUP($B67 &amp; $C67&amp;BV$4,tblForecast,BV$2,FALSE),0),BT67+BU67)</f>
        <v>0</v>
      </c>
      <c r="BW67" s="229">
        <f t="shared" ref="BW67:BX71" si="424">IFERROR(VLOOKUP($B67 &amp; $C67&amp;BW$4,tblForecast,BW$2,FALSE),0)</f>
        <v>0</v>
      </c>
      <c r="BX67" s="229">
        <f t="shared" si="424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425">IFERROR(VLOOKUP($B67 &amp; $C67&amp;CA$4,tblForecast,CA$2,FALSE),0)</f>
        <v>0</v>
      </c>
      <c r="CB67" s="46">
        <f t="shared" si="425"/>
        <v>0</v>
      </c>
      <c r="CC67" s="46">
        <f>IF($A67="a",IFERROR(VLOOKUP($B67 &amp; $C67&amp;CC$4,tblForecast,CC$2,FALSE),0),CA67+CB67)</f>
        <v>0</v>
      </c>
      <c r="CD67" s="46">
        <f t="shared" ref="CD67:CE71" si="426">IFERROR(VLOOKUP($B67 &amp; $C67&amp;CD$4,tblForecast,CD$2,FALSE),0)</f>
        <v>0</v>
      </c>
      <c r="CE67" s="46">
        <f t="shared" si="426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427">IFERROR(VLOOKUP($B67 &amp; $C67&amp;CH$4,tblForecast,CH$2,FALSE),0)</f>
        <v>0</v>
      </c>
      <c r="CI67" s="46">
        <f t="shared" si="427"/>
        <v>0</v>
      </c>
      <c r="CJ67" s="46">
        <f>IF($A67="a",IFERROR(VLOOKUP($B67 &amp; $C67&amp;CJ$4,tblForecast,CJ$2,FALSE),0),CH67+CI67)</f>
        <v>0</v>
      </c>
      <c r="CK67" s="46">
        <f t="shared" ref="CK67:CL71" si="428">IFERROR(VLOOKUP($B67 &amp; $C67&amp;CK$4,tblForecast,CK$2,FALSE),0)</f>
        <v>0</v>
      </c>
      <c r="CL67" s="46">
        <f t="shared" si="428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>
        <f t="shared" si="310"/>
        <v>0</v>
      </c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6">
        <f>IFERROR(VLOOKUP(Brand&amp;Channel&amp;Country&amp;$C67,tblDiscount,6,FALSE),0)</f>
        <v>0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478</v>
      </c>
      <c r="B68" s="44">
        <v>2018</v>
      </c>
      <c r="C68" s="88">
        <v>45</v>
      </c>
      <c r="D68" s="51">
        <f t="shared" ref="D68:D71" si="429">G68*H68</f>
        <v>0</v>
      </c>
      <c r="E68" s="201">
        <f t="shared" ref="E68:E71" si="430">IFERROR(D68*F68,0)</f>
        <v>0</v>
      </c>
      <c r="F68" s="181">
        <f t="shared" si="45"/>
        <v>0</v>
      </c>
      <c r="G68" s="175">
        <f t="shared" si="411"/>
        <v>0</v>
      </c>
      <c r="H68" s="202">
        <f t="shared" si="411"/>
        <v>0</v>
      </c>
      <c r="I68" s="202">
        <f t="shared" si="411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412"/>
        <v>0</v>
      </c>
      <c r="M68" s="90">
        <f t="shared" si="412"/>
        <v>0</v>
      </c>
      <c r="N68" s="46">
        <f t="shared" si="412"/>
        <v>0</v>
      </c>
      <c r="O68" s="46">
        <f t="shared" ca="1" si="412"/>
        <v>0</v>
      </c>
      <c r="P68" s="47">
        <f t="shared" ca="1" si="39"/>
        <v>0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413"/>
        <v>0</v>
      </c>
      <c r="T68" s="238">
        <f ca="1">SUMIFS(OFFSET(tblForecast,,T$2,,1),OFFSET(tblForecast,,,,1),$B68-IF(CompareVer="LY",1,0)&amp; $C68 &amp;T$4)</f>
        <v>0</v>
      </c>
      <c r="U68" s="91">
        <f t="shared" ca="1" si="7"/>
        <v>0</v>
      </c>
      <c r="V68" s="247">
        <f t="shared" ref="V68:V71" ca="1" si="431">IFERROR(IF(Q67&lt;&gt;0,Q68/Q67,0),0)</f>
        <v>0</v>
      </c>
      <c r="W68" s="327">
        <f ca="1">IFERROR(IF(R67&lt;&gt;0,R68/R67,X68),0)</f>
        <v>0</v>
      </c>
      <c r="X68" s="248">
        <f t="shared" ref="X68:X71" ca="1" si="432">IFERROR(IF(T67&lt;&gt;0,T68/T67,0),0)</f>
        <v>0</v>
      </c>
      <c r="Y68" s="51">
        <f t="shared" ca="1" si="414"/>
        <v>0</v>
      </c>
      <c r="Z68" s="46">
        <f t="shared" si="414"/>
        <v>0</v>
      </c>
      <c r="AA68" s="46">
        <f t="shared" si="414"/>
        <v>0</v>
      </c>
      <c r="AB68" s="46">
        <f t="shared" ca="1" si="414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415"/>
        <v>0</v>
      </c>
      <c r="AF68" s="93">
        <f t="shared" si="415"/>
        <v>0</v>
      </c>
      <c r="AG68" s="76">
        <f t="shared" ca="1" si="415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416"/>
        <v>0</v>
      </c>
      <c r="AJ68" s="94">
        <f t="shared" si="416"/>
        <v>0</v>
      </c>
      <c r="AK68" s="49">
        <f ca="1">IFERROR(CF68/BY68,0)</f>
        <v>0</v>
      </c>
      <c r="AL68" s="47">
        <f t="shared" ca="1" si="381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417"/>
        <v>0</v>
      </c>
      <c r="AO68" s="94">
        <f t="shared" si="417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418"/>
        <v>0</v>
      </c>
      <c r="AT68" s="94">
        <f t="shared" si="418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0">
        <f t="shared" ca="1" si="419"/>
        <v>0</v>
      </c>
      <c r="AX68" s="191">
        <f t="shared" si="419"/>
        <v>0</v>
      </c>
      <c r="AY68" s="191">
        <f t="shared" si="419"/>
        <v>0</v>
      </c>
      <c r="AZ68" s="191">
        <f t="shared" ca="1" si="419"/>
        <v>0</v>
      </c>
      <c r="BA68" s="233">
        <f ca="1">IF(BA67+BV68+BL68+BR68-Q68&lt;0,0,BA67+BV68+BL68+BR68-Q68)</f>
        <v>0</v>
      </c>
      <c r="BB68" s="229">
        <f ca="1">IF(IFERROR(VLOOKUP($B68 &amp; $C68&amp;BB$4,tblForecast,BB$2,FALSE),0)=0,BA68,IFERROR(VLOOKUP($B68 &amp; $C68&amp;BB$4,tblForecast,BB$2,FALSE),0))</f>
        <v>0</v>
      </c>
      <c r="BC68" s="229">
        <f ca="1">SUMIFS(OFFSET(tblForecast,,BC$2,,1),OFFSET(tblForecast,,,,1),$B68-IF(CompareVer="LY",1,0)&amp; $C68 &amp;BC$4)</f>
        <v>0</v>
      </c>
      <c r="BD68" s="229">
        <f t="shared" ca="1" si="420"/>
        <v>0</v>
      </c>
      <c r="BE68" s="193">
        <f t="shared" ca="1" si="19"/>
        <v>0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0</v>
      </c>
      <c r="BH68" s="178">
        <f ca="1">IF(Q68&lt;&gt;0,BA68/Q68,0)</f>
        <v>0</v>
      </c>
      <c r="BI68" s="182">
        <f ca="1">IF(T68&lt;&gt;0,BD68/T68,0)</f>
        <v>0</v>
      </c>
      <c r="BJ68" s="194">
        <f t="shared" ca="1" si="421"/>
        <v>0</v>
      </c>
      <c r="BK68" s="50">
        <f t="shared" ca="1" si="422"/>
        <v>0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0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0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0</v>
      </c>
      <c r="BR68" s="225">
        <f t="shared" si="43"/>
        <v>0</v>
      </c>
      <c r="BS68" s="229">
        <f t="shared" ca="1" si="22"/>
        <v>0</v>
      </c>
      <c r="BT68" s="232">
        <f t="shared" si="423"/>
        <v>0</v>
      </c>
      <c r="BU68" s="229">
        <f t="shared" si="423"/>
        <v>0</v>
      </c>
      <c r="BV68" s="229">
        <f>IF($A68="a",IFERROR(VLOOKUP($B68 &amp; $C68&amp;BV$4,tblForecast,BV$2,FALSE),0),BT68+BU68)</f>
        <v>0</v>
      </c>
      <c r="BW68" s="229">
        <f t="shared" si="424"/>
        <v>0</v>
      </c>
      <c r="BX68" s="229">
        <f t="shared" si="424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425"/>
        <v>0</v>
      </c>
      <c r="CB68" s="46">
        <f t="shared" si="425"/>
        <v>0</v>
      </c>
      <c r="CC68" s="46">
        <f>IF($A68="a",IFERROR(VLOOKUP($B68 &amp; $C68&amp;CC$4,tblForecast,CC$2,FALSE),0),CA68+CB68)</f>
        <v>0</v>
      </c>
      <c r="CD68" s="46">
        <f t="shared" si="426"/>
        <v>0</v>
      </c>
      <c r="CE68" s="46">
        <f t="shared" si="426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427"/>
        <v>0</v>
      </c>
      <c r="CI68" s="46">
        <f t="shared" si="427"/>
        <v>0</v>
      </c>
      <c r="CJ68" s="46">
        <f>IF($A68="a",IFERROR(VLOOKUP($B68 &amp; $C68&amp;CJ$4,tblForecast,CJ$2,FALSE),0),CH68+CI68)</f>
        <v>0</v>
      </c>
      <c r="CK68" s="46">
        <f t="shared" si="428"/>
        <v>0</v>
      </c>
      <c r="CL68" s="46">
        <f t="shared" si="428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>
        <f t="shared" si="310"/>
        <v>0</v>
      </c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6">
        <f>IFERROR(VLOOKUP(Brand&amp;Channel&amp;Country&amp;$C68,tblDiscount,6,FALSE),0)</f>
        <v>0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478</v>
      </c>
      <c r="B69" s="44">
        <v>2018</v>
      </c>
      <c r="C69" s="88">
        <v>46</v>
      </c>
      <c r="D69" s="51">
        <f t="shared" si="429"/>
        <v>0</v>
      </c>
      <c r="E69" s="201">
        <f t="shared" si="430"/>
        <v>0</v>
      </c>
      <c r="F69" s="181">
        <f t="shared" si="45"/>
        <v>0</v>
      </c>
      <c r="G69" s="175">
        <f t="shared" si="411"/>
        <v>0</v>
      </c>
      <c r="H69" s="202">
        <f t="shared" si="411"/>
        <v>0</v>
      </c>
      <c r="I69" s="202">
        <f t="shared" si="411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412"/>
        <v>0</v>
      </c>
      <c r="M69" s="90">
        <f t="shared" si="412"/>
        <v>0</v>
      </c>
      <c r="N69" s="46">
        <f t="shared" si="412"/>
        <v>0</v>
      </c>
      <c r="O69" s="46">
        <f t="shared" ca="1" si="412"/>
        <v>0</v>
      </c>
      <c r="P69" s="47">
        <f t="shared" ca="1" si="39"/>
        <v>0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413"/>
        <v>0</v>
      </c>
      <c r="T69" s="238">
        <f ca="1">SUMIFS(OFFSET(tblForecast,,T$2,,1),OFFSET(tblForecast,,,,1),$B69-IF(CompareVer="LY",1,0)&amp; $C69 &amp;T$4)</f>
        <v>0</v>
      </c>
      <c r="U69" s="91">
        <f t="shared" ca="1" si="7"/>
        <v>0</v>
      </c>
      <c r="V69" s="247">
        <f t="shared" ca="1" si="431"/>
        <v>0</v>
      </c>
      <c r="W69" s="327">
        <f ca="1">IFERROR(IF(R68&lt;&gt;0,R69/R68,X69),0)</f>
        <v>0</v>
      </c>
      <c r="X69" s="248">
        <f t="shared" ca="1" si="432"/>
        <v>0</v>
      </c>
      <c r="Y69" s="51">
        <f t="shared" ca="1" si="414"/>
        <v>0</v>
      </c>
      <c r="Z69" s="46">
        <f t="shared" si="414"/>
        <v>0</v>
      </c>
      <c r="AA69" s="46">
        <f t="shared" si="414"/>
        <v>0</v>
      </c>
      <c r="AB69" s="46">
        <f t="shared" ca="1" si="414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415"/>
        <v>0</v>
      </c>
      <c r="AF69" s="93">
        <f t="shared" si="415"/>
        <v>0</v>
      </c>
      <c r="AG69" s="76">
        <f t="shared" ca="1" si="415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416"/>
        <v>0</v>
      </c>
      <c r="AJ69" s="94">
        <f t="shared" si="416"/>
        <v>0</v>
      </c>
      <c r="AK69" s="49">
        <f ca="1">IFERROR(CF69/BY69,0)</f>
        <v>0</v>
      </c>
      <c r="AL69" s="47">
        <f t="shared" ca="1" si="381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417"/>
        <v>0</v>
      </c>
      <c r="AO69" s="94">
        <f t="shared" si="417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418"/>
        <v>0</v>
      </c>
      <c r="AT69" s="94">
        <f t="shared" si="418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0">
        <f t="shared" ca="1" si="419"/>
        <v>0</v>
      </c>
      <c r="AX69" s="191">
        <f t="shared" si="419"/>
        <v>0</v>
      </c>
      <c r="AY69" s="191">
        <f t="shared" si="419"/>
        <v>0</v>
      </c>
      <c r="AZ69" s="191">
        <f t="shared" ca="1" si="419"/>
        <v>0</v>
      </c>
      <c r="BA69" s="233">
        <f ca="1">IF(BA68+BV69+BL69+BR69-Q69&lt;0,0,BA68+BV69+BL69+BR69-Q69)</f>
        <v>0</v>
      </c>
      <c r="BB69" s="229">
        <f ca="1">IF(IFERROR(VLOOKUP($B69 &amp; $C69&amp;BB$4,tblForecast,BB$2,FALSE),0)=0,BA69,IFERROR(VLOOKUP($B69 &amp; $C69&amp;BB$4,tblForecast,BB$2,FALSE),0))</f>
        <v>0</v>
      </c>
      <c r="BC69" s="229">
        <f ca="1">SUMIFS(OFFSET(tblForecast,,BC$2,,1),OFFSET(tblForecast,,,,1),$B69-IF(CompareVer="LY",1,0)&amp; $C69 &amp;BC$4)</f>
        <v>0</v>
      </c>
      <c r="BD69" s="229">
        <f t="shared" ca="1" si="420"/>
        <v>0</v>
      </c>
      <c r="BE69" s="193">
        <f t="shared" ca="1" si="19"/>
        <v>0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0</v>
      </c>
      <c r="BH69" s="178">
        <f ca="1">IF(Q69&lt;&gt;0,BA69/Q69,0)</f>
        <v>0</v>
      </c>
      <c r="BI69" s="182">
        <f ca="1">IF(T69&lt;&gt;0,BD69/T69,0)</f>
        <v>0</v>
      </c>
      <c r="BJ69" s="194">
        <f t="shared" ca="1" si="421"/>
        <v>0</v>
      </c>
      <c r="BK69" s="50">
        <f t="shared" ca="1" si="422"/>
        <v>0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0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0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0</v>
      </c>
      <c r="BR69" s="225">
        <f t="shared" si="43"/>
        <v>0</v>
      </c>
      <c r="BS69" s="229">
        <f t="shared" ca="1" si="22"/>
        <v>0</v>
      </c>
      <c r="BT69" s="232">
        <f t="shared" si="423"/>
        <v>0</v>
      </c>
      <c r="BU69" s="229">
        <f t="shared" si="423"/>
        <v>0</v>
      </c>
      <c r="BV69" s="229">
        <f>IF($A69="a",IFERROR(VLOOKUP($B69 &amp; $C69&amp;BV$4,tblForecast,BV$2,FALSE),0),BT69+BU69)</f>
        <v>0</v>
      </c>
      <c r="BW69" s="229">
        <f t="shared" si="424"/>
        <v>0</v>
      </c>
      <c r="BX69" s="229">
        <f t="shared" si="424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425"/>
        <v>0</v>
      </c>
      <c r="CB69" s="46">
        <f t="shared" si="425"/>
        <v>0</v>
      </c>
      <c r="CC69" s="46">
        <f>IF($A69="a",IFERROR(VLOOKUP($B69 &amp; $C69&amp;CC$4,tblForecast,CC$2,FALSE),0),CA69+CB69)</f>
        <v>0</v>
      </c>
      <c r="CD69" s="46">
        <f t="shared" si="426"/>
        <v>0</v>
      </c>
      <c r="CE69" s="46">
        <f t="shared" si="426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427"/>
        <v>0</v>
      </c>
      <c r="CI69" s="46">
        <f t="shared" si="427"/>
        <v>0</v>
      </c>
      <c r="CJ69" s="46">
        <f>IF($A69="a",IFERROR(VLOOKUP($B69 &amp; $C69&amp;CJ$4,tblForecast,CJ$2,FALSE),0),CH69+CI69)</f>
        <v>0</v>
      </c>
      <c r="CK69" s="46">
        <f t="shared" si="428"/>
        <v>0</v>
      </c>
      <c r="CL69" s="46">
        <f t="shared" si="428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>
        <f t="shared" si="310"/>
        <v>0</v>
      </c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6">
        <f>IFERROR(VLOOKUP(Brand&amp;Channel&amp;Country&amp;$C69,tblDiscount,6,FALSE),0)</f>
        <v>0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478</v>
      </c>
      <c r="B70" s="44">
        <v>2018</v>
      </c>
      <c r="C70" s="88">
        <v>47</v>
      </c>
      <c r="D70" s="51">
        <f t="shared" si="429"/>
        <v>0</v>
      </c>
      <c r="E70" s="201">
        <f t="shared" si="430"/>
        <v>0</v>
      </c>
      <c r="F70" s="181">
        <f t="shared" si="45"/>
        <v>0</v>
      </c>
      <c r="G70" s="175">
        <f t="shared" si="411"/>
        <v>0</v>
      </c>
      <c r="H70" s="202">
        <f t="shared" si="411"/>
        <v>0</v>
      </c>
      <c r="I70" s="202">
        <f t="shared" si="411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412"/>
        <v>0</v>
      </c>
      <c r="M70" s="90">
        <f t="shared" si="412"/>
        <v>0</v>
      </c>
      <c r="N70" s="46">
        <f t="shared" si="412"/>
        <v>0</v>
      </c>
      <c r="O70" s="46">
        <f t="shared" ca="1" si="412"/>
        <v>0</v>
      </c>
      <c r="P70" s="47">
        <f t="shared" ca="1" si="39"/>
        <v>0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413"/>
        <v>0</v>
      </c>
      <c r="T70" s="238">
        <f ca="1">SUMIFS(OFFSET(tblForecast,,T$2,,1),OFFSET(tblForecast,,,,1),$B70-IF(CompareVer="LY",1,0)&amp; $C70 &amp;T$4)</f>
        <v>0</v>
      </c>
      <c r="U70" s="91">
        <f t="shared" ca="1" si="7"/>
        <v>0</v>
      </c>
      <c r="V70" s="247">
        <f t="shared" ca="1" si="431"/>
        <v>0</v>
      </c>
      <c r="W70" s="327">
        <f ca="1">IFERROR(IF(R69&lt;&gt;0,R70/R69,X70),0)</f>
        <v>0</v>
      </c>
      <c r="X70" s="248">
        <f t="shared" ca="1" si="432"/>
        <v>0</v>
      </c>
      <c r="Y70" s="51">
        <f t="shared" ca="1" si="414"/>
        <v>0</v>
      </c>
      <c r="Z70" s="46">
        <f t="shared" si="414"/>
        <v>0</v>
      </c>
      <c r="AA70" s="46">
        <f t="shared" si="414"/>
        <v>0</v>
      </c>
      <c r="AB70" s="46">
        <f t="shared" ca="1" si="414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415"/>
        <v>0</v>
      </c>
      <c r="AF70" s="93">
        <f t="shared" si="415"/>
        <v>0</v>
      </c>
      <c r="AG70" s="76">
        <f t="shared" ca="1" si="415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416"/>
        <v>0</v>
      </c>
      <c r="AJ70" s="94">
        <f t="shared" si="416"/>
        <v>0</v>
      </c>
      <c r="AK70" s="49">
        <f ca="1">IFERROR(CF70/BY70,0)</f>
        <v>0</v>
      </c>
      <c r="AL70" s="47">
        <f t="shared" ca="1" si="381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417"/>
        <v>0</v>
      </c>
      <c r="AO70" s="94">
        <f t="shared" si="417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418"/>
        <v>0</v>
      </c>
      <c r="AT70" s="94">
        <f t="shared" si="418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0">
        <f t="shared" ca="1" si="419"/>
        <v>0</v>
      </c>
      <c r="AX70" s="191">
        <f t="shared" si="419"/>
        <v>0</v>
      </c>
      <c r="AY70" s="191">
        <f t="shared" si="419"/>
        <v>0</v>
      </c>
      <c r="AZ70" s="191">
        <f t="shared" ca="1" si="419"/>
        <v>0</v>
      </c>
      <c r="BA70" s="233">
        <f ca="1">IF(BA69+BV70+BL70+BR70-Q70&lt;0,0,BA69+BV70+BL70+BR70-Q70)</f>
        <v>0</v>
      </c>
      <c r="BB70" s="229">
        <f ca="1">IF(IFERROR(VLOOKUP($B70 &amp; $C70&amp;BB$4,tblForecast,BB$2,FALSE),0)=0,BA70,IFERROR(VLOOKUP($B70 &amp; $C70&amp;BB$4,tblForecast,BB$2,FALSE),0))</f>
        <v>0</v>
      </c>
      <c r="BC70" s="229">
        <f ca="1">SUMIFS(OFFSET(tblForecast,,BC$2,,1),OFFSET(tblForecast,,,,1),$B70-IF(CompareVer="LY",1,0)&amp; $C70 &amp;BC$4)</f>
        <v>0</v>
      </c>
      <c r="BD70" s="229">
        <f t="shared" ca="1" si="420"/>
        <v>0</v>
      </c>
      <c r="BE70" s="193">
        <f t="shared" ca="1" si="19"/>
        <v>0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0</v>
      </c>
      <c r="BH70" s="178">
        <f ca="1">IF(Q70&lt;&gt;0,BA70/Q70,0)</f>
        <v>0</v>
      </c>
      <c r="BI70" s="182">
        <f ca="1">IF(T70&lt;&gt;0,BD70/T70,0)</f>
        <v>0</v>
      </c>
      <c r="BJ70" s="194">
        <f t="shared" ca="1" si="421"/>
        <v>0</v>
      </c>
      <c r="BK70" s="50">
        <f t="shared" ca="1" si="422"/>
        <v>0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0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0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0</v>
      </c>
      <c r="BR70" s="225">
        <f t="shared" si="43"/>
        <v>0</v>
      </c>
      <c r="BS70" s="229">
        <f t="shared" ca="1" si="22"/>
        <v>0</v>
      </c>
      <c r="BT70" s="232">
        <f t="shared" si="423"/>
        <v>0</v>
      </c>
      <c r="BU70" s="229">
        <f t="shared" si="423"/>
        <v>0</v>
      </c>
      <c r="BV70" s="229">
        <f>IF($A70="a",IFERROR(VLOOKUP($B70 &amp; $C70&amp;BV$4,tblForecast,BV$2,FALSE),0),BT70+BU70)</f>
        <v>0</v>
      </c>
      <c r="BW70" s="229">
        <f t="shared" si="424"/>
        <v>0</v>
      </c>
      <c r="BX70" s="229">
        <f t="shared" si="424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425"/>
        <v>0</v>
      </c>
      <c r="CB70" s="46">
        <f t="shared" si="425"/>
        <v>0</v>
      </c>
      <c r="CC70" s="46">
        <f>IF($A70="a",IFERROR(VLOOKUP($B70 &amp; $C70&amp;CC$4,tblForecast,CC$2,FALSE),0),CA70+CB70)</f>
        <v>0</v>
      </c>
      <c r="CD70" s="46">
        <f t="shared" si="426"/>
        <v>0</v>
      </c>
      <c r="CE70" s="46">
        <f t="shared" si="426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427"/>
        <v>0</v>
      </c>
      <c r="CI70" s="46">
        <f t="shared" si="427"/>
        <v>0</v>
      </c>
      <c r="CJ70" s="46">
        <f>IF($A70="a",IFERROR(VLOOKUP($B70 &amp; $C70&amp;CJ$4,tblForecast,CJ$2,FALSE),0),CH70+CI70)</f>
        <v>0</v>
      </c>
      <c r="CK70" s="46">
        <f t="shared" si="428"/>
        <v>0</v>
      </c>
      <c r="CL70" s="46">
        <f t="shared" si="428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>
        <f t="shared" si="310"/>
        <v>0</v>
      </c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6">
        <f>IFERROR(VLOOKUP(Brand&amp;Channel&amp;Country&amp;$C70,tblDiscount,6,FALSE),0)</f>
        <v>0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478</v>
      </c>
      <c r="B71" s="44">
        <v>2018</v>
      </c>
      <c r="C71" s="88">
        <v>48</v>
      </c>
      <c r="D71" s="51">
        <f t="shared" si="429"/>
        <v>0</v>
      </c>
      <c r="E71" s="201">
        <f t="shared" si="430"/>
        <v>0</v>
      </c>
      <c r="F71" s="181">
        <f t="shared" si="45"/>
        <v>0</v>
      </c>
      <c r="G71" s="175">
        <f t="shared" si="411"/>
        <v>0</v>
      </c>
      <c r="H71" s="202">
        <f t="shared" si="411"/>
        <v>0</v>
      </c>
      <c r="I71" s="202">
        <f t="shared" si="411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412"/>
        <v>0</v>
      </c>
      <c r="M71" s="90">
        <f t="shared" si="412"/>
        <v>0</v>
      </c>
      <c r="N71" s="46">
        <f t="shared" si="412"/>
        <v>0</v>
      </c>
      <c r="O71" s="46">
        <f t="shared" ca="1" si="412"/>
        <v>0</v>
      </c>
      <c r="P71" s="47">
        <f t="shared" ca="1" si="39"/>
        <v>0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413"/>
        <v>0</v>
      </c>
      <c r="T71" s="238">
        <f ca="1">SUMIFS(OFFSET(tblForecast,,T$2,,1),OFFSET(tblForecast,,,,1),$B71-IF(CompareVer="LY",1,0)&amp; $C71 &amp;T$4)</f>
        <v>0</v>
      </c>
      <c r="U71" s="91">
        <f t="shared" ca="1" si="7"/>
        <v>0</v>
      </c>
      <c r="V71" s="247">
        <f t="shared" ca="1" si="431"/>
        <v>0</v>
      </c>
      <c r="W71" s="327">
        <f ca="1">IFERROR(IF(R70&lt;&gt;0,R71/R70,X71),0)</f>
        <v>0</v>
      </c>
      <c r="X71" s="248">
        <f t="shared" ca="1" si="432"/>
        <v>0</v>
      </c>
      <c r="Y71" s="51">
        <f t="shared" ca="1" si="414"/>
        <v>0</v>
      </c>
      <c r="Z71" s="46">
        <f t="shared" si="414"/>
        <v>0</v>
      </c>
      <c r="AA71" s="46">
        <f t="shared" si="414"/>
        <v>0</v>
      </c>
      <c r="AB71" s="46">
        <f t="shared" ca="1" si="414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415"/>
        <v>0</v>
      </c>
      <c r="AF71" s="93">
        <f t="shared" si="415"/>
        <v>0</v>
      </c>
      <c r="AG71" s="76">
        <f t="shared" ca="1" si="415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416"/>
        <v>0</v>
      </c>
      <c r="AJ71" s="94">
        <f t="shared" si="416"/>
        <v>0</v>
      </c>
      <c r="AK71" s="49">
        <f ca="1">IFERROR(CF71/BY71,0)</f>
        <v>0</v>
      </c>
      <c r="AL71" s="47">
        <f t="shared" ca="1" si="381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417"/>
        <v>0</v>
      </c>
      <c r="AO71" s="94">
        <f t="shared" si="417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418"/>
        <v>0</v>
      </c>
      <c r="AT71" s="94">
        <f t="shared" si="418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0">
        <f t="shared" ca="1" si="419"/>
        <v>0</v>
      </c>
      <c r="AX71" s="191">
        <f t="shared" si="419"/>
        <v>0</v>
      </c>
      <c r="AY71" s="191">
        <f t="shared" si="419"/>
        <v>0</v>
      </c>
      <c r="AZ71" s="191">
        <f t="shared" ca="1" si="419"/>
        <v>0</v>
      </c>
      <c r="BA71" s="233">
        <f ca="1">IF(BA70+BV71+BL71+BR71-Q71&lt;0,0,BA70+BV71+BL71+BR71-Q71)</f>
        <v>0</v>
      </c>
      <c r="BB71" s="229">
        <f ca="1">IF(IFERROR(VLOOKUP($B71 &amp; $C71&amp;BB$4,tblForecast,BB$2,FALSE),0)=0,BA71,IFERROR(VLOOKUP($B71 &amp; $C71&amp;BB$4,tblForecast,BB$2,FALSE),0))</f>
        <v>0</v>
      </c>
      <c r="BC71" s="229">
        <f ca="1">SUMIFS(OFFSET(tblForecast,,BC$2,,1),OFFSET(tblForecast,,,,1),$B71-IF(CompareVer="LY",1,0)&amp; $C71 &amp;BC$4)</f>
        <v>0</v>
      </c>
      <c r="BD71" s="229">
        <f t="shared" ca="1" si="420"/>
        <v>0</v>
      </c>
      <c r="BE71" s="193">
        <f t="shared" ca="1" si="19"/>
        <v>0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0</v>
      </c>
      <c r="BH71" s="178">
        <f ca="1">IF(Q71&lt;&gt;0,BA71/Q71,0)</f>
        <v>0</v>
      </c>
      <c r="BI71" s="182">
        <f ca="1">IF(T71&lt;&gt;0,BD71/T71,0)</f>
        <v>0</v>
      </c>
      <c r="BJ71" s="194">
        <f t="shared" ca="1" si="421"/>
        <v>0</v>
      </c>
      <c r="BK71" s="50">
        <f t="shared" ca="1" si="422"/>
        <v>0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0</v>
      </c>
      <c r="BR71" s="225">
        <f t="shared" si="43"/>
        <v>0</v>
      </c>
      <c r="BS71" s="229">
        <f t="shared" ca="1" si="22"/>
        <v>0</v>
      </c>
      <c r="BT71" s="232">
        <f t="shared" si="423"/>
        <v>0</v>
      </c>
      <c r="BU71" s="229">
        <f t="shared" si="423"/>
        <v>0</v>
      </c>
      <c r="BV71" s="229">
        <f>IF($A71="a",IFERROR(VLOOKUP($B71 &amp; $C71&amp;BV$4,tblForecast,BV$2,FALSE),0),BT71+BU71)</f>
        <v>0</v>
      </c>
      <c r="BW71" s="229">
        <f t="shared" si="424"/>
        <v>0</v>
      </c>
      <c r="BX71" s="229">
        <f t="shared" si="424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425"/>
        <v>0</v>
      </c>
      <c r="CB71" s="46">
        <f t="shared" si="425"/>
        <v>0</v>
      </c>
      <c r="CC71" s="46">
        <f>IF($A71="a",IFERROR(VLOOKUP($B71 &amp; $C71&amp;CC$4,tblForecast,CC$2,FALSE),0),CA71+CB71)</f>
        <v>0</v>
      </c>
      <c r="CD71" s="46">
        <f t="shared" si="426"/>
        <v>0</v>
      </c>
      <c r="CE71" s="46">
        <f t="shared" si="426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427"/>
        <v>0</v>
      </c>
      <c r="CI71" s="46">
        <f t="shared" si="427"/>
        <v>0</v>
      </c>
      <c r="CJ71" s="46">
        <f>IF($A71="a",IFERROR(VLOOKUP($B71 &amp; $C71&amp;CJ$4,tblForecast,CJ$2,FALSE),0),CH71+CI71)</f>
        <v>0</v>
      </c>
      <c r="CK71" s="46">
        <f t="shared" si="428"/>
        <v>0</v>
      </c>
      <c r="CL71" s="46">
        <f t="shared" si="428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>
        <f t="shared" si="310"/>
        <v>0</v>
      </c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6">
        <f>IFERROR(VLOOKUP(Brand&amp;Channel&amp;Country&amp;$C71,tblDiscount,6,FALSE),0)</f>
        <v>0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283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433">SUM(M67:M71)</f>
        <v>0</v>
      </c>
      <c r="N72" s="257">
        <f t="shared" si="433"/>
        <v>0</v>
      </c>
      <c r="O72" s="257">
        <f t="shared" ca="1" si="433"/>
        <v>0</v>
      </c>
      <c r="P72" s="258">
        <f t="shared" ca="1" si="39"/>
        <v>0</v>
      </c>
      <c r="Q72" s="259">
        <f t="shared" ref="Q72:S72" ca="1" si="434">SUM(Q67:Q71)</f>
        <v>0</v>
      </c>
      <c r="R72" s="260">
        <f t="shared" si="434"/>
        <v>0</v>
      </c>
      <c r="S72" s="260">
        <f t="shared" si="434"/>
        <v>0</v>
      </c>
      <c r="T72" s="260">
        <f ca="1">SUM(T67:T71)</f>
        <v>0</v>
      </c>
      <c r="U72" s="258">
        <f t="shared" ca="1" si="7"/>
        <v>0</v>
      </c>
      <c r="V72" s="261">
        <f ca="1">V71</f>
        <v>0</v>
      </c>
      <c r="W72" s="325">
        <f ca="1">W71</f>
        <v>0</v>
      </c>
      <c r="X72" s="262">
        <f ca="1">X71</f>
        <v>0</v>
      </c>
      <c r="Y72" s="252">
        <f ca="1">SUM(Y67:Y71)</f>
        <v>0</v>
      </c>
      <c r="Z72" s="257">
        <f t="shared" ref="Z72:AB72" si="435">SUM(Z67:Z71)</f>
        <v>0</v>
      </c>
      <c r="AA72" s="257">
        <f t="shared" si="435"/>
        <v>0</v>
      </c>
      <c r="AB72" s="257">
        <f t="shared" ca="1" si="435"/>
        <v>0</v>
      </c>
      <c r="AC72" s="258">
        <f t="shared" ca="1" si="9"/>
        <v>0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381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0</v>
      </c>
      <c r="AQ72" s="258">
        <f t="shared" ca="1" si="14"/>
        <v>0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0</v>
      </c>
      <c r="AV72" s="258">
        <f t="shared" ca="1" si="16"/>
        <v>0</v>
      </c>
      <c r="AW72" s="267">
        <f ca="1">IFERROR(SUMPRODUCT(AW67:AW71,V67:V71)/V72,0)</f>
        <v>0</v>
      </c>
      <c r="AX72" s="268">
        <f t="shared" ref="AX72:AZ72" ca="1" si="436">IFERROR(SUMPRODUCT(AX67:AX71,X67:X71)/X72,0)</f>
        <v>0</v>
      </c>
      <c r="AY72" s="268">
        <f t="shared" ca="1" si="436"/>
        <v>0</v>
      </c>
      <c r="AZ72" s="268">
        <f t="shared" ca="1" si="436"/>
        <v>0</v>
      </c>
      <c r="BA72" s="259">
        <f ca="1">BA71</f>
        <v>0</v>
      </c>
      <c r="BB72" s="260">
        <f t="shared" ref="BB72:BD72" ca="1" si="437">BB71</f>
        <v>0</v>
      </c>
      <c r="BC72" s="260">
        <f t="shared" ca="1" si="437"/>
        <v>0</v>
      </c>
      <c r="BD72" s="260">
        <f t="shared" ca="1" si="437"/>
        <v>0</v>
      </c>
      <c r="BE72" s="258">
        <f t="shared" ca="1" si="19"/>
        <v>0</v>
      </c>
      <c r="BF72" s="260">
        <f>BF71</f>
        <v>0</v>
      </c>
      <c r="BG72" s="260">
        <f ca="1">BG71</f>
        <v>0</v>
      </c>
      <c r="BH72" s="269">
        <f ca="1">IF(Q72&lt;&gt;0,(BA72*COUNTIF(BH67:BH71,"&lt;&gt;0")/Q72),0)</f>
        <v>0</v>
      </c>
      <c r="BI72" s="270">
        <f ca="1">IF(T72&lt;&gt;0,(BD72*COUNTIF(BI67:BI71,"&lt;&gt;0")/T72),0)</f>
        <v>0</v>
      </c>
      <c r="BJ72" s="271">
        <f t="shared" ref="BJ72" ca="1" si="438">IF(BA72&lt;&gt;0,(Q72/COUNTIF(BJ67:BJ71,"&lt;&gt;0"))/BA72,0)</f>
        <v>0</v>
      </c>
      <c r="BK72" s="272">
        <f t="shared" ref="BK72" ca="1" si="439">IF(BD72&lt;&gt;0,(T72/COUNTIF(BK67:BK71,"&lt;&gt;0"))/BD72,0)</f>
        <v>0</v>
      </c>
      <c r="BL72" s="259">
        <f t="shared" ref="BL72" si="440">SUM(BL67:BL71)</f>
        <v>0</v>
      </c>
      <c r="BM72" s="260">
        <f ca="1">SUM(BM67:BM71)</f>
        <v>0</v>
      </c>
      <c r="BN72" s="259">
        <f t="shared" ref="BN72:BQ72" si="441">SUM(BN67:BN71)</f>
        <v>0</v>
      </c>
      <c r="BO72" s="260">
        <f t="shared" ca="1" si="441"/>
        <v>0</v>
      </c>
      <c r="BP72" s="259">
        <f t="shared" si="441"/>
        <v>0</v>
      </c>
      <c r="BQ72" s="260">
        <f t="shared" ca="1" si="441"/>
        <v>0</v>
      </c>
      <c r="BR72" s="259">
        <f t="shared" si="43"/>
        <v>0</v>
      </c>
      <c r="BS72" s="260">
        <f t="shared" ca="1" si="22"/>
        <v>0</v>
      </c>
      <c r="BT72" s="259">
        <f t="shared" ref="BT72:BY72" si="442">SUM(BT67:BT71)</f>
        <v>0</v>
      </c>
      <c r="BU72" s="260">
        <f t="shared" si="442"/>
        <v>0</v>
      </c>
      <c r="BV72" s="260">
        <f t="shared" si="442"/>
        <v>0</v>
      </c>
      <c r="BW72" s="260">
        <f t="shared" si="442"/>
        <v>0</v>
      </c>
      <c r="BX72" s="260">
        <f t="shared" si="442"/>
        <v>0</v>
      </c>
      <c r="BY72" s="273">
        <f t="shared" ca="1" si="442"/>
        <v>0</v>
      </c>
      <c r="BZ72" s="258">
        <f t="shared" ca="1" si="25"/>
        <v>0</v>
      </c>
      <c r="CA72" s="331">
        <f t="shared" ref="CA72:CF72" si="443">SUM(CA67:CA71)</f>
        <v>0</v>
      </c>
      <c r="CB72" s="257">
        <f t="shared" si="443"/>
        <v>0</v>
      </c>
      <c r="CC72" s="257">
        <f t="shared" si="443"/>
        <v>0</v>
      </c>
      <c r="CD72" s="257">
        <f t="shared" si="443"/>
        <v>0</v>
      </c>
      <c r="CE72" s="257">
        <f t="shared" si="443"/>
        <v>0</v>
      </c>
      <c r="CF72" s="257">
        <f t="shared" ca="1" si="443"/>
        <v>0</v>
      </c>
      <c r="CG72" s="258">
        <f t="shared" ca="1" si="28"/>
        <v>0</v>
      </c>
      <c r="CH72" s="331">
        <f t="shared" ref="CH72:CM72" si="444">SUM(CH67:CH71)</f>
        <v>0</v>
      </c>
      <c r="CI72" s="257">
        <f t="shared" si="444"/>
        <v>0</v>
      </c>
      <c r="CJ72" s="257">
        <f t="shared" si="444"/>
        <v>0</v>
      </c>
      <c r="CK72" s="257">
        <f t="shared" si="444"/>
        <v>0</v>
      </c>
      <c r="CL72" s="257">
        <f t="shared" si="444"/>
        <v>0</v>
      </c>
      <c r="CM72" s="257">
        <f t="shared" ca="1" si="444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>
        <f t="shared" si="310"/>
        <v>0</v>
      </c>
      <c r="CW72" s="100">
        <f>CW71</f>
        <v>0</v>
      </c>
      <c r="CX72" s="101">
        <f ca="1">CX71</f>
        <v>0</v>
      </c>
      <c r="CY72" s="99">
        <f t="shared" ca="1" si="36"/>
        <v>0</v>
      </c>
      <c r="CZ72" s="276"/>
      <c r="DA72" s="277"/>
      <c r="DB72" s="277"/>
      <c r="DC72" s="278"/>
    </row>
    <row r="73" spans="1:107" x14ac:dyDescent="0.25">
      <c r="A73" s="44" t="s">
        <v>478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445">IFERROR(VLOOKUP($B73 &amp; $C73&amp;G$4&amp;$A73,tblForecast,G$2,FALSE),0)</f>
        <v>0</v>
      </c>
      <c r="H73" s="202">
        <f t="shared" si="445"/>
        <v>0</v>
      </c>
      <c r="I73" s="202">
        <f t="shared" si="445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446">Q73*AM73</f>
        <v>0</v>
      </c>
      <c r="M73" s="90">
        <f t="shared" si="446"/>
        <v>0</v>
      </c>
      <c r="N73" s="46">
        <f t="shared" si="446"/>
        <v>0</v>
      </c>
      <c r="O73" s="46">
        <f t="shared" ca="1" si="446"/>
        <v>0</v>
      </c>
      <c r="P73" s="47">
        <f t="shared" ca="1" si="39"/>
        <v>0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447">IFERROR(VLOOKUP($B73 &amp; $C73&amp;S$4,tblForecast,S$2,FALSE),0)</f>
        <v>0</v>
      </c>
      <c r="T73" s="238">
        <f ca="1">SUMIFS(OFFSET(tblForecast,,T$2,,1),OFFSET(tblForecast,,,,1),$B73-IF(CompareVer="LY",1,0)&amp; $C73 &amp;T$4)</f>
        <v>0</v>
      </c>
      <c r="U73" s="91">
        <f t="shared" ca="1" si="7"/>
        <v>0</v>
      </c>
      <c r="V73" s="247">
        <f ca="1">IFERROR(IF(Q71&gt;0,Q73/Q71,0),0)</f>
        <v>0</v>
      </c>
      <c r="W73" s="327">
        <f ca="1">IFERROR(IF(R71&gt;0,R73/R71,X73),0)</f>
        <v>0</v>
      </c>
      <c r="X73" s="248">
        <f ca="1">IFERROR(IF(T71&gt;0,T73/T71,0),0)</f>
        <v>0</v>
      </c>
      <c r="Y73" s="51">
        <f t="shared" ref="Y73:AB76" ca="1" si="448">IFERROR(L73*AD73,0)</f>
        <v>0</v>
      </c>
      <c r="Z73" s="46">
        <f t="shared" si="448"/>
        <v>0</v>
      </c>
      <c r="AA73" s="46">
        <f t="shared" si="448"/>
        <v>0</v>
      </c>
      <c r="AB73" s="46">
        <f t="shared" ca="1" si="448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449">IF(AN73&lt;&gt;0,1-AS73/AN73,0)</f>
        <v>0</v>
      </c>
      <c r="AF73" s="93">
        <f t="shared" si="449"/>
        <v>0</v>
      </c>
      <c r="AG73" s="76">
        <f t="shared" ca="1" si="449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450">IFERROR(VLOOKUP($B73 &amp; $C73&amp;AI$4,tblForecast,AI$2,FALSE),0)</f>
        <v>0</v>
      </c>
      <c r="AJ73" s="94">
        <f t="shared" si="450"/>
        <v>0</v>
      </c>
      <c r="AK73" s="49">
        <f ca="1">IFERROR(CF73/BY73,0)</f>
        <v>0</v>
      </c>
      <c r="AL73" s="47">
        <f t="shared" ca="1" si="381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451">IFERROR(VLOOKUP($B73 &amp; $C73&amp;AN$4,tblForecast,AN$2,FALSE),0)</f>
        <v>0</v>
      </c>
      <c r="AO73" s="94">
        <f t="shared" si="451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452">IFERROR(VLOOKUP($B73 &amp; $C73&amp;AS$4,tblForecast,AS$2,FALSE),0)</f>
        <v>0</v>
      </c>
      <c r="AT73" s="94">
        <f t="shared" si="452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0">
        <f t="shared" ref="AW73:AZ76" ca="1" si="453">IFERROR((AM73/AH73-1)*-1,0)</f>
        <v>0</v>
      </c>
      <c r="AX73" s="191">
        <f t="shared" si="453"/>
        <v>0</v>
      </c>
      <c r="AY73" s="191">
        <f t="shared" si="453"/>
        <v>0</v>
      </c>
      <c r="AZ73" s="191">
        <f t="shared" ca="1" si="453"/>
        <v>0</v>
      </c>
      <c r="BA73" s="233">
        <f ca="1">IF(BA72+BV73+BL73+BR73-Q73&lt;0,0,BA72+BV73+BL73+BR73-Q73)</f>
        <v>0</v>
      </c>
      <c r="BB73" s="229">
        <f ca="1">IF(IFERROR(VLOOKUP($B73 &amp; $C73&amp;BB$4,tblForecast,BB$2,FALSE),0)=0,BA73,IFERROR(VLOOKUP($B73 &amp; $C73&amp;BB$4,tblForecast,BB$2,FALSE),0))</f>
        <v>0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454">CX73+BG73</f>
        <v>0</v>
      </c>
      <c r="BE73" s="193">
        <f t="shared" ca="1" si="19"/>
        <v>0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0</v>
      </c>
      <c r="BH73" s="178">
        <f ca="1">IF(Q73&lt;&gt;0,BA73/Q73,0)</f>
        <v>0</v>
      </c>
      <c r="BI73" s="182">
        <f ca="1">IF(T73&lt;&gt;0,BD73/T73,0)</f>
        <v>0</v>
      </c>
      <c r="BJ73" s="194">
        <f t="shared" ref="BJ73:BJ76" ca="1" si="455">IF(BA73&lt;&gt;0,Q73/BA73,0)</f>
        <v>0</v>
      </c>
      <c r="BK73" s="50">
        <f t="shared" ref="BK73:BK76" ca="1" si="456">IF(BD73&lt;&gt;0,T73/BD73,0)</f>
        <v>0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0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0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0</v>
      </c>
      <c r="BR73" s="225">
        <f t="shared" si="43"/>
        <v>0</v>
      </c>
      <c r="BS73" s="229">
        <f t="shared" ca="1" si="22"/>
        <v>0</v>
      </c>
      <c r="BT73" s="232">
        <f t="shared" ref="BT73:BU76" si="457">IFERROR(VLOOKUP($B73 &amp; $C73&amp;BT$4,tblForecast,BT$2,FALSE),0)</f>
        <v>0</v>
      </c>
      <c r="BU73" s="229">
        <f t="shared" si="457"/>
        <v>0</v>
      </c>
      <c r="BV73" s="229">
        <f>IF($A73="a",IFERROR(VLOOKUP($B73 &amp; $C73&amp;BV$4,tblForecast,BV$2,FALSE),0),BT73+BU73)</f>
        <v>0</v>
      </c>
      <c r="BW73" s="229">
        <f t="shared" ref="BW73:BX76" si="458">IFERROR(VLOOKUP($B73 &amp; $C73&amp;BW$4,tblForecast,BW$2,FALSE),0)</f>
        <v>0</v>
      </c>
      <c r="BX73" s="229">
        <f t="shared" si="458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459">IFERROR(VLOOKUP($B73 &amp; $C73&amp;CA$4,tblForecast,CA$2,FALSE),0)</f>
        <v>0</v>
      </c>
      <c r="CB73" s="46">
        <f t="shared" si="459"/>
        <v>0</v>
      </c>
      <c r="CC73" s="46">
        <f>IF($A73="a",IFERROR(VLOOKUP($B73 &amp; $C73&amp;CC$4,tblForecast,CC$2,FALSE),0),CA73+CB73)</f>
        <v>0</v>
      </c>
      <c r="CD73" s="46">
        <f t="shared" ref="CD73:CE76" si="460">IFERROR(VLOOKUP($B73 &amp; $C73&amp;CD$4,tblForecast,CD$2,FALSE),0)</f>
        <v>0</v>
      </c>
      <c r="CE73" s="46">
        <f t="shared" si="460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461">IFERROR(VLOOKUP($B73 &amp; $C73&amp;CH$4,tblForecast,CH$2,FALSE),0)</f>
        <v>0</v>
      </c>
      <c r="CI73" s="46">
        <f t="shared" si="461"/>
        <v>0</v>
      </c>
      <c r="CJ73" s="46">
        <f>IF($A73="a",IFERROR(VLOOKUP($B73 &amp; $C73&amp;CJ$4,tblForecast,CJ$2,FALSE),0),CH73+CI73)</f>
        <v>0</v>
      </c>
      <c r="CK73" s="46">
        <f t="shared" ref="CK73:CL76" si="462">IFERROR(VLOOKUP($B73 &amp; $C73&amp;CK$4,tblForecast,CK$2,FALSE),0)</f>
        <v>0</v>
      </c>
      <c r="CL73" s="46">
        <f t="shared" si="462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>
        <f t="shared" si="310"/>
        <v>0</v>
      </c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6">
        <f>IFERROR(VLOOKUP(Brand&amp;Channel&amp;Country&amp;$C73,tblDiscount,6,FALSE),0)</f>
        <v>0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478</v>
      </c>
      <c r="B74" s="44">
        <v>2018</v>
      </c>
      <c r="C74" s="88">
        <v>50</v>
      </c>
      <c r="D74" s="51">
        <f t="shared" ref="D74:D76" si="463">G74*H74</f>
        <v>0</v>
      </c>
      <c r="E74" s="201">
        <f t="shared" ref="E74:E76" si="464">IFERROR(D74*F74,0)</f>
        <v>0</v>
      </c>
      <c r="F74" s="181">
        <f t="shared" si="45"/>
        <v>0</v>
      </c>
      <c r="G74" s="175">
        <f t="shared" si="445"/>
        <v>0</v>
      </c>
      <c r="H74" s="202">
        <f t="shared" si="445"/>
        <v>0</v>
      </c>
      <c r="I74" s="202">
        <f t="shared" si="445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446"/>
        <v>0</v>
      </c>
      <c r="M74" s="90">
        <f t="shared" si="446"/>
        <v>0</v>
      </c>
      <c r="N74" s="46">
        <f t="shared" si="446"/>
        <v>0</v>
      </c>
      <c r="O74" s="46">
        <f t="shared" ca="1" si="446"/>
        <v>0</v>
      </c>
      <c r="P74" s="47">
        <f t="shared" ca="1" si="39"/>
        <v>0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447"/>
        <v>0</v>
      </c>
      <c r="T74" s="238">
        <f ca="1">SUMIFS(OFFSET(tblForecast,,T$2,,1),OFFSET(tblForecast,,,,1),$B74-IF(CompareVer="LY",1,0)&amp; $C74 &amp;T$4)</f>
        <v>0</v>
      </c>
      <c r="U74" s="91">
        <f t="shared" ca="1" si="7"/>
        <v>0</v>
      </c>
      <c r="V74" s="247">
        <f t="shared" ref="V74:V76" ca="1" si="465">IFERROR(IF(Q73&lt;&gt;0,Q74/Q73,0),0)</f>
        <v>0</v>
      </c>
      <c r="W74" s="327">
        <f ca="1">IFERROR(IF(R73&lt;&gt;0,R74/R73,X74),0)</f>
        <v>0</v>
      </c>
      <c r="X74" s="248">
        <f t="shared" ref="X74:X76" ca="1" si="466">IFERROR(IF(T73&lt;&gt;0,T74/T73,0),0)</f>
        <v>0</v>
      </c>
      <c r="Y74" s="51">
        <f t="shared" ca="1" si="448"/>
        <v>0</v>
      </c>
      <c r="Z74" s="46">
        <f t="shared" si="448"/>
        <v>0</v>
      </c>
      <c r="AA74" s="46">
        <f t="shared" si="448"/>
        <v>0</v>
      </c>
      <c r="AB74" s="46">
        <f t="shared" ca="1" si="448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449"/>
        <v>0</v>
      </c>
      <c r="AF74" s="93">
        <f t="shared" si="449"/>
        <v>0</v>
      </c>
      <c r="AG74" s="76">
        <f t="shared" ca="1" si="449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450"/>
        <v>0</v>
      </c>
      <c r="AJ74" s="94">
        <f t="shared" si="450"/>
        <v>0</v>
      </c>
      <c r="AK74" s="49">
        <f ca="1">IFERROR(CF74/BY74,0)</f>
        <v>0</v>
      </c>
      <c r="AL74" s="47">
        <f t="shared" ca="1" si="381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451"/>
        <v>0</v>
      </c>
      <c r="AO74" s="94">
        <f t="shared" si="451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452"/>
        <v>0</v>
      </c>
      <c r="AT74" s="94">
        <f t="shared" si="452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0">
        <f t="shared" ca="1" si="453"/>
        <v>0</v>
      </c>
      <c r="AX74" s="191">
        <f t="shared" si="453"/>
        <v>0</v>
      </c>
      <c r="AY74" s="191">
        <f t="shared" si="453"/>
        <v>0</v>
      </c>
      <c r="AZ74" s="191">
        <f t="shared" ca="1" si="453"/>
        <v>0</v>
      </c>
      <c r="BA74" s="233">
        <f ca="1">IF(BA73+BV74+BL74+BR74-Q74&lt;0,0,BA73+BV74+BL74+BR74-Q74)</f>
        <v>0</v>
      </c>
      <c r="BB74" s="229">
        <f ca="1">IF(IFERROR(VLOOKUP($B74 &amp; $C74&amp;BB$4,tblForecast,BB$2,FALSE),0)=0,BA74,IFERROR(VLOOKUP($B74 &amp; $C74&amp;BB$4,tblForecast,BB$2,FALSE),0))</f>
        <v>0</v>
      </c>
      <c r="BC74" s="229">
        <f ca="1">SUMIFS(OFFSET(tblForecast,,BC$2,,1),OFFSET(tblForecast,,,,1),$B74-IF(CompareVer="LY",1,0)&amp; $C74 &amp;BC$4)</f>
        <v>0</v>
      </c>
      <c r="BD74" s="229">
        <f t="shared" ca="1" si="454"/>
        <v>0</v>
      </c>
      <c r="BE74" s="193">
        <f t="shared" ca="1" si="19"/>
        <v>0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0</v>
      </c>
      <c r="BH74" s="178">
        <f ca="1">IF(Q74&lt;&gt;0,BA74/Q74,0)</f>
        <v>0</v>
      </c>
      <c r="BI74" s="182">
        <f ca="1">IF(T74&lt;&gt;0,BD74/T74,0)</f>
        <v>0</v>
      </c>
      <c r="BJ74" s="194">
        <f t="shared" ca="1" si="455"/>
        <v>0</v>
      </c>
      <c r="BK74" s="50">
        <f t="shared" ca="1" si="456"/>
        <v>0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0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0</v>
      </c>
      <c r="BT74" s="232">
        <f t="shared" si="457"/>
        <v>0</v>
      </c>
      <c r="BU74" s="229">
        <f t="shared" si="457"/>
        <v>0</v>
      </c>
      <c r="BV74" s="229">
        <f>IF($A74="a",IFERROR(VLOOKUP($B74 &amp; $C74&amp;BV$4,tblForecast,BV$2,FALSE),0),BT74+BU74)</f>
        <v>0</v>
      </c>
      <c r="BW74" s="229">
        <f t="shared" si="458"/>
        <v>0</v>
      </c>
      <c r="BX74" s="229">
        <f t="shared" si="458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459"/>
        <v>0</v>
      </c>
      <c r="CB74" s="46">
        <f t="shared" si="459"/>
        <v>0</v>
      </c>
      <c r="CC74" s="46">
        <f>IF($A74="a",IFERROR(VLOOKUP($B74 &amp; $C74&amp;CC$4,tblForecast,CC$2,FALSE),0),CA74+CB74)</f>
        <v>0</v>
      </c>
      <c r="CD74" s="46">
        <f t="shared" si="460"/>
        <v>0</v>
      </c>
      <c r="CE74" s="46">
        <f t="shared" si="460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461"/>
        <v>0</v>
      </c>
      <c r="CI74" s="46">
        <f t="shared" si="461"/>
        <v>0</v>
      </c>
      <c r="CJ74" s="46">
        <f>IF($A74="a",IFERROR(VLOOKUP($B74 &amp; $C74&amp;CJ$4,tblForecast,CJ$2,FALSE),0),CH74+CI74)</f>
        <v>0</v>
      </c>
      <c r="CK74" s="46">
        <f t="shared" si="462"/>
        <v>0</v>
      </c>
      <c r="CL74" s="46">
        <f t="shared" si="462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>
        <f t="shared" si="310"/>
        <v>0</v>
      </c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6">
        <f>IFERROR(VLOOKUP(Brand&amp;Channel&amp;Country&amp;$C74,tblDiscount,6,FALSE),0)</f>
        <v>0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478</v>
      </c>
      <c r="B75" s="44">
        <v>2018</v>
      </c>
      <c r="C75" s="88">
        <v>51</v>
      </c>
      <c r="D75" s="51">
        <f t="shared" si="463"/>
        <v>0</v>
      </c>
      <c r="E75" s="201">
        <f t="shared" si="464"/>
        <v>0</v>
      </c>
      <c r="F75" s="181">
        <f t="shared" si="45"/>
        <v>0</v>
      </c>
      <c r="G75" s="175">
        <f t="shared" si="445"/>
        <v>0</v>
      </c>
      <c r="H75" s="202">
        <f t="shared" si="445"/>
        <v>0</v>
      </c>
      <c r="I75" s="202">
        <f t="shared" si="445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446"/>
        <v>0</v>
      </c>
      <c r="M75" s="90">
        <f t="shared" si="446"/>
        <v>0</v>
      </c>
      <c r="N75" s="46">
        <f t="shared" si="446"/>
        <v>0</v>
      </c>
      <c r="O75" s="46">
        <f t="shared" ca="1" si="446"/>
        <v>0</v>
      </c>
      <c r="P75" s="47">
        <f t="shared" ca="1" si="39"/>
        <v>0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447"/>
        <v>0</v>
      </c>
      <c r="T75" s="238">
        <f ca="1">SUMIFS(OFFSET(tblForecast,,T$2,,1),OFFSET(tblForecast,,,,1),$B75-IF(CompareVer="LY",1,0)&amp; $C75 &amp;T$4)</f>
        <v>0</v>
      </c>
      <c r="U75" s="91">
        <f t="shared" ref="U75:U113" ca="1" si="467">IFERROR(Q75/T75-1,)</f>
        <v>0</v>
      </c>
      <c r="V75" s="247">
        <f t="shared" ca="1" si="465"/>
        <v>0</v>
      </c>
      <c r="W75" s="327">
        <f ca="1">IFERROR(IF(R74&lt;&gt;0,R75/R74,X75),0)</f>
        <v>0</v>
      </c>
      <c r="X75" s="248">
        <f t="shared" ca="1" si="466"/>
        <v>0</v>
      </c>
      <c r="Y75" s="51">
        <f t="shared" ca="1" si="448"/>
        <v>0</v>
      </c>
      <c r="Z75" s="46">
        <f t="shared" si="448"/>
        <v>0</v>
      </c>
      <c r="AA75" s="46">
        <f t="shared" si="448"/>
        <v>0</v>
      </c>
      <c r="AB75" s="46">
        <f t="shared" ca="1" si="448"/>
        <v>0</v>
      </c>
      <c r="AC75" s="91">
        <f t="shared" ref="AC75:AC113" ca="1" si="468">IFERROR(Y75/AB75-1,)</f>
        <v>0</v>
      </c>
      <c r="AD75" s="75">
        <f ca="1">IF(AM75&lt;&gt;0,1-AR75/AM75,0)</f>
        <v>0</v>
      </c>
      <c r="AE75" s="93">
        <f t="shared" si="449"/>
        <v>0</v>
      </c>
      <c r="AF75" s="93">
        <f t="shared" si="449"/>
        <v>0</v>
      </c>
      <c r="AG75" s="76">
        <f t="shared" ca="1" si="449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450"/>
        <v>0</v>
      </c>
      <c r="AJ75" s="94">
        <f t="shared" si="450"/>
        <v>0</v>
      </c>
      <c r="AK75" s="49">
        <f ca="1">IFERROR(CF75/BY75,0)</f>
        <v>0</v>
      </c>
      <c r="AL75" s="47">
        <f t="shared" ca="1" si="381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451"/>
        <v>0</v>
      </c>
      <c r="AO75" s="94">
        <f t="shared" si="451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113" ca="1" si="469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452"/>
        <v>0</v>
      </c>
      <c r="AT75" s="94">
        <f t="shared" si="452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113" ca="1" si="470">IFERROR(AR75/AU75-1,)</f>
        <v>0</v>
      </c>
      <c r="AW75" s="190">
        <f t="shared" ca="1" si="453"/>
        <v>0</v>
      </c>
      <c r="AX75" s="191">
        <f t="shared" si="453"/>
        <v>0</v>
      </c>
      <c r="AY75" s="191">
        <f t="shared" si="453"/>
        <v>0</v>
      </c>
      <c r="AZ75" s="191">
        <f t="shared" ca="1" si="453"/>
        <v>0</v>
      </c>
      <c r="BA75" s="233">
        <f ca="1">IF(BA74+BV75+BL75+BR75-Q75&lt;0,0,BA74+BV75+BL75+BR75-Q75)</f>
        <v>0</v>
      </c>
      <c r="BB75" s="229">
        <f ca="1">IF(IFERROR(VLOOKUP($B75 &amp; $C75&amp;BB$4,tblForecast,BB$2,FALSE),0)=0,BA75,IFERROR(VLOOKUP($B75 &amp; $C75&amp;BB$4,tblForecast,BB$2,FALSE),0))</f>
        <v>0</v>
      </c>
      <c r="BC75" s="229">
        <f ca="1">SUMIFS(OFFSET(tblForecast,,BC$2,,1),OFFSET(tblForecast,,,,1),$B75-IF(CompareVer="LY",1,0)&amp; $C75 &amp;BC$4)</f>
        <v>0</v>
      </c>
      <c r="BD75" s="229">
        <f t="shared" ca="1" si="454"/>
        <v>0</v>
      </c>
      <c r="BE75" s="193">
        <f t="shared" ref="BE75:BE113" ca="1" si="471">IFERROR(BA75/BD75-1,)</f>
        <v>0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0</v>
      </c>
      <c r="BH75" s="178">
        <f ca="1">IF(Q75&lt;&gt;0,BA75/Q75,0)</f>
        <v>0</v>
      </c>
      <c r="BI75" s="182">
        <f ca="1">IF(T75&lt;&gt;0,BD75/T75,0)</f>
        <v>0</v>
      </c>
      <c r="BJ75" s="194">
        <f t="shared" ca="1" si="455"/>
        <v>0</v>
      </c>
      <c r="BK75" s="50">
        <f t="shared" ca="1" si="456"/>
        <v>0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0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0</v>
      </c>
      <c r="BR75" s="225">
        <f t="shared" si="43"/>
        <v>0</v>
      </c>
      <c r="BS75" s="229">
        <f t="shared" ca="1" si="43"/>
        <v>0</v>
      </c>
      <c r="BT75" s="232">
        <f t="shared" si="457"/>
        <v>0</v>
      </c>
      <c r="BU75" s="229">
        <f t="shared" si="457"/>
        <v>0</v>
      </c>
      <c r="BV75" s="229">
        <f>IF($A75="a",IFERROR(VLOOKUP($B75 &amp; $C75&amp;BV$4,tblForecast,BV$2,FALSE),0),BT75+BU75)</f>
        <v>0</v>
      </c>
      <c r="BW75" s="229">
        <f t="shared" si="458"/>
        <v>0</v>
      </c>
      <c r="BX75" s="229">
        <f t="shared" si="458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113" ca="1" si="472">IFERROR(BV75/BY75-1,)</f>
        <v>0</v>
      </c>
      <c r="CA75" s="330">
        <f t="shared" si="459"/>
        <v>0</v>
      </c>
      <c r="CB75" s="46">
        <f t="shared" si="459"/>
        <v>0</v>
      </c>
      <c r="CC75" s="46">
        <f>IF($A75="a",IFERROR(VLOOKUP($B75 &amp; $C75&amp;CC$4,tblForecast,CC$2,FALSE),0),CA75+CB75)</f>
        <v>0</v>
      </c>
      <c r="CD75" s="46">
        <f t="shared" si="460"/>
        <v>0</v>
      </c>
      <c r="CE75" s="46">
        <f t="shared" si="460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113" ca="1" si="473">IFERROR(CC75/CF75-1,)</f>
        <v>0</v>
      </c>
      <c r="CH75" s="330">
        <f t="shared" si="461"/>
        <v>0</v>
      </c>
      <c r="CI75" s="46">
        <f t="shared" si="461"/>
        <v>0</v>
      </c>
      <c r="CJ75" s="46">
        <f>IF($A75="a",IFERROR(VLOOKUP($B75 &amp; $C75&amp;CJ$4,tblForecast,CJ$2,FALSE),0),CH75+CI75)</f>
        <v>0</v>
      </c>
      <c r="CK75" s="46">
        <f t="shared" si="462"/>
        <v>0</v>
      </c>
      <c r="CL75" s="46">
        <f t="shared" si="462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113" ca="1" si="474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113" ca="1" si="475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>
        <f t="shared" si="310"/>
        <v>0</v>
      </c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6">
        <f>IFERROR(VLOOKUP(Brand&amp;Channel&amp;Country&amp;$C75,tblDiscount,6,FALSE),0)</f>
        <v>0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478</v>
      </c>
      <c r="B76" s="44">
        <v>2018</v>
      </c>
      <c r="C76" s="88">
        <v>52</v>
      </c>
      <c r="D76" s="51">
        <f t="shared" si="463"/>
        <v>0</v>
      </c>
      <c r="E76" s="201">
        <f t="shared" si="464"/>
        <v>0</v>
      </c>
      <c r="F76" s="181">
        <f t="shared" si="45"/>
        <v>0</v>
      </c>
      <c r="G76" s="175">
        <f t="shared" si="445"/>
        <v>0</v>
      </c>
      <c r="H76" s="202">
        <f t="shared" si="445"/>
        <v>0</v>
      </c>
      <c r="I76" s="202">
        <f t="shared" si="445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446"/>
        <v>0</v>
      </c>
      <c r="M76" s="90">
        <f t="shared" si="446"/>
        <v>0</v>
      </c>
      <c r="N76" s="46">
        <f t="shared" si="446"/>
        <v>0</v>
      </c>
      <c r="O76" s="46">
        <f t="shared" ca="1" si="446"/>
        <v>0</v>
      </c>
      <c r="P76" s="47">
        <f t="shared" ref="P76:P113" ca="1" si="476">IFERROR(L76/O76-1,)</f>
        <v>0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447"/>
        <v>0</v>
      </c>
      <c r="T76" s="238">
        <f ca="1">SUMIFS(OFFSET(tblForecast,,T$2,,1),OFFSET(tblForecast,,,,1),$B76-IF(CompareVer="LY",1,0)&amp; $C76 &amp;T$4)</f>
        <v>0</v>
      </c>
      <c r="U76" s="91">
        <f t="shared" ca="1" si="467"/>
        <v>0</v>
      </c>
      <c r="V76" s="247">
        <f t="shared" ca="1" si="465"/>
        <v>0</v>
      </c>
      <c r="W76" s="327">
        <f ca="1">IFERROR(IF(R75&lt;&gt;0,R76/R75,X76),0)</f>
        <v>0</v>
      </c>
      <c r="X76" s="248">
        <f t="shared" ca="1" si="466"/>
        <v>0</v>
      </c>
      <c r="Y76" s="51">
        <f t="shared" ca="1" si="448"/>
        <v>0</v>
      </c>
      <c r="Z76" s="46">
        <f t="shared" si="448"/>
        <v>0</v>
      </c>
      <c r="AA76" s="46">
        <f t="shared" si="448"/>
        <v>0</v>
      </c>
      <c r="AB76" s="46">
        <f t="shared" ca="1" si="448"/>
        <v>0</v>
      </c>
      <c r="AC76" s="91">
        <f t="shared" ca="1" si="468"/>
        <v>0</v>
      </c>
      <c r="AD76" s="75">
        <f ca="1">IF(AM76&lt;&gt;0,1-AR76/AM76,0)</f>
        <v>0</v>
      </c>
      <c r="AE76" s="93">
        <f t="shared" si="449"/>
        <v>0</v>
      </c>
      <c r="AF76" s="93">
        <f t="shared" si="449"/>
        <v>0</v>
      </c>
      <c r="AG76" s="76">
        <f t="shared" ca="1" si="449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450"/>
        <v>0</v>
      </c>
      <c r="AJ76" s="94">
        <f t="shared" si="450"/>
        <v>0</v>
      </c>
      <c r="AK76" s="49">
        <f ca="1">IFERROR(CF76/BY76,0)</f>
        <v>0</v>
      </c>
      <c r="AL76" s="47">
        <f t="shared" ca="1" si="381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451"/>
        <v>0</v>
      </c>
      <c r="AO76" s="94">
        <f t="shared" si="451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469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452"/>
        <v>0</v>
      </c>
      <c r="AT76" s="94">
        <f t="shared" si="452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470"/>
        <v>0</v>
      </c>
      <c r="AW76" s="190">
        <f t="shared" ca="1" si="453"/>
        <v>0</v>
      </c>
      <c r="AX76" s="191">
        <f t="shared" si="453"/>
        <v>0</v>
      </c>
      <c r="AY76" s="191">
        <f t="shared" si="453"/>
        <v>0</v>
      </c>
      <c r="AZ76" s="191">
        <f t="shared" ca="1" si="453"/>
        <v>0</v>
      </c>
      <c r="BA76" s="233">
        <f ca="1">IF(BA75+BV76+BL76+BR76-Q76&lt;0,0,BA75+BV76+BL76+BR76-Q76)</f>
        <v>0</v>
      </c>
      <c r="BB76" s="229">
        <f ca="1">IF(IFERROR(VLOOKUP($B76 &amp; $C76&amp;BB$4,tblForecast,BB$2,FALSE),0)=0,BA76,IFERROR(VLOOKUP($B76 &amp; $C76&amp;BB$4,tblForecast,BB$2,FALSE),0))</f>
        <v>0</v>
      </c>
      <c r="BC76" s="229">
        <f ca="1">SUMIFS(OFFSET(tblForecast,,BC$2,,1),OFFSET(tblForecast,,,,1),$B76-IF(CompareVer="LY",1,0)&amp; $C76 &amp;BC$4)</f>
        <v>0</v>
      </c>
      <c r="BD76" s="229">
        <f t="shared" ca="1" si="454"/>
        <v>0</v>
      </c>
      <c r="BE76" s="193">
        <f t="shared" ca="1" si="471"/>
        <v>0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0</v>
      </c>
      <c r="BH76" s="178">
        <f ca="1">IF(Q76&lt;&gt;0,BA76/Q76,0)</f>
        <v>0</v>
      </c>
      <c r="BI76" s="182">
        <f ca="1">IF(T76&lt;&gt;0,BD76/T76,0)</f>
        <v>0</v>
      </c>
      <c r="BJ76" s="194">
        <f t="shared" ca="1" si="455"/>
        <v>0</v>
      </c>
      <c r="BK76" s="50">
        <f t="shared" ca="1" si="456"/>
        <v>0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0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0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477">BN76-BP76</f>
        <v>0</v>
      </c>
      <c r="BS76" s="229">
        <f t="shared" ca="1" si="477"/>
        <v>0</v>
      </c>
      <c r="BT76" s="232">
        <f t="shared" si="457"/>
        <v>0</v>
      </c>
      <c r="BU76" s="229">
        <f t="shared" si="457"/>
        <v>0</v>
      </c>
      <c r="BV76" s="229">
        <f>IF($A76="a",IFERROR(VLOOKUP($B76 &amp; $C76&amp;BV$4,tblForecast,BV$2,FALSE),0),BT76+BU76)</f>
        <v>0</v>
      </c>
      <c r="BW76" s="229">
        <f t="shared" si="458"/>
        <v>0</v>
      </c>
      <c r="BX76" s="229">
        <f t="shared" si="458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472"/>
        <v>0</v>
      </c>
      <c r="CA76" s="330">
        <f t="shared" si="459"/>
        <v>0</v>
      </c>
      <c r="CB76" s="46">
        <f t="shared" si="459"/>
        <v>0</v>
      </c>
      <c r="CC76" s="46">
        <f>IF($A76="a",IFERROR(VLOOKUP($B76 &amp; $C76&amp;CC$4,tblForecast,CC$2,FALSE),0),CA76+CB76)</f>
        <v>0</v>
      </c>
      <c r="CD76" s="46">
        <f t="shared" si="460"/>
        <v>0</v>
      </c>
      <c r="CE76" s="46">
        <f t="shared" si="460"/>
        <v>0</v>
      </c>
      <c r="CF76" s="46">
        <f ca="1">SUMIFS(OFFSET(tblForecast,,CF$2,,1),OFFSET(tblForecast,,,,1),$B76-IF(CompareVer="LY",1,0)&amp; $C76 &amp;CF$4)</f>
        <v>0</v>
      </c>
      <c r="CG76" s="193">
        <f t="shared" ca="1" si="473"/>
        <v>0</v>
      </c>
      <c r="CH76" s="330">
        <f t="shared" si="461"/>
        <v>0</v>
      </c>
      <c r="CI76" s="46">
        <f t="shared" si="461"/>
        <v>0</v>
      </c>
      <c r="CJ76" s="46">
        <f>IF($A76="a",IFERROR(VLOOKUP($B76 &amp; $C76&amp;CJ$4,tblForecast,CJ$2,FALSE),0),CH76+CI76)</f>
        <v>0</v>
      </c>
      <c r="CK76" s="46">
        <f t="shared" si="462"/>
        <v>0</v>
      </c>
      <c r="CL76" s="46">
        <f t="shared" si="462"/>
        <v>0</v>
      </c>
      <c r="CM76" s="46">
        <f ca="1">SUMIFS(OFFSET(tblForecast,,CM$2,,1),OFFSET(tblForecast,,,,1),$B76-IF(CompareVer="LY",1,0)&amp; $C76 &amp;CM$4)</f>
        <v>0</v>
      </c>
      <c r="CN76" s="193">
        <f t="shared" ca="1" si="474"/>
        <v>0</v>
      </c>
      <c r="CO76" s="177">
        <f t="shared" si="46"/>
        <v>0</v>
      </c>
      <c r="CP76" s="221">
        <f t="shared" ca="1" si="46"/>
        <v>0</v>
      </c>
      <c r="CQ76" s="193">
        <f t="shared" ca="1" si="475"/>
        <v>0</v>
      </c>
      <c r="CR76" s="177">
        <f t="shared" ref="CR76:CS96" si="478">IFERROR(CL76/BX76,0)</f>
        <v>0</v>
      </c>
      <c r="CS76" s="221">
        <f t="shared" ca="1" si="478"/>
        <v>0</v>
      </c>
      <c r="CT76" s="193">
        <f t="shared" ca="1" si="47"/>
        <v>0</v>
      </c>
      <c r="CU76" s="44">
        <f t="shared" si="310"/>
        <v>0</v>
      </c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6">
        <f>IFERROR(VLOOKUP(Brand&amp;Channel&amp;Country&amp;$C76,tblDiscount,6,FALSE),0)</f>
        <v>0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284</v>
      </c>
      <c r="D77" s="252">
        <f t="shared" ref="D77" si="479">SUM(D73:D76)</f>
        <v>0</v>
      </c>
      <c r="E77" s="253">
        <f t="shared" ref="E77" si="480">SUM(E73:E76)</f>
        <v>0</v>
      </c>
      <c r="F77" s="254">
        <f t="shared" ref="F77:F113" si="481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482">SUM(M73:M76)</f>
        <v>0</v>
      </c>
      <c r="N77" s="257">
        <f t="shared" si="482"/>
        <v>0</v>
      </c>
      <c r="O77" s="257">
        <f t="shared" ca="1" si="482"/>
        <v>0</v>
      </c>
      <c r="P77" s="258">
        <f t="shared" ca="1" si="476"/>
        <v>0</v>
      </c>
      <c r="Q77" s="259">
        <f t="shared" ref="Q77:S77" ca="1" si="483">SUM(Q73:Q76)</f>
        <v>0</v>
      </c>
      <c r="R77" s="260">
        <f t="shared" si="483"/>
        <v>0</v>
      </c>
      <c r="S77" s="260">
        <f t="shared" si="483"/>
        <v>0</v>
      </c>
      <c r="T77" s="260">
        <f ca="1">SUM(T73:T76)</f>
        <v>0</v>
      </c>
      <c r="U77" s="258">
        <f t="shared" ca="1" si="467"/>
        <v>0</v>
      </c>
      <c r="V77" s="261">
        <f t="shared" ref="V77:X79" ca="1" si="484">V76</f>
        <v>0</v>
      </c>
      <c r="W77" s="325">
        <f t="shared" ca="1" si="484"/>
        <v>0</v>
      </c>
      <c r="X77" s="262">
        <f t="shared" ca="1" si="484"/>
        <v>0</v>
      </c>
      <c r="Y77" s="252">
        <f ca="1">SUM(Y73:Y76)</f>
        <v>0</v>
      </c>
      <c r="Z77" s="257">
        <f t="shared" ref="Z77:AB77" si="485">SUM(Z73:Z76)</f>
        <v>0</v>
      </c>
      <c r="AA77" s="257">
        <f t="shared" si="485"/>
        <v>0</v>
      </c>
      <c r="AB77" s="257">
        <f t="shared" ca="1" si="485"/>
        <v>0</v>
      </c>
      <c r="AC77" s="258">
        <f t="shared" ca="1" si="468"/>
        <v>0</v>
      </c>
      <c r="AD77" s="263">
        <f t="shared" ref="AD77:AG79" ca="1" si="486">IFERROR(Y77/L77,0)</f>
        <v>0</v>
      </c>
      <c r="AE77" s="264">
        <f t="shared" si="486"/>
        <v>0</v>
      </c>
      <c r="AF77" s="264">
        <f t="shared" si="486"/>
        <v>0</v>
      </c>
      <c r="AG77" s="264">
        <f t="shared" ca="1" si="486"/>
        <v>0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487">IFERROR(SUMPRODUCT(AJ73:AJ76,S73:S76)/S77,0)</f>
        <v>0</v>
      </c>
      <c r="AK77" s="266">
        <f t="shared" ca="1" si="487"/>
        <v>0</v>
      </c>
      <c r="AL77" s="258">
        <f t="shared" ca="1" si="381"/>
        <v>0</v>
      </c>
      <c r="AM77" s="265">
        <f t="shared" ref="AM77:AP79" ca="1" si="488">IF(Q77&lt;&gt;0,L77/Q77,0)</f>
        <v>0</v>
      </c>
      <c r="AN77" s="266">
        <f t="shared" si="488"/>
        <v>0</v>
      </c>
      <c r="AO77" s="266">
        <f t="shared" si="488"/>
        <v>0</v>
      </c>
      <c r="AP77" s="266">
        <f t="shared" ca="1" si="488"/>
        <v>0</v>
      </c>
      <c r="AQ77" s="258">
        <f t="shared" ca="1" si="469"/>
        <v>0</v>
      </c>
      <c r="AR77" s="265">
        <f t="shared" ref="AR77:AU79" ca="1" si="489">IFERROR((L77*(1-AD77))/Q77,0)</f>
        <v>0</v>
      </c>
      <c r="AS77" s="266">
        <f t="shared" si="489"/>
        <v>0</v>
      </c>
      <c r="AT77" s="266">
        <f t="shared" si="489"/>
        <v>0</v>
      </c>
      <c r="AU77" s="266">
        <f t="shared" ca="1" si="489"/>
        <v>0</v>
      </c>
      <c r="AV77" s="258">
        <f t="shared" ca="1" si="470"/>
        <v>0</v>
      </c>
      <c r="AW77" s="267">
        <f ca="1">IFERROR(SUMPRODUCT(AW73:AW76,V73:V76)/V77,0)</f>
        <v>0</v>
      </c>
      <c r="AX77" s="268">
        <f t="shared" ref="AX77:AZ77" ca="1" si="490">IFERROR(SUMPRODUCT(AX73:AX76,X73:X76)/X77,0)</f>
        <v>0</v>
      </c>
      <c r="AY77" s="268">
        <f t="shared" ca="1" si="490"/>
        <v>0</v>
      </c>
      <c r="AZ77" s="268">
        <f t="shared" ca="1" si="490"/>
        <v>0</v>
      </c>
      <c r="BA77" s="259">
        <f ca="1">BA76</f>
        <v>0</v>
      </c>
      <c r="BB77" s="260">
        <f t="shared" ref="BB77:BD79" ca="1" si="491">BB76</f>
        <v>0</v>
      </c>
      <c r="BC77" s="260">
        <f t="shared" ca="1" si="491"/>
        <v>0</v>
      </c>
      <c r="BD77" s="260">
        <f t="shared" ca="1" si="491"/>
        <v>0</v>
      </c>
      <c r="BE77" s="258">
        <f t="shared" ca="1" si="471"/>
        <v>0</v>
      </c>
      <c r="BF77" s="260">
        <f t="shared" ref="BF77:BG79" si="492">BF76</f>
        <v>0</v>
      </c>
      <c r="BG77" s="260">
        <f t="shared" ca="1" si="492"/>
        <v>0</v>
      </c>
      <c r="BH77" s="269">
        <f ca="1">IF(Q77&lt;&gt;0,(BA77*COUNTIF(BH73:BH76,"&lt;&gt;0")/Q77),0)</f>
        <v>0</v>
      </c>
      <c r="BI77" s="270">
        <f ca="1">IF(T77&lt;&gt;0,(BD77*COUNTIF(BI73:BI76,"&lt;&gt;0")/T77),0)</f>
        <v>0</v>
      </c>
      <c r="BJ77" s="271">
        <f t="shared" ref="BJ77" ca="1" si="493">IF(BA77&lt;&gt;0,(Q77/COUNTIF(BJ73:BJ76,"&lt;&gt;0"))/BA77,0)</f>
        <v>0</v>
      </c>
      <c r="BK77" s="272">
        <f t="shared" ref="BK77" ca="1" si="494">IF(BD77&lt;&gt;0,(T77/COUNTIF(BK73:BK76,"&lt;&gt;0"))/BD77,0)</f>
        <v>0</v>
      </c>
      <c r="BL77" s="259">
        <f>SUM(BL73:BL76)</f>
        <v>0</v>
      </c>
      <c r="BM77" s="260">
        <f ca="1">SUM(BM73:BM76)</f>
        <v>0</v>
      </c>
      <c r="BN77" s="259">
        <f>SUM(BN73:BN76)</f>
        <v>0</v>
      </c>
      <c r="BO77" s="260">
        <f t="shared" ref="BO77:BQ77" ca="1" si="495">SUM(BO73:BO76)</f>
        <v>0</v>
      </c>
      <c r="BP77" s="259">
        <f>SUM(BP73:BP76)</f>
        <v>0</v>
      </c>
      <c r="BQ77" s="260">
        <f t="shared" ca="1" si="495"/>
        <v>0</v>
      </c>
      <c r="BR77" s="259">
        <f t="shared" si="477"/>
        <v>0</v>
      </c>
      <c r="BS77" s="260">
        <f t="shared" ca="1" si="477"/>
        <v>0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496">SUM(BW73:BW76)</f>
        <v>0</v>
      </c>
      <c r="BX77" s="260">
        <f t="shared" si="496"/>
        <v>0</v>
      </c>
      <c r="BY77" s="273">
        <f ca="1">SUM(BY73:BY76)</f>
        <v>0</v>
      </c>
      <c r="BZ77" s="258">
        <f t="shared" ca="1" si="472"/>
        <v>0</v>
      </c>
      <c r="CA77" s="331">
        <f>SUM(CA74:CA76)</f>
        <v>0</v>
      </c>
      <c r="CB77" s="257">
        <f t="shared" ref="CB77" si="497">SUM(CB74:CB76)</f>
        <v>0</v>
      </c>
      <c r="CC77" s="257">
        <f t="shared" ref="CC77:CF77" si="498">SUM(CC73:CC76)</f>
        <v>0</v>
      </c>
      <c r="CD77" s="257">
        <f t="shared" si="498"/>
        <v>0</v>
      </c>
      <c r="CE77" s="257">
        <f t="shared" si="498"/>
        <v>0</v>
      </c>
      <c r="CF77" s="257">
        <f t="shared" ca="1" si="498"/>
        <v>0</v>
      </c>
      <c r="CG77" s="258">
        <f t="shared" ca="1" si="473"/>
        <v>0</v>
      </c>
      <c r="CH77" s="331">
        <f>SUM(CH74:CH76)</f>
        <v>0</v>
      </c>
      <c r="CI77" s="257">
        <f t="shared" ref="CI77" si="499">SUM(CI74:CI76)</f>
        <v>0</v>
      </c>
      <c r="CJ77" s="257">
        <f t="shared" ref="CJ77:CM77" si="500">SUM(CJ73:CJ76)</f>
        <v>0</v>
      </c>
      <c r="CK77" s="257">
        <f t="shared" si="500"/>
        <v>0</v>
      </c>
      <c r="CL77" s="257">
        <f t="shared" si="500"/>
        <v>0</v>
      </c>
      <c r="CM77" s="257">
        <f t="shared" ca="1" si="500"/>
        <v>0</v>
      </c>
      <c r="CN77" s="258">
        <f t="shared" ca="1" si="474"/>
        <v>0</v>
      </c>
      <c r="CO77" s="274">
        <f t="shared" si="46"/>
        <v>0</v>
      </c>
      <c r="CP77" s="275">
        <f t="shared" ca="1" si="46"/>
        <v>0</v>
      </c>
      <c r="CQ77" s="258">
        <f t="shared" ca="1" si="475"/>
        <v>0</v>
      </c>
      <c r="CR77" s="274">
        <f t="shared" si="478"/>
        <v>0</v>
      </c>
      <c r="CS77" s="275">
        <f t="shared" ca="1" si="478"/>
        <v>0</v>
      </c>
      <c r="CT77" s="258">
        <f t="shared" ca="1" si="47"/>
        <v>0</v>
      </c>
      <c r="CU77" s="44">
        <f t="shared" si="310"/>
        <v>0</v>
      </c>
      <c r="CW77" s="100">
        <f t="shared" ref="CW77:CX79" ca="1" si="501">CW76</f>
        <v>0</v>
      </c>
      <c r="CX77" s="101">
        <f t="shared" ca="1" si="501"/>
        <v>0</v>
      </c>
      <c r="CY77" s="99">
        <f ca="1">IFERROR(CW77/CX77-1,)</f>
        <v>0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:E78" si="502">D66+D72+D77</f>
        <v>0</v>
      </c>
      <c r="E78" s="204">
        <f t="shared" si="502"/>
        <v>0</v>
      </c>
      <c r="F78" s="205">
        <f t="shared" si="481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:K78" si="503">J66+J72+J77</f>
        <v>0</v>
      </c>
      <c r="K78" s="298">
        <f t="shared" si="503"/>
        <v>0</v>
      </c>
      <c r="L78" s="53">
        <f ca="1">L66+L72+L77</f>
        <v>0</v>
      </c>
      <c r="M78" s="53">
        <f t="shared" ref="M78:O78" si="504">M66+M72+M77</f>
        <v>0</v>
      </c>
      <c r="N78" s="53">
        <f t="shared" si="504"/>
        <v>0</v>
      </c>
      <c r="O78" s="53">
        <f t="shared" ca="1" si="504"/>
        <v>0</v>
      </c>
      <c r="P78" s="54">
        <f t="shared" ca="1" si="476"/>
        <v>0</v>
      </c>
      <c r="Q78" s="227">
        <f t="shared" ref="Q78:S78" ca="1" si="505">Q66+Q72+Q77</f>
        <v>0</v>
      </c>
      <c r="R78" s="228">
        <f t="shared" si="505"/>
        <v>0</v>
      </c>
      <c r="S78" s="228">
        <f t="shared" si="505"/>
        <v>0</v>
      </c>
      <c r="T78" s="228">
        <f ca="1">T66+T72+T77</f>
        <v>0</v>
      </c>
      <c r="U78" s="54">
        <f t="shared" ca="1" si="467"/>
        <v>0</v>
      </c>
      <c r="V78" s="245">
        <f t="shared" ca="1" si="484"/>
        <v>0</v>
      </c>
      <c r="W78" s="326">
        <f t="shared" ca="1" si="484"/>
        <v>0</v>
      </c>
      <c r="X78" s="246">
        <f t="shared" ca="1" si="484"/>
        <v>0</v>
      </c>
      <c r="Y78" s="52">
        <f ca="1">Y66+Y72+Y77</f>
        <v>0</v>
      </c>
      <c r="Z78" s="53">
        <f t="shared" ref="Z78:AB78" si="506">Z66+Z72+Z77</f>
        <v>0</v>
      </c>
      <c r="AA78" s="53">
        <f t="shared" si="506"/>
        <v>0</v>
      </c>
      <c r="AB78" s="53">
        <f t="shared" ca="1" si="506"/>
        <v>0</v>
      </c>
      <c r="AC78" s="54">
        <f t="shared" ca="1" si="468"/>
        <v>0</v>
      </c>
      <c r="AD78" s="77">
        <f t="shared" ca="1" si="486"/>
        <v>0</v>
      </c>
      <c r="AE78" s="78">
        <f t="shared" si="486"/>
        <v>0</v>
      </c>
      <c r="AF78" s="78">
        <f t="shared" si="486"/>
        <v>0</v>
      </c>
      <c r="AG78" s="78">
        <f t="shared" ca="1" si="486"/>
        <v>0</v>
      </c>
      <c r="AH78" s="58">
        <f ca="1">IFERROR((AH66*Q66+AH72*Q72+AH77*Q77)/Q78,0)</f>
        <v>0</v>
      </c>
      <c r="AI78" s="58">
        <f t="shared" ref="AI78:AL78" si="507">IFERROR((AI66*R66+AI72*R72+AI77*R77)/R78,0)</f>
        <v>0</v>
      </c>
      <c r="AJ78" s="58">
        <f t="shared" si="507"/>
        <v>0</v>
      </c>
      <c r="AK78" s="58">
        <f t="shared" ca="1" si="507"/>
        <v>0</v>
      </c>
      <c r="AL78" s="54">
        <f t="shared" ca="1" si="507"/>
        <v>0</v>
      </c>
      <c r="AM78" s="57">
        <f t="shared" ca="1" si="488"/>
        <v>0</v>
      </c>
      <c r="AN78" s="58">
        <f t="shared" si="488"/>
        <v>0</v>
      </c>
      <c r="AO78" s="58">
        <f t="shared" si="488"/>
        <v>0</v>
      </c>
      <c r="AP78" s="58">
        <f t="shared" ca="1" si="488"/>
        <v>0</v>
      </c>
      <c r="AQ78" s="54">
        <f t="shared" ca="1" si="469"/>
        <v>0</v>
      </c>
      <c r="AR78" s="57">
        <f t="shared" ca="1" si="489"/>
        <v>0</v>
      </c>
      <c r="AS78" s="58">
        <f t="shared" si="489"/>
        <v>0</v>
      </c>
      <c r="AT78" s="58">
        <f t="shared" si="489"/>
        <v>0</v>
      </c>
      <c r="AU78" s="58">
        <f t="shared" ca="1" si="489"/>
        <v>0</v>
      </c>
      <c r="AV78" s="54">
        <f t="shared" ca="1" si="470"/>
        <v>0</v>
      </c>
      <c r="AW78" s="59">
        <f ca="1">IFERROR((AW66*V66+AW72*V72+AW77*V77)/V78,0)</f>
        <v>0</v>
      </c>
      <c r="AX78" s="60">
        <f t="shared" ref="AX78:AZ78" ca="1" si="508">IFERROR((AX66*X66+AX72*X72+AX77*X77)/X78,0)</f>
        <v>0</v>
      </c>
      <c r="AY78" s="60">
        <f t="shared" ca="1" si="508"/>
        <v>0</v>
      </c>
      <c r="AZ78" s="60">
        <f t="shared" ca="1" si="508"/>
        <v>0</v>
      </c>
      <c r="BA78" s="234">
        <f ca="1">BA77</f>
        <v>0</v>
      </c>
      <c r="BB78" s="228">
        <f t="shared" ca="1" si="491"/>
        <v>0</v>
      </c>
      <c r="BC78" s="228">
        <f t="shared" ca="1" si="491"/>
        <v>0</v>
      </c>
      <c r="BD78" s="228">
        <f t="shared" ca="1" si="491"/>
        <v>0</v>
      </c>
      <c r="BE78" s="54">
        <f t="shared" ca="1" si="471"/>
        <v>0</v>
      </c>
      <c r="BF78" s="228">
        <f t="shared" si="492"/>
        <v>0</v>
      </c>
      <c r="BG78" s="228">
        <f t="shared" ca="1" si="492"/>
        <v>0</v>
      </c>
      <c r="BH78" s="62">
        <f ca="1">IF(Q76&lt;&gt;0,(BA78/(Q78/13)),0)</f>
        <v>0</v>
      </c>
      <c r="BI78" s="132">
        <f ca="1">IF(T76&lt;&gt;0,(BD78/(T78/13)),0)</f>
        <v>0</v>
      </c>
      <c r="BJ78" s="189">
        <f t="shared" ref="BJ78" ca="1" si="509">IF(BA78&lt;&gt;0,(Q78/13)/BA78,0)</f>
        <v>0</v>
      </c>
      <c r="BK78" s="61">
        <f t="shared" ref="BK78" ca="1" si="510">IF(BD78&lt;&gt;0,(T78/13)/BD78,0)</f>
        <v>0</v>
      </c>
      <c r="BL78" s="227">
        <f>BL66+BL72+BL77</f>
        <v>0</v>
      </c>
      <c r="BM78" s="228">
        <f t="shared" ref="BM78" ca="1" si="511">BM66+BM72+BM77</f>
        <v>0</v>
      </c>
      <c r="BN78" s="227">
        <f>BN66+BN72+BN77</f>
        <v>0</v>
      </c>
      <c r="BO78" s="228">
        <f t="shared" ref="BO78:BQ78" ca="1" si="512">BO66+BO72+BO77</f>
        <v>0</v>
      </c>
      <c r="BP78" s="227">
        <f>BP66+BP72+BP77</f>
        <v>0</v>
      </c>
      <c r="BQ78" s="228">
        <f t="shared" ca="1" si="512"/>
        <v>0</v>
      </c>
      <c r="BR78" s="227">
        <f t="shared" si="477"/>
        <v>0</v>
      </c>
      <c r="BS78" s="228">
        <f t="shared" ca="1" si="477"/>
        <v>0</v>
      </c>
      <c r="BT78" s="227">
        <f t="shared" ref="BT78:BY78" si="513">BT66+BT72+BT77</f>
        <v>0</v>
      </c>
      <c r="BU78" s="228">
        <f t="shared" si="513"/>
        <v>0</v>
      </c>
      <c r="BV78" s="228">
        <f t="shared" si="513"/>
        <v>0</v>
      </c>
      <c r="BW78" s="228">
        <f t="shared" si="513"/>
        <v>0</v>
      </c>
      <c r="BX78" s="228">
        <f t="shared" si="513"/>
        <v>0</v>
      </c>
      <c r="BY78" s="56">
        <f t="shared" ca="1" si="513"/>
        <v>0</v>
      </c>
      <c r="BZ78" s="54">
        <f t="shared" ca="1" si="472"/>
        <v>0</v>
      </c>
      <c r="CA78" s="332">
        <f t="shared" ref="CA78:CF78" si="514">CA66+CA72+CA77</f>
        <v>0</v>
      </c>
      <c r="CB78" s="53">
        <f t="shared" si="514"/>
        <v>0</v>
      </c>
      <c r="CC78" s="53">
        <f t="shared" si="514"/>
        <v>0</v>
      </c>
      <c r="CD78" s="53">
        <f t="shared" si="514"/>
        <v>0</v>
      </c>
      <c r="CE78" s="53">
        <f t="shared" si="514"/>
        <v>0</v>
      </c>
      <c r="CF78" s="53">
        <f t="shared" ca="1" si="514"/>
        <v>0</v>
      </c>
      <c r="CG78" s="54">
        <f t="shared" ca="1" si="473"/>
        <v>0</v>
      </c>
      <c r="CH78" s="332">
        <f t="shared" ref="CH78:CM78" si="515">CH66+CH72+CH77</f>
        <v>0</v>
      </c>
      <c r="CI78" s="53">
        <f t="shared" si="515"/>
        <v>0</v>
      </c>
      <c r="CJ78" s="53">
        <f t="shared" si="515"/>
        <v>0</v>
      </c>
      <c r="CK78" s="53">
        <f t="shared" si="515"/>
        <v>0</v>
      </c>
      <c r="CL78" s="53">
        <f t="shared" si="515"/>
        <v>0</v>
      </c>
      <c r="CM78" s="53">
        <f t="shared" ca="1" si="515"/>
        <v>0</v>
      </c>
      <c r="CN78" s="54">
        <f t="shared" ca="1" si="474"/>
        <v>0</v>
      </c>
      <c r="CO78" s="55">
        <f t="shared" ref="CO78:CP96" si="516">IFERROR(CE78/BX78,0)</f>
        <v>0</v>
      </c>
      <c r="CP78" s="222">
        <f t="shared" ca="1" si="516"/>
        <v>0</v>
      </c>
      <c r="CQ78" s="54">
        <f t="shared" ca="1" si="475"/>
        <v>0</v>
      </c>
      <c r="CR78" s="55">
        <f t="shared" si="478"/>
        <v>0</v>
      </c>
      <c r="CS78" s="222">
        <f t="shared" ca="1" si="478"/>
        <v>0</v>
      </c>
      <c r="CT78" s="54">
        <f t="shared" ref="CT78:CT113" ca="1" si="517">IFERROR(CO78/CS78-1,)</f>
        <v>0</v>
      </c>
      <c r="CU78" s="44">
        <f t="shared" si="310"/>
        <v>0</v>
      </c>
      <c r="CW78" s="55">
        <f t="shared" ca="1" si="501"/>
        <v>0</v>
      </c>
      <c r="CX78" s="56">
        <f t="shared" ca="1" si="501"/>
        <v>0</v>
      </c>
      <c r="CY78" s="54">
        <f ca="1">IFERROR(CW78/CX78-1,)</f>
        <v>0</v>
      </c>
      <c r="CZ78" s="279"/>
      <c r="DA78" s="280"/>
      <c r="DB78" s="280"/>
      <c r="DC78" s="281"/>
    </row>
    <row r="79" spans="1:107" ht="16.5" thickBot="1" x14ac:dyDescent="0.3">
      <c r="C79" s="282" t="s">
        <v>386</v>
      </c>
      <c r="D79" s="63">
        <f t="shared" ref="D79:K79" si="518">D27+D44+D61+D78</f>
        <v>0</v>
      </c>
      <c r="E79" s="208">
        <f t="shared" si="518"/>
        <v>0</v>
      </c>
      <c r="F79" s="209">
        <f t="shared" si="481"/>
        <v>0</v>
      </c>
      <c r="G79" s="207">
        <f t="shared" si="518"/>
        <v>0</v>
      </c>
      <c r="H79" s="210">
        <f>IFERROR(D79/G79,0)</f>
        <v>0</v>
      </c>
      <c r="I79" s="69">
        <f>IFERROR((I67*G67+I73*G73+I78*G78)/G79,0)</f>
        <v>0</v>
      </c>
      <c r="J79" s="207">
        <f t="shared" si="518"/>
        <v>0</v>
      </c>
      <c r="K79" s="299">
        <f t="shared" si="518"/>
        <v>0</v>
      </c>
      <c r="L79" s="64">
        <f ca="1">L27+L44+L61+L78</f>
        <v>0</v>
      </c>
      <c r="M79" s="64">
        <f t="shared" ref="M79:O79" si="519">M27+M44+M61+M78</f>
        <v>0</v>
      </c>
      <c r="N79" s="64">
        <f t="shared" si="519"/>
        <v>0</v>
      </c>
      <c r="O79" s="64">
        <f t="shared" ca="1" si="519"/>
        <v>0</v>
      </c>
      <c r="P79" s="65">
        <f t="shared" ca="1" si="476"/>
        <v>0</v>
      </c>
      <c r="Q79" s="241">
        <f t="shared" ref="Q79:S79" ca="1" si="520">Q27+Q44+Q61+Q78</f>
        <v>0</v>
      </c>
      <c r="R79" s="242">
        <f t="shared" si="520"/>
        <v>0</v>
      </c>
      <c r="S79" s="242">
        <f t="shared" si="520"/>
        <v>0</v>
      </c>
      <c r="T79" s="242">
        <f ca="1">T27+T44+T61+T78</f>
        <v>0</v>
      </c>
      <c r="U79" s="65">
        <f t="shared" ca="1" si="467"/>
        <v>0</v>
      </c>
      <c r="V79" s="249">
        <f t="shared" ca="1" si="484"/>
        <v>0</v>
      </c>
      <c r="W79" s="328">
        <f t="shared" ca="1" si="484"/>
        <v>0</v>
      </c>
      <c r="X79" s="250">
        <f t="shared" ca="1" si="484"/>
        <v>0</v>
      </c>
      <c r="Y79" s="63">
        <f ca="1">Y27+Y44+Y61+Y78</f>
        <v>0</v>
      </c>
      <c r="Z79" s="64">
        <f t="shared" ref="Z79:AB79" si="521">Z27+Z44+Z61+Z78</f>
        <v>0</v>
      </c>
      <c r="AA79" s="64">
        <f t="shared" si="521"/>
        <v>0</v>
      </c>
      <c r="AB79" s="64">
        <f t="shared" ca="1" si="521"/>
        <v>0</v>
      </c>
      <c r="AC79" s="65">
        <f t="shared" ca="1" si="468"/>
        <v>0</v>
      </c>
      <c r="AD79" s="79">
        <f t="shared" ca="1" si="486"/>
        <v>0</v>
      </c>
      <c r="AE79" s="80">
        <f t="shared" si="486"/>
        <v>0</v>
      </c>
      <c r="AF79" s="80">
        <f t="shared" si="486"/>
        <v>0</v>
      </c>
      <c r="AG79" s="80">
        <f t="shared" ca="1" si="486"/>
        <v>0</v>
      </c>
      <c r="AH79" s="69">
        <f ca="1">IFERROR((AH27*Q27+AH44*Q44+AH61*Q61+AH78*Q78)/Q79,0)</f>
        <v>0</v>
      </c>
      <c r="AI79" s="69">
        <f t="shared" ref="AI79:AK79" si="522">IFERROR((AI27*R27+AI44*R44+AI61*R61+AI78*R78)/R79,0)</f>
        <v>0</v>
      </c>
      <c r="AJ79" s="69">
        <f t="shared" si="522"/>
        <v>0</v>
      </c>
      <c r="AK79" s="69">
        <f t="shared" ca="1" si="522"/>
        <v>0</v>
      </c>
      <c r="AL79" s="65">
        <f t="shared" ca="1" si="381"/>
        <v>0</v>
      </c>
      <c r="AM79" s="68">
        <f t="shared" ca="1" si="488"/>
        <v>0</v>
      </c>
      <c r="AN79" s="69">
        <f t="shared" si="488"/>
        <v>0</v>
      </c>
      <c r="AO79" s="69">
        <f t="shared" si="488"/>
        <v>0</v>
      </c>
      <c r="AP79" s="69">
        <f t="shared" ca="1" si="488"/>
        <v>0</v>
      </c>
      <c r="AQ79" s="65">
        <f t="shared" ca="1" si="469"/>
        <v>0</v>
      </c>
      <c r="AR79" s="68">
        <f t="shared" ca="1" si="489"/>
        <v>0</v>
      </c>
      <c r="AS79" s="69">
        <f t="shared" si="489"/>
        <v>0</v>
      </c>
      <c r="AT79" s="69">
        <f t="shared" si="489"/>
        <v>0</v>
      </c>
      <c r="AU79" s="69">
        <f t="shared" ca="1" si="489"/>
        <v>0</v>
      </c>
      <c r="AV79" s="65">
        <f t="shared" ca="1" si="470"/>
        <v>0</v>
      </c>
      <c r="AW79" s="70">
        <f ca="1">IFERROR((AW27*V27+AW44*V44+AW61*V61+AW78*V78)/V79,0)</f>
        <v>0</v>
      </c>
      <c r="AX79" s="71">
        <f t="shared" ref="AX79:AZ79" ca="1" si="523">IFERROR((AX27*X27+AX44*X44+AX61*X61+AX78*X78)/X79,0)</f>
        <v>0</v>
      </c>
      <c r="AY79" s="71">
        <f t="shared" ca="1" si="523"/>
        <v>0</v>
      </c>
      <c r="AZ79" s="71">
        <f t="shared" ca="1" si="523"/>
        <v>0</v>
      </c>
      <c r="BA79" s="235">
        <f ca="1">BA78</f>
        <v>0</v>
      </c>
      <c r="BB79" s="231">
        <f t="shared" ca="1" si="491"/>
        <v>0</v>
      </c>
      <c r="BC79" s="231">
        <f t="shared" ca="1" si="491"/>
        <v>0</v>
      </c>
      <c r="BD79" s="231">
        <f t="shared" ca="1" si="491"/>
        <v>0</v>
      </c>
      <c r="BE79" s="134">
        <f t="shared" ca="1" si="471"/>
        <v>0</v>
      </c>
      <c r="BF79" s="231">
        <f t="shared" si="492"/>
        <v>0</v>
      </c>
      <c r="BG79" s="231">
        <f t="shared" ca="1" si="492"/>
        <v>0</v>
      </c>
      <c r="BH79" s="136">
        <f ca="1">IF(Q77&lt;&gt;0,(BA79/(Q79/52)),0)</f>
        <v>0</v>
      </c>
      <c r="BI79" s="137">
        <f ca="1">IF(T77&lt;&gt;0,(BD79/(T79/52)),0)</f>
        <v>0</v>
      </c>
      <c r="BJ79" s="195">
        <f ca="1">IF(BA79&lt;&gt;0,(Q79/52)/BA79,0)</f>
        <v>0</v>
      </c>
      <c r="BK79" s="72">
        <f ca="1">IF(BD79&lt;&gt;0,(T79/52)/BD79,0)</f>
        <v>0</v>
      </c>
      <c r="BL79" s="230">
        <f>BL27+BL44+BL61+BL78</f>
        <v>0</v>
      </c>
      <c r="BM79" s="231">
        <f ca="1">BM27+BM44+BM61+BM78</f>
        <v>0</v>
      </c>
      <c r="BN79" s="230">
        <f>BN27+BN44+BN61+BN78</f>
        <v>0</v>
      </c>
      <c r="BO79" s="231">
        <f t="shared" ref="BO79:BQ79" ca="1" si="524">BO27+BO44+BO61+BO78</f>
        <v>0</v>
      </c>
      <c r="BP79" s="230">
        <f>BP27+BP44+BP61+BP78</f>
        <v>0</v>
      </c>
      <c r="BQ79" s="231">
        <f t="shared" ca="1" si="524"/>
        <v>0</v>
      </c>
      <c r="BR79" s="230">
        <f t="shared" si="477"/>
        <v>0</v>
      </c>
      <c r="BS79" s="231">
        <f t="shared" ca="1" si="477"/>
        <v>0</v>
      </c>
      <c r="BT79" s="230">
        <f t="shared" ref="BT79:BY79" si="525">BT27+BT44+BT61+BT78</f>
        <v>0</v>
      </c>
      <c r="BU79" s="231">
        <f t="shared" si="525"/>
        <v>0</v>
      </c>
      <c r="BV79" s="231">
        <f t="shared" si="525"/>
        <v>0</v>
      </c>
      <c r="BW79" s="231">
        <f t="shared" si="525"/>
        <v>0</v>
      </c>
      <c r="BX79" s="231">
        <f t="shared" si="525"/>
        <v>0</v>
      </c>
      <c r="BY79" s="133">
        <f t="shared" ca="1" si="525"/>
        <v>0</v>
      </c>
      <c r="BZ79" s="134">
        <f t="shared" ca="1" si="472"/>
        <v>0</v>
      </c>
      <c r="CA79" s="333">
        <f t="shared" ref="CA79:CF79" si="526">CA27+CA44+CA61+CA78</f>
        <v>0</v>
      </c>
      <c r="CB79" s="64">
        <f t="shared" si="526"/>
        <v>0</v>
      </c>
      <c r="CC79" s="64">
        <f t="shared" si="526"/>
        <v>0</v>
      </c>
      <c r="CD79" s="64">
        <f t="shared" si="526"/>
        <v>0</v>
      </c>
      <c r="CE79" s="64">
        <f t="shared" si="526"/>
        <v>0</v>
      </c>
      <c r="CF79" s="64">
        <f t="shared" ca="1" si="526"/>
        <v>0</v>
      </c>
      <c r="CG79" s="134">
        <f t="shared" ca="1" si="473"/>
        <v>0</v>
      </c>
      <c r="CH79" s="333">
        <f t="shared" ref="CH79:CM79" si="527">CH27+CH44+CH61+CH78</f>
        <v>0</v>
      </c>
      <c r="CI79" s="64">
        <f t="shared" si="527"/>
        <v>0</v>
      </c>
      <c r="CJ79" s="64">
        <f t="shared" si="527"/>
        <v>0</v>
      </c>
      <c r="CK79" s="64">
        <f t="shared" si="527"/>
        <v>0</v>
      </c>
      <c r="CL79" s="64">
        <f t="shared" si="527"/>
        <v>0</v>
      </c>
      <c r="CM79" s="64">
        <f t="shared" ca="1" si="527"/>
        <v>0</v>
      </c>
      <c r="CN79" s="134">
        <f t="shared" ca="1" si="474"/>
        <v>0</v>
      </c>
      <c r="CO79" s="135">
        <f t="shared" si="516"/>
        <v>0</v>
      </c>
      <c r="CP79" s="223">
        <f t="shared" ca="1" si="516"/>
        <v>0</v>
      </c>
      <c r="CQ79" s="134">
        <f t="shared" ca="1" si="475"/>
        <v>0</v>
      </c>
      <c r="CR79" s="135">
        <f t="shared" si="478"/>
        <v>0</v>
      </c>
      <c r="CS79" s="223">
        <f t="shared" ca="1" si="478"/>
        <v>0</v>
      </c>
      <c r="CT79" s="134">
        <f t="shared" ca="1" si="517"/>
        <v>0</v>
      </c>
      <c r="CU79" s="44">
        <f t="shared" si="310"/>
        <v>0</v>
      </c>
      <c r="CW79" s="66">
        <f t="shared" ca="1" si="501"/>
        <v>0</v>
      </c>
      <c r="CX79" s="67">
        <f t="shared" ca="1" si="501"/>
        <v>0</v>
      </c>
      <c r="CY79" s="65">
        <f ca="1">IFERROR(CW79/CX79-1,)</f>
        <v>0</v>
      </c>
      <c r="CZ79" s="283"/>
      <c r="DA79" s="284"/>
      <c r="DB79" s="284"/>
      <c r="DC79" s="285"/>
    </row>
    <row r="80" spans="1:107" x14ac:dyDescent="0.25">
      <c r="A80" s="44" t="s">
        <v>478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481"/>
        <v>0</v>
      </c>
      <c r="G80" s="175">
        <f t="shared" ref="G80:I83" si="528">IFERROR(VLOOKUP($B80 &amp; $C80&amp;G$4&amp;$A80,tblForecast,G$2,FALSE),0)</f>
        <v>0</v>
      </c>
      <c r="H80" s="202">
        <f t="shared" si="528"/>
        <v>0</v>
      </c>
      <c r="I80" s="202">
        <f t="shared" si="528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529">R80*AN80</f>
        <v>0</v>
      </c>
      <c r="N80" s="46">
        <f t="shared" si="529"/>
        <v>0</v>
      </c>
      <c r="O80" s="46">
        <f t="shared" ca="1" si="529"/>
        <v>0</v>
      </c>
      <c r="P80" s="47">
        <f t="shared" ca="1" si="476"/>
        <v>0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530">IFERROR(VLOOKUP($B80 &amp; $C80&amp;S$4,tblForecast,S$2,FALSE),0)</f>
        <v>0</v>
      </c>
      <c r="T80" s="238">
        <f ca="1">SUMIFS(OFFSET(tblForecast,,T$2,,1),OFFSET(tblForecast,,,,1),$B80-IF(CompareVer="LY",1,0)&amp; $C80 &amp;T$4)</f>
        <v>0</v>
      </c>
      <c r="U80" s="91">
        <f t="shared" ca="1" si="467"/>
        <v>0</v>
      </c>
      <c r="V80" s="247">
        <f ca="1">IFERROR(IF(Q76&lt;&gt;0,Q80/Q76,0),0)</f>
        <v>0</v>
      </c>
      <c r="W80" s="327">
        <f ca="1">IFERROR(IF(R76&lt;&gt;0,R80/R76,X80),0)</f>
        <v>0</v>
      </c>
      <c r="X80" s="248">
        <f ca="1">IFERROR(IF(T76&lt;&gt;0,T80/T76,0),0)</f>
        <v>0</v>
      </c>
      <c r="Y80" s="51">
        <f t="shared" ref="Y80:AB83" ca="1" si="531">IFERROR(L80*AD80,0)</f>
        <v>0</v>
      </c>
      <c r="Z80" s="46">
        <f t="shared" si="531"/>
        <v>0</v>
      </c>
      <c r="AA80" s="46">
        <f t="shared" si="531"/>
        <v>0</v>
      </c>
      <c r="AB80" s="46">
        <f t="shared" ca="1" si="531"/>
        <v>0</v>
      </c>
      <c r="AC80" s="91">
        <f t="shared" ca="1" si="468"/>
        <v>0</v>
      </c>
      <c r="AD80" s="75">
        <f ca="1">IF(AM80&lt;&gt;0,1-AR80/AM80,0)</f>
        <v>0</v>
      </c>
      <c r="AE80" s="93">
        <f t="shared" ref="AE80:AG83" si="532">IF(AN80&lt;&gt;0,1-AS80/AN80,0)</f>
        <v>0</v>
      </c>
      <c r="AF80" s="93">
        <f t="shared" si="532"/>
        <v>0</v>
      </c>
      <c r="AG80" s="76">
        <f t="shared" ca="1" si="532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533">IFERROR(VLOOKUP($B80 &amp; $C80&amp;AI$4,tblForecast,AI$2,FALSE),0)</f>
        <v>0</v>
      </c>
      <c r="AJ80" s="94">
        <f t="shared" si="533"/>
        <v>0</v>
      </c>
      <c r="AK80" s="49">
        <f ca="1">IFERROR(CF80/BY80,0)</f>
        <v>0</v>
      </c>
      <c r="AL80" s="47">
        <f t="shared" ca="1" si="381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534">IFERROR(VLOOKUP($B80 &amp; $C80&amp;AN$4,tblForecast,AN$2,FALSE),0)</f>
        <v>0</v>
      </c>
      <c r="AO80" s="94">
        <f t="shared" si="534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469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535">IFERROR(VLOOKUP($B80 &amp; $C80&amp;AS$4,tblForecast,AS$2,FALSE),0)</f>
        <v>0</v>
      </c>
      <c r="AT80" s="94">
        <f t="shared" si="535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470"/>
        <v>0</v>
      </c>
      <c r="AW80" s="190">
        <f t="shared" ref="AW80:AZ83" ca="1" si="536">IFERROR((AM80/AH80-1)*-1,0)</f>
        <v>0</v>
      </c>
      <c r="AX80" s="191">
        <f t="shared" si="536"/>
        <v>0</v>
      </c>
      <c r="AY80" s="191">
        <f t="shared" si="536"/>
        <v>0</v>
      </c>
      <c r="AZ80" s="191">
        <f t="shared" ca="1" si="536"/>
        <v>0</v>
      </c>
      <c r="BA80" s="233">
        <f ca="1">IF(BA79+BV80+BL80+BR80-Q80&lt;0,0,BA79+BV80+BL80+BR80-Q80)</f>
        <v>0</v>
      </c>
      <c r="BB80" s="229">
        <f ca="1">IF(IFERROR(VLOOKUP($B80 &amp; $C80&amp;BB$4,tblForecast,BB$2,FALSE),0)=0,BA80,IFERROR(VLOOKUP($B80 &amp; $C80&amp;BB$4,tblForecast,BB$2,FALSE),0))</f>
        <v>0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537">CX80+BG80</f>
        <v>0</v>
      </c>
      <c r="BE80" s="193">
        <f t="shared" ca="1" si="471"/>
        <v>0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0</v>
      </c>
      <c r="BH80" s="178">
        <f ca="1">IF(Q80&lt;&gt;0,BA80/Q80,0)</f>
        <v>0</v>
      </c>
      <c r="BI80" s="182">
        <f ca="1">IF(T80&lt;&gt;0,BD80/T80,0)</f>
        <v>0</v>
      </c>
      <c r="BJ80" s="194">
        <f t="shared" ref="BJ80:BJ83" ca="1" si="538">IF(BA80&lt;&gt;0,Q80/BA80,0)</f>
        <v>0</v>
      </c>
      <c r="BK80" s="50">
        <f t="shared" ref="BK80:BK83" ca="1" si="539">IF(BD80&lt;&gt;0,T80/BD80,0)</f>
        <v>0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0</v>
      </c>
      <c r="BR80" s="225">
        <f t="shared" si="477"/>
        <v>0</v>
      </c>
      <c r="BS80" s="229">
        <f t="shared" ca="1" si="477"/>
        <v>0</v>
      </c>
      <c r="BT80" s="232">
        <f t="shared" ref="BT80:BU83" si="540">IFERROR(VLOOKUP($B80 &amp; $C80&amp;BT$4,tblForecast,BT$2,FALSE),0)</f>
        <v>0</v>
      </c>
      <c r="BU80" s="229">
        <f t="shared" si="540"/>
        <v>0</v>
      </c>
      <c r="BV80" s="229">
        <f>IF($A80="a",IFERROR(VLOOKUP($B80 &amp; $C80&amp;BV$4,tblForecast,BV$2,FALSE),0),BT80+BU80)</f>
        <v>0</v>
      </c>
      <c r="BW80" s="229">
        <f t="shared" ref="BW80:BX83" si="541">IFERROR(VLOOKUP($B80 &amp; $C80&amp;BW$4,tblForecast,BW$2,FALSE),0)</f>
        <v>0</v>
      </c>
      <c r="BX80" s="229">
        <f t="shared" si="541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472"/>
        <v>0</v>
      </c>
      <c r="CA80" s="330">
        <f t="shared" ref="CA80:CB83" si="542">IFERROR(VLOOKUP($B80 &amp; $C80&amp;CA$4,tblForecast,CA$2,FALSE),0)</f>
        <v>0</v>
      </c>
      <c r="CB80" s="46">
        <f t="shared" si="542"/>
        <v>0</v>
      </c>
      <c r="CC80" s="46">
        <f>IF($A80="a",IFERROR(VLOOKUP($B80 &amp; $C80&amp;CC$4,tblForecast,CC$2,FALSE),0),CA80+CB80)</f>
        <v>0</v>
      </c>
      <c r="CD80" s="46">
        <f t="shared" ref="CD80:CE83" si="543">IFERROR(VLOOKUP($B80 &amp; $C80&amp;CD$4,tblForecast,CD$2,FALSE),0)</f>
        <v>0</v>
      </c>
      <c r="CE80" s="46">
        <f t="shared" si="543"/>
        <v>0</v>
      </c>
      <c r="CF80" s="46">
        <f ca="1">SUMIFS(OFFSET(tblForecast,,CF$2,,1),OFFSET(tblForecast,,,,1),$B80-IF(CompareVer="LY",1,0)&amp; $C80 &amp;CF$4)</f>
        <v>0</v>
      </c>
      <c r="CG80" s="193">
        <f t="shared" ca="1" si="473"/>
        <v>0</v>
      </c>
      <c r="CH80" s="330">
        <f t="shared" ref="CH80:CI83" si="544">IFERROR(VLOOKUP($B80 &amp; $C80&amp;CH$4,tblForecast,CH$2,FALSE),0)</f>
        <v>0</v>
      </c>
      <c r="CI80" s="46">
        <f t="shared" si="544"/>
        <v>0</v>
      </c>
      <c r="CJ80" s="46">
        <f>IF($A80="a",IFERROR(VLOOKUP($B80 &amp; $C80&amp;CJ$4,tblForecast,CJ$2,FALSE),0),CH80+CI80)</f>
        <v>0</v>
      </c>
      <c r="CK80" s="46">
        <f t="shared" ref="CK80:CL83" si="545">IFERROR(VLOOKUP($B80 &amp; $C80&amp;CK$4,tblForecast,CK$2,FALSE),0)</f>
        <v>0</v>
      </c>
      <c r="CL80" s="46">
        <f t="shared" si="545"/>
        <v>0</v>
      </c>
      <c r="CM80" s="46">
        <f ca="1">SUMIFS(OFFSET(tblForecast,,CM$2,,1),OFFSET(tblForecast,,,,1),$B80-IF(CompareVer="LY",1,0)&amp; $C80 &amp;CM$4)</f>
        <v>0</v>
      </c>
      <c r="CN80" s="193">
        <f t="shared" ca="1" si="474"/>
        <v>0</v>
      </c>
      <c r="CO80" s="177">
        <f t="shared" si="516"/>
        <v>0</v>
      </c>
      <c r="CP80" s="221">
        <f t="shared" ca="1" si="516"/>
        <v>0</v>
      </c>
      <c r="CQ80" s="193">
        <f t="shared" ca="1" si="475"/>
        <v>0</v>
      </c>
      <c r="CR80" s="177">
        <f t="shared" si="478"/>
        <v>0</v>
      </c>
      <c r="CS80" s="221">
        <f t="shared" ca="1" si="478"/>
        <v>0</v>
      </c>
      <c r="CT80" s="193">
        <f t="shared" ca="1" si="517"/>
        <v>0</v>
      </c>
      <c r="CU80" s="44">
        <f t="shared" si="310"/>
        <v>0</v>
      </c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546">IFERROR(CW80/CX80-1,)</f>
        <v>0</v>
      </c>
      <c r="CZ80" s="276">
        <f>IFERROR(VLOOKUP(Brand&amp;Channel&amp;Country&amp;$C80,tblDiscount,6,FALSE),0)</f>
        <v>0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478</v>
      </c>
      <c r="B81" s="44">
        <v>2019</v>
      </c>
      <c r="C81" s="88">
        <v>2</v>
      </c>
      <c r="D81" s="51">
        <f t="shared" ref="D81:D83" si="547">G81*H81</f>
        <v>0</v>
      </c>
      <c r="E81" s="201">
        <f t="shared" ref="E81:E83" si="548">IFERROR(D81*F81,0)</f>
        <v>0</v>
      </c>
      <c r="F81" s="181">
        <f t="shared" si="481"/>
        <v>0</v>
      </c>
      <c r="G81" s="175">
        <f t="shared" si="528"/>
        <v>0</v>
      </c>
      <c r="H81" s="202">
        <f t="shared" si="528"/>
        <v>0</v>
      </c>
      <c r="I81" s="202">
        <f t="shared" si="528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529"/>
        <v>0</v>
      </c>
      <c r="N81" s="46">
        <f t="shared" si="529"/>
        <v>0</v>
      </c>
      <c r="O81" s="46">
        <f t="shared" ca="1" si="529"/>
        <v>0</v>
      </c>
      <c r="P81" s="47">
        <f t="shared" ca="1" si="476"/>
        <v>0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530"/>
        <v>0</v>
      </c>
      <c r="T81" s="238">
        <f ca="1">SUMIFS(OFFSET(tblForecast,,T$2,,1),OFFSET(tblForecast,,,,1),$B81-IF(CompareVer="LY",1,0)&amp; $C81 &amp;T$4)</f>
        <v>0</v>
      </c>
      <c r="U81" s="91">
        <f t="shared" ca="1" si="467"/>
        <v>0</v>
      </c>
      <c r="V81" s="247">
        <f t="shared" ref="V81:V83" ca="1" si="549">IFERROR(IF(Q80&lt;&gt;0,Q81/Q80,0),0)</f>
        <v>0</v>
      </c>
      <c r="W81" s="327">
        <f ca="1">IFERROR(IF(R80&lt;&gt;0,R81/R80,X81),0)</f>
        <v>0</v>
      </c>
      <c r="X81" s="248">
        <f ca="1">IFERROR(IF(T80&lt;&gt;0,T81/T80,0),0)</f>
        <v>0</v>
      </c>
      <c r="Y81" s="51">
        <f t="shared" ca="1" si="531"/>
        <v>0</v>
      </c>
      <c r="Z81" s="46">
        <f t="shared" si="531"/>
        <v>0</v>
      </c>
      <c r="AA81" s="46">
        <f t="shared" si="531"/>
        <v>0</v>
      </c>
      <c r="AB81" s="46">
        <f t="shared" ca="1" si="531"/>
        <v>0</v>
      </c>
      <c r="AC81" s="91">
        <f t="shared" ca="1" si="468"/>
        <v>0</v>
      </c>
      <c r="AD81" s="75">
        <f ca="1">IF(AM81&lt;&gt;0,1-AR81/AM81,0)</f>
        <v>0</v>
      </c>
      <c r="AE81" s="93">
        <f t="shared" si="532"/>
        <v>0</v>
      </c>
      <c r="AF81" s="93">
        <f t="shared" si="532"/>
        <v>0</v>
      </c>
      <c r="AG81" s="76">
        <f t="shared" ca="1" si="532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533"/>
        <v>0</v>
      </c>
      <c r="AJ81" s="94">
        <f t="shared" si="533"/>
        <v>0</v>
      </c>
      <c r="AK81" s="49">
        <f ca="1">IFERROR(CF81/BY81,0)</f>
        <v>0</v>
      </c>
      <c r="AL81" s="47">
        <f t="shared" ca="1" si="381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534"/>
        <v>0</v>
      </c>
      <c r="AO81" s="94">
        <f t="shared" si="534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469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535"/>
        <v>0</v>
      </c>
      <c r="AT81" s="94">
        <f t="shared" si="535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470"/>
        <v>0</v>
      </c>
      <c r="AW81" s="190">
        <f t="shared" ca="1" si="536"/>
        <v>0</v>
      </c>
      <c r="AX81" s="191">
        <f t="shared" si="536"/>
        <v>0</v>
      </c>
      <c r="AY81" s="191">
        <f t="shared" si="536"/>
        <v>0</v>
      </c>
      <c r="AZ81" s="191">
        <f t="shared" ca="1" si="536"/>
        <v>0</v>
      </c>
      <c r="BA81" s="233">
        <f ca="1">IF(BA80+BV81+BL81+BR81-Q81&lt;0,0,BA80+BV81+BL81+BR81-Q81)</f>
        <v>0</v>
      </c>
      <c r="BB81" s="229">
        <f ca="1">IF(IFERROR(VLOOKUP($B81 &amp; $C81&amp;BB$4,tblForecast,BB$2,FALSE),0)=0,BA81,IFERROR(VLOOKUP($B81 &amp; $C81&amp;BB$4,tblForecast,BB$2,FALSE),0))</f>
        <v>0</v>
      </c>
      <c r="BC81" s="229">
        <f ca="1">SUMIFS(OFFSET(tblForecast,,BC$2,,1),OFFSET(tblForecast,,,,1),$B81-IF(CompareVer="LY",1,0)&amp; $C81 &amp;BC$4)</f>
        <v>0</v>
      </c>
      <c r="BD81" s="229">
        <f t="shared" ca="1" si="537"/>
        <v>0</v>
      </c>
      <c r="BE81" s="193">
        <f t="shared" ca="1" si="471"/>
        <v>0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0</v>
      </c>
      <c r="BH81" s="178">
        <f ca="1">IF(Q81&lt;&gt;0,BA81/Q81,0)</f>
        <v>0</v>
      </c>
      <c r="BI81" s="182">
        <f ca="1">IF(T81&lt;&gt;0,BD81/T81,0)</f>
        <v>0</v>
      </c>
      <c r="BJ81" s="194">
        <f t="shared" ca="1" si="538"/>
        <v>0</v>
      </c>
      <c r="BK81" s="50">
        <f t="shared" ca="1" si="539"/>
        <v>0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0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0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0</v>
      </c>
      <c r="BR81" s="225">
        <f t="shared" si="477"/>
        <v>0</v>
      </c>
      <c r="BS81" s="229">
        <f t="shared" ca="1" si="477"/>
        <v>0</v>
      </c>
      <c r="BT81" s="232">
        <f t="shared" si="540"/>
        <v>0</v>
      </c>
      <c r="BU81" s="229">
        <f t="shared" si="540"/>
        <v>0</v>
      </c>
      <c r="BV81" s="229">
        <f>IF($A81="a",IFERROR(VLOOKUP($B81 &amp; $C81&amp;BV$4,tblForecast,BV$2,FALSE),0),BT81+BU81)</f>
        <v>0</v>
      </c>
      <c r="BW81" s="229">
        <f t="shared" si="541"/>
        <v>0</v>
      </c>
      <c r="BX81" s="229">
        <f t="shared" si="541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472"/>
        <v>0</v>
      </c>
      <c r="CA81" s="330">
        <f t="shared" si="542"/>
        <v>0</v>
      </c>
      <c r="CB81" s="46">
        <f t="shared" si="542"/>
        <v>0</v>
      </c>
      <c r="CC81" s="46">
        <f>IF($A81="a",IFERROR(VLOOKUP($B81 &amp; $C81&amp;CC$4,tblForecast,CC$2,FALSE),0),CA81+CB81)</f>
        <v>0</v>
      </c>
      <c r="CD81" s="46">
        <f t="shared" si="543"/>
        <v>0</v>
      </c>
      <c r="CE81" s="46">
        <f t="shared" si="543"/>
        <v>0</v>
      </c>
      <c r="CF81" s="46">
        <f ca="1">SUMIFS(OFFSET(tblForecast,,CF$2,,1),OFFSET(tblForecast,,,,1),$B81-IF(CompareVer="LY",1,0)&amp; $C81 &amp;CF$4)</f>
        <v>0</v>
      </c>
      <c r="CG81" s="193">
        <f t="shared" ca="1" si="473"/>
        <v>0</v>
      </c>
      <c r="CH81" s="330">
        <f t="shared" si="544"/>
        <v>0</v>
      </c>
      <c r="CI81" s="46">
        <f t="shared" si="544"/>
        <v>0</v>
      </c>
      <c r="CJ81" s="46">
        <f>IF($A81="a",IFERROR(VLOOKUP($B81 &amp; $C81&amp;CJ$4,tblForecast,CJ$2,FALSE),0),CH81+CI81)</f>
        <v>0</v>
      </c>
      <c r="CK81" s="46">
        <f t="shared" si="545"/>
        <v>0</v>
      </c>
      <c r="CL81" s="46">
        <f t="shared" si="545"/>
        <v>0</v>
      </c>
      <c r="CM81" s="46">
        <f ca="1">SUMIFS(OFFSET(tblForecast,,CM$2,,1),OFFSET(tblForecast,,,,1),$B81-IF(CompareVer="LY",1,0)&amp; $C81 &amp;CM$4)</f>
        <v>0</v>
      </c>
      <c r="CN81" s="193">
        <f t="shared" ca="1" si="474"/>
        <v>0</v>
      </c>
      <c r="CO81" s="177">
        <f t="shared" si="516"/>
        <v>0</v>
      </c>
      <c r="CP81" s="221">
        <f t="shared" ca="1" si="516"/>
        <v>0</v>
      </c>
      <c r="CQ81" s="193">
        <f t="shared" ca="1" si="475"/>
        <v>0</v>
      </c>
      <c r="CR81" s="177">
        <f t="shared" si="478"/>
        <v>0</v>
      </c>
      <c r="CS81" s="221">
        <f t="shared" ca="1" si="478"/>
        <v>0</v>
      </c>
      <c r="CT81" s="193">
        <f t="shared" ca="1" si="517"/>
        <v>0</v>
      </c>
      <c r="CU81" s="44">
        <f t="shared" si="310"/>
        <v>0</v>
      </c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546"/>
        <v>0</v>
      </c>
      <c r="CZ81" s="276">
        <f>IFERROR(VLOOKUP(Brand&amp;Channel&amp;Country&amp;$C81,tblDiscount,6,FALSE),0)</f>
        <v>0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478</v>
      </c>
      <c r="B82" s="44">
        <v>2019</v>
      </c>
      <c r="C82" s="88">
        <v>3</v>
      </c>
      <c r="D82" s="51">
        <f t="shared" si="547"/>
        <v>0</v>
      </c>
      <c r="E82" s="201">
        <f t="shared" si="548"/>
        <v>0</v>
      </c>
      <c r="F82" s="181">
        <f t="shared" si="481"/>
        <v>0</v>
      </c>
      <c r="G82" s="175">
        <f t="shared" si="528"/>
        <v>0</v>
      </c>
      <c r="H82" s="202">
        <f t="shared" si="528"/>
        <v>0</v>
      </c>
      <c r="I82" s="202">
        <f t="shared" si="528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529"/>
        <v>0</v>
      </c>
      <c r="N82" s="46">
        <f t="shared" si="529"/>
        <v>0</v>
      </c>
      <c r="O82" s="46">
        <f t="shared" ca="1" si="529"/>
        <v>0</v>
      </c>
      <c r="P82" s="47">
        <f t="shared" ca="1" si="476"/>
        <v>0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530"/>
        <v>0</v>
      </c>
      <c r="T82" s="238">
        <f ca="1">SUMIFS(OFFSET(tblForecast,,T$2,,1),OFFSET(tblForecast,,,,1),$B82-IF(CompareVer="LY",1,0)&amp; $C82 &amp;T$4)</f>
        <v>0</v>
      </c>
      <c r="U82" s="91">
        <f t="shared" ca="1" si="467"/>
        <v>0</v>
      </c>
      <c r="V82" s="247">
        <f t="shared" ca="1" si="549"/>
        <v>0</v>
      </c>
      <c r="W82" s="327">
        <f ca="1">IFERROR(IF(R81&lt;&gt;0,R82/R81,X82),0)</f>
        <v>0</v>
      </c>
      <c r="X82" s="248">
        <f ca="1">IFERROR(IF(T81&lt;&gt;0,T82/T81,0),0)</f>
        <v>0</v>
      </c>
      <c r="Y82" s="51">
        <f t="shared" ca="1" si="531"/>
        <v>0</v>
      </c>
      <c r="Z82" s="46">
        <f t="shared" si="531"/>
        <v>0</v>
      </c>
      <c r="AA82" s="46">
        <f t="shared" si="531"/>
        <v>0</v>
      </c>
      <c r="AB82" s="46">
        <f t="shared" ca="1" si="531"/>
        <v>0</v>
      </c>
      <c r="AC82" s="91">
        <f t="shared" ca="1" si="468"/>
        <v>0</v>
      </c>
      <c r="AD82" s="75">
        <f ca="1">IF(AM82&lt;&gt;0,1-AR82/AM82,0)</f>
        <v>0</v>
      </c>
      <c r="AE82" s="93">
        <f t="shared" si="532"/>
        <v>0</v>
      </c>
      <c r="AF82" s="93">
        <f t="shared" si="532"/>
        <v>0</v>
      </c>
      <c r="AG82" s="76">
        <f t="shared" ca="1" si="532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533"/>
        <v>0</v>
      </c>
      <c r="AJ82" s="94">
        <f t="shared" si="533"/>
        <v>0</v>
      </c>
      <c r="AK82" s="49">
        <f ca="1">IFERROR(CF82/BY82,0)</f>
        <v>0</v>
      </c>
      <c r="AL82" s="47">
        <f t="shared" ca="1" si="381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534"/>
        <v>0</v>
      </c>
      <c r="AO82" s="94">
        <f t="shared" si="534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469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535"/>
        <v>0</v>
      </c>
      <c r="AT82" s="94">
        <f t="shared" si="535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470"/>
        <v>0</v>
      </c>
      <c r="AW82" s="190">
        <f t="shared" ca="1" si="536"/>
        <v>0</v>
      </c>
      <c r="AX82" s="191">
        <f t="shared" si="536"/>
        <v>0</v>
      </c>
      <c r="AY82" s="191">
        <f t="shared" si="536"/>
        <v>0</v>
      </c>
      <c r="AZ82" s="191">
        <f t="shared" ca="1" si="536"/>
        <v>0</v>
      </c>
      <c r="BA82" s="233">
        <f ca="1">IF(BA81+BV82+BL82+BR82-Q82&lt;0,0,BA81+BV82+BL82+BR82-Q82)</f>
        <v>0</v>
      </c>
      <c r="BB82" s="229">
        <f ca="1">IF(IFERROR(VLOOKUP($B82 &amp; $C82&amp;BB$4,tblForecast,BB$2,FALSE),0)=0,BA82,IFERROR(VLOOKUP($B82 &amp; $C82&amp;BB$4,tblForecast,BB$2,FALSE),0))</f>
        <v>0</v>
      </c>
      <c r="BC82" s="229">
        <f ca="1">SUMIFS(OFFSET(tblForecast,,BC$2,,1),OFFSET(tblForecast,,,,1),$B82-IF(CompareVer="LY",1,0)&amp; $C82 &amp;BC$4)</f>
        <v>0</v>
      </c>
      <c r="BD82" s="229">
        <f t="shared" ca="1" si="537"/>
        <v>0</v>
      </c>
      <c r="BE82" s="193">
        <f t="shared" ca="1" si="471"/>
        <v>0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0</v>
      </c>
      <c r="BH82" s="178">
        <f ca="1">IF(Q82&lt;&gt;0,BA82/Q82,0)</f>
        <v>0</v>
      </c>
      <c r="BI82" s="182">
        <f ca="1">IF(T82&lt;&gt;0,BD82/T82,0)</f>
        <v>0</v>
      </c>
      <c r="BJ82" s="194">
        <f t="shared" ca="1" si="538"/>
        <v>0</v>
      </c>
      <c r="BK82" s="50">
        <f t="shared" ca="1" si="539"/>
        <v>0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0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0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477"/>
        <v>0</v>
      </c>
      <c r="BS82" s="229">
        <f t="shared" ca="1" si="477"/>
        <v>0</v>
      </c>
      <c r="BT82" s="232">
        <f t="shared" si="540"/>
        <v>0</v>
      </c>
      <c r="BU82" s="229">
        <f t="shared" si="540"/>
        <v>0</v>
      </c>
      <c r="BV82" s="229">
        <f>IF($A82="a",IFERROR(VLOOKUP($B82 &amp; $C82&amp;BV$4,tblForecast,BV$2,FALSE),0),BT82+BU82)</f>
        <v>0</v>
      </c>
      <c r="BW82" s="229">
        <f t="shared" si="541"/>
        <v>0</v>
      </c>
      <c r="BX82" s="229">
        <f t="shared" si="541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472"/>
        <v>0</v>
      </c>
      <c r="CA82" s="330">
        <f t="shared" si="542"/>
        <v>0</v>
      </c>
      <c r="CB82" s="46">
        <f t="shared" si="542"/>
        <v>0</v>
      </c>
      <c r="CC82" s="46">
        <f>IF($A82="a",IFERROR(VLOOKUP($B82 &amp; $C82&amp;CC$4,tblForecast,CC$2,FALSE),0),CA82+CB82)</f>
        <v>0</v>
      </c>
      <c r="CD82" s="46">
        <f t="shared" si="543"/>
        <v>0</v>
      </c>
      <c r="CE82" s="46">
        <f t="shared" si="543"/>
        <v>0</v>
      </c>
      <c r="CF82" s="46">
        <f ca="1">SUMIFS(OFFSET(tblForecast,,CF$2,,1),OFFSET(tblForecast,,,,1),$B82-IF(CompareVer="LY",1,0)&amp; $C82 &amp;CF$4)</f>
        <v>0</v>
      </c>
      <c r="CG82" s="193">
        <f t="shared" ca="1" si="473"/>
        <v>0</v>
      </c>
      <c r="CH82" s="330">
        <f t="shared" si="544"/>
        <v>0</v>
      </c>
      <c r="CI82" s="46">
        <f t="shared" si="544"/>
        <v>0</v>
      </c>
      <c r="CJ82" s="46">
        <f>IF($A82="a",IFERROR(VLOOKUP($B82 &amp; $C82&amp;CJ$4,tblForecast,CJ$2,FALSE),0),CH82+CI82)</f>
        <v>0</v>
      </c>
      <c r="CK82" s="46">
        <f t="shared" si="545"/>
        <v>0</v>
      </c>
      <c r="CL82" s="46">
        <f t="shared" si="545"/>
        <v>0</v>
      </c>
      <c r="CM82" s="46">
        <f ca="1">SUMIFS(OFFSET(tblForecast,,CM$2,,1),OFFSET(tblForecast,,,,1),$B82-IF(CompareVer="LY",1,0)&amp; $C82 &amp;CM$4)</f>
        <v>0</v>
      </c>
      <c r="CN82" s="193">
        <f t="shared" ca="1" si="474"/>
        <v>0</v>
      </c>
      <c r="CO82" s="177">
        <f t="shared" si="516"/>
        <v>0</v>
      </c>
      <c r="CP82" s="221">
        <f t="shared" ca="1" si="516"/>
        <v>0</v>
      </c>
      <c r="CQ82" s="193">
        <f t="shared" ca="1" si="475"/>
        <v>0</v>
      </c>
      <c r="CR82" s="177">
        <f t="shared" si="478"/>
        <v>0</v>
      </c>
      <c r="CS82" s="221">
        <f t="shared" ca="1" si="478"/>
        <v>0</v>
      </c>
      <c r="CT82" s="193">
        <f t="shared" ca="1" si="517"/>
        <v>0</v>
      </c>
      <c r="CU82" s="44">
        <f t="shared" si="310"/>
        <v>0</v>
      </c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546"/>
        <v>0</v>
      </c>
      <c r="CZ82" s="276">
        <f>IFERROR(VLOOKUP(Brand&amp;Channel&amp;Country&amp;$C82,tblDiscount,6,FALSE),0)</f>
        <v>0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478</v>
      </c>
      <c r="B83" s="44">
        <v>2019</v>
      </c>
      <c r="C83" s="88">
        <v>4</v>
      </c>
      <c r="D83" s="51">
        <f t="shared" si="547"/>
        <v>0</v>
      </c>
      <c r="E83" s="201">
        <f t="shared" si="548"/>
        <v>0</v>
      </c>
      <c r="F83" s="181">
        <f t="shared" si="481"/>
        <v>0</v>
      </c>
      <c r="G83" s="175">
        <f t="shared" si="528"/>
        <v>0</v>
      </c>
      <c r="H83" s="202">
        <f t="shared" si="528"/>
        <v>0</v>
      </c>
      <c r="I83" s="202">
        <f t="shared" si="528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529"/>
        <v>0</v>
      </c>
      <c r="N83" s="46">
        <f t="shared" si="529"/>
        <v>0</v>
      </c>
      <c r="O83" s="46">
        <f t="shared" ca="1" si="529"/>
        <v>0</v>
      </c>
      <c r="P83" s="47">
        <f t="shared" ca="1" si="476"/>
        <v>0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530"/>
        <v>0</v>
      </c>
      <c r="T83" s="238">
        <f ca="1">SUMIFS(OFFSET(tblForecast,,T$2,,1),OFFSET(tblForecast,,,,1),$B83-IF(CompareVer="LY",1,0)&amp; $C83 &amp;T$4)</f>
        <v>0</v>
      </c>
      <c r="U83" s="91">
        <f t="shared" ca="1" si="467"/>
        <v>0</v>
      </c>
      <c r="V83" s="247">
        <f t="shared" ca="1" si="549"/>
        <v>0</v>
      </c>
      <c r="W83" s="327">
        <f ca="1">IFERROR(IF(R82&lt;&gt;0,R83/R82,X83),0)</f>
        <v>0</v>
      </c>
      <c r="X83" s="248">
        <f ca="1">IFERROR(IF(T82&lt;&gt;0,T83/T82,0),0)</f>
        <v>0</v>
      </c>
      <c r="Y83" s="51">
        <f t="shared" ca="1" si="531"/>
        <v>0</v>
      </c>
      <c r="Z83" s="46">
        <f t="shared" si="531"/>
        <v>0</v>
      </c>
      <c r="AA83" s="46">
        <f t="shared" si="531"/>
        <v>0</v>
      </c>
      <c r="AB83" s="46">
        <f t="shared" ca="1" si="531"/>
        <v>0</v>
      </c>
      <c r="AC83" s="91">
        <f t="shared" ca="1" si="468"/>
        <v>0</v>
      </c>
      <c r="AD83" s="75">
        <f ca="1">IF(AM83&lt;&gt;0,1-AR83/AM83,0)</f>
        <v>0</v>
      </c>
      <c r="AE83" s="93">
        <f t="shared" si="532"/>
        <v>0</v>
      </c>
      <c r="AF83" s="93">
        <f t="shared" si="532"/>
        <v>0</v>
      </c>
      <c r="AG83" s="76">
        <f t="shared" ca="1" si="532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533"/>
        <v>0</v>
      </c>
      <c r="AJ83" s="94">
        <f t="shared" si="533"/>
        <v>0</v>
      </c>
      <c r="AK83" s="49">
        <f ca="1">IFERROR(CF83/BY83,0)</f>
        <v>0</v>
      </c>
      <c r="AL83" s="47">
        <f t="shared" ca="1" si="381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534"/>
        <v>0</v>
      </c>
      <c r="AO83" s="94">
        <f t="shared" si="534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469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535"/>
        <v>0</v>
      </c>
      <c r="AT83" s="94">
        <f t="shared" si="535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470"/>
        <v>0</v>
      </c>
      <c r="AW83" s="190">
        <f t="shared" ca="1" si="536"/>
        <v>0</v>
      </c>
      <c r="AX83" s="191">
        <f t="shared" si="536"/>
        <v>0</v>
      </c>
      <c r="AY83" s="191">
        <f t="shared" si="536"/>
        <v>0</v>
      </c>
      <c r="AZ83" s="191">
        <f t="shared" ca="1" si="536"/>
        <v>0</v>
      </c>
      <c r="BA83" s="233">
        <f ca="1">IF(BA82+BV83+BL83+BR83-Q83&lt;0,0,BA82+BV83+BL83+BR83-Q83)</f>
        <v>0</v>
      </c>
      <c r="BB83" s="229">
        <f ca="1">IF(IFERROR(VLOOKUP($B83 &amp; $C83&amp;BB$4,tblForecast,BB$2,FALSE),0)=0,BA83,IFERROR(VLOOKUP($B83 &amp; $C83&amp;BB$4,tblForecast,BB$2,FALSE),0))</f>
        <v>0</v>
      </c>
      <c r="BC83" s="229">
        <f ca="1">SUMIFS(OFFSET(tblForecast,,BC$2,,1),OFFSET(tblForecast,,,,1),$B83-IF(CompareVer="LY",1,0)&amp; $C83 &amp;BC$4)</f>
        <v>0</v>
      </c>
      <c r="BD83" s="229">
        <f t="shared" ca="1" si="537"/>
        <v>0</v>
      </c>
      <c r="BE83" s="193">
        <f t="shared" ca="1" si="471"/>
        <v>0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0</v>
      </c>
      <c r="BH83" s="178">
        <f ca="1">IF(Q83&lt;&gt;0,BA83/Q83,0)</f>
        <v>0</v>
      </c>
      <c r="BI83" s="182">
        <f ca="1">IF(T83&lt;&gt;0,BD83/T83,0)</f>
        <v>0</v>
      </c>
      <c r="BJ83" s="194">
        <f t="shared" ca="1" si="538"/>
        <v>0</v>
      </c>
      <c r="BK83" s="50">
        <f t="shared" ca="1" si="539"/>
        <v>0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0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477"/>
        <v>0</v>
      </c>
      <c r="BS83" s="229">
        <f t="shared" ca="1" si="477"/>
        <v>0</v>
      </c>
      <c r="BT83" s="232">
        <f t="shared" si="540"/>
        <v>0</v>
      </c>
      <c r="BU83" s="229">
        <f t="shared" si="540"/>
        <v>0</v>
      </c>
      <c r="BV83" s="229">
        <f>IF($A83="a",IFERROR(VLOOKUP($B83 &amp; $C83&amp;BV$4,tblForecast,BV$2,FALSE),0),BT83+BU83)</f>
        <v>0</v>
      </c>
      <c r="BW83" s="229">
        <f t="shared" si="541"/>
        <v>0</v>
      </c>
      <c r="BX83" s="229">
        <f t="shared" si="541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472"/>
        <v>0</v>
      </c>
      <c r="CA83" s="330">
        <f t="shared" si="542"/>
        <v>0</v>
      </c>
      <c r="CB83" s="46">
        <f t="shared" si="542"/>
        <v>0</v>
      </c>
      <c r="CC83" s="46">
        <f>IF($A83="a",IFERROR(VLOOKUP($B83 &amp; $C83&amp;CC$4,tblForecast,CC$2,FALSE),0),CA83+CB83)</f>
        <v>0</v>
      </c>
      <c r="CD83" s="46">
        <f t="shared" si="543"/>
        <v>0</v>
      </c>
      <c r="CE83" s="46">
        <f t="shared" si="543"/>
        <v>0</v>
      </c>
      <c r="CF83" s="46">
        <f ca="1">SUMIFS(OFFSET(tblForecast,,CF$2,,1),OFFSET(tblForecast,,,,1),$B83-IF(CompareVer="LY",1,0)&amp; $C83 &amp;CF$4)</f>
        <v>0</v>
      </c>
      <c r="CG83" s="193">
        <f t="shared" ca="1" si="473"/>
        <v>0</v>
      </c>
      <c r="CH83" s="330">
        <f t="shared" si="544"/>
        <v>0</v>
      </c>
      <c r="CI83" s="46">
        <f t="shared" si="544"/>
        <v>0</v>
      </c>
      <c r="CJ83" s="46">
        <f>IF($A83="a",IFERROR(VLOOKUP($B83 &amp; $C83&amp;CJ$4,tblForecast,CJ$2,FALSE),0),CH83+CI83)</f>
        <v>0</v>
      </c>
      <c r="CK83" s="46">
        <f t="shared" si="545"/>
        <v>0</v>
      </c>
      <c r="CL83" s="46">
        <f t="shared" si="545"/>
        <v>0</v>
      </c>
      <c r="CM83" s="46">
        <f ca="1">SUMIFS(OFFSET(tblForecast,,CM$2,,1),OFFSET(tblForecast,,,,1),$B83-IF(CompareVer="LY",1,0)&amp; $C83 &amp;CM$4)</f>
        <v>0</v>
      </c>
      <c r="CN83" s="193">
        <f t="shared" ca="1" si="474"/>
        <v>0</v>
      </c>
      <c r="CO83" s="177">
        <f t="shared" si="516"/>
        <v>0</v>
      </c>
      <c r="CP83" s="221">
        <f t="shared" ca="1" si="516"/>
        <v>0</v>
      </c>
      <c r="CQ83" s="193">
        <f t="shared" ca="1" si="475"/>
        <v>0</v>
      </c>
      <c r="CR83" s="177">
        <f t="shared" si="478"/>
        <v>0</v>
      </c>
      <c r="CS83" s="221">
        <f t="shared" ca="1" si="478"/>
        <v>0</v>
      </c>
      <c r="CT83" s="193">
        <f t="shared" ca="1" si="517"/>
        <v>0</v>
      </c>
      <c r="CU83" s="44">
        <f t="shared" si="310"/>
        <v>0</v>
      </c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546"/>
        <v>0</v>
      </c>
      <c r="CZ83" s="276">
        <f>IFERROR(VLOOKUP(Brand&amp;Channel&amp;Country&amp;$C83,tblDiscount,6,FALSE),0)</f>
        <v>0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7" t="s">
        <v>20</v>
      </c>
      <c r="D84" s="348">
        <f t="shared" ref="D84" si="550">SUM(D80:D83)</f>
        <v>0</v>
      </c>
      <c r="E84" s="349">
        <f t="shared" ref="E84" si="551">SUM(E80:E83)</f>
        <v>0</v>
      </c>
      <c r="F84" s="350">
        <f t="shared" si="481"/>
        <v>0</v>
      </c>
      <c r="G84" s="351">
        <f>SUM(G80:G83)</f>
        <v>0</v>
      </c>
      <c r="H84" s="352">
        <f>IFERROR(D84/G84,0)</f>
        <v>0</v>
      </c>
      <c r="I84" s="352">
        <f>IFERROR(SUMPRODUCT(I80:I83,G80:G83)/G84,0)</f>
        <v>0</v>
      </c>
      <c r="J84" s="351">
        <f>SUM(J80:J83)</f>
        <v>0</v>
      </c>
      <c r="K84" s="353">
        <f>SUM(K80:K83)</f>
        <v>0</v>
      </c>
      <c r="L84" s="354">
        <f ca="1">SUM(L80:L83)</f>
        <v>0</v>
      </c>
      <c r="M84" s="354">
        <f t="shared" ref="M84:O84" si="552">SUM(M80:M83)</f>
        <v>0</v>
      </c>
      <c r="N84" s="354">
        <f t="shared" si="552"/>
        <v>0</v>
      </c>
      <c r="O84" s="354">
        <f t="shared" ca="1" si="552"/>
        <v>0</v>
      </c>
      <c r="P84" s="355">
        <f t="shared" ca="1" si="476"/>
        <v>0</v>
      </c>
      <c r="Q84" s="356">
        <f t="shared" ref="Q84:S84" ca="1" si="553">SUM(Q80:Q83)</f>
        <v>0</v>
      </c>
      <c r="R84" s="356">
        <f t="shared" si="553"/>
        <v>0</v>
      </c>
      <c r="S84" s="356">
        <f t="shared" si="553"/>
        <v>0</v>
      </c>
      <c r="T84" s="356">
        <f ca="1">SUM(T80:T83)</f>
        <v>0</v>
      </c>
      <c r="U84" s="355">
        <f t="shared" ca="1" si="467"/>
        <v>0</v>
      </c>
      <c r="V84" s="357">
        <f ca="1">V83</f>
        <v>0</v>
      </c>
      <c r="W84" s="358">
        <f ca="1">W83</f>
        <v>0</v>
      </c>
      <c r="X84" s="359">
        <f ca="1">X83</f>
        <v>0</v>
      </c>
      <c r="Y84" s="348">
        <f ca="1">SUM(Y80:Y83)</f>
        <v>0</v>
      </c>
      <c r="Z84" s="354">
        <f t="shared" ref="Z84:AB84" si="554">SUM(Z80:Z83)</f>
        <v>0</v>
      </c>
      <c r="AA84" s="354">
        <f t="shared" si="554"/>
        <v>0</v>
      </c>
      <c r="AB84" s="354">
        <f t="shared" ca="1" si="554"/>
        <v>0</v>
      </c>
      <c r="AC84" s="355">
        <f t="shared" ca="1" si="468"/>
        <v>0</v>
      </c>
      <c r="AD84" s="360">
        <f ca="1">IFERROR(Y84/L84,0)</f>
        <v>0</v>
      </c>
      <c r="AE84" s="361">
        <f>IFERROR(Z84/M84,0)</f>
        <v>0</v>
      </c>
      <c r="AF84" s="361">
        <f>IFERROR(AA84/N84,0)</f>
        <v>0</v>
      </c>
      <c r="AG84" s="361">
        <f ca="1">IFERROR(AB84/O84,0)</f>
        <v>0</v>
      </c>
      <c r="AH84" s="362">
        <f ca="1">IFERROR(SUMPRODUCT(AH80:AH83,Q80:Q83)/Q84,0)</f>
        <v>0</v>
      </c>
      <c r="AI84" s="363">
        <f>IFERROR(SUMPRODUCT(AI80:AI83,R80:R83)/R84,0)</f>
        <v>0</v>
      </c>
      <c r="AJ84" s="363">
        <f t="shared" ref="AJ84:AK84" si="555">IFERROR(SUMPRODUCT(AJ80:AJ83,S80:S83)/S84,0)</f>
        <v>0</v>
      </c>
      <c r="AK84" s="363">
        <f t="shared" ca="1" si="555"/>
        <v>0</v>
      </c>
      <c r="AL84" s="355">
        <f t="shared" ca="1" si="381"/>
        <v>0</v>
      </c>
      <c r="AM84" s="362">
        <f ca="1">IF(Q84&lt;&gt;0,L84/Q84,0)</f>
        <v>0</v>
      </c>
      <c r="AN84" s="363">
        <f>IF(R84&lt;&gt;0,M84/R84,0)</f>
        <v>0</v>
      </c>
      <c r="AO84" s="363">
        <f>IF(S84&lt;&gt;0,N84/S84,0)</f>
        <v>0</v>
      </c>
      <c r="AP84" s="363">
        <f ca="1">IF(T84&lt;&gt;0,O84/T84,0)</f>
        <v>0</v>
      </c>
      <c r="AQ84" s="355">
        <f t="shared" ca="1" si="469"/>
        <v>0</v>
      </c>
      <c r="AR84" s="362">
        <f ca="1">IFERROR((L84*(1-AD84))/Q84,0)</f>
        <v>0</v>
      </c>
      <c r="AS84" s="363">
        <f>IFERROR((M84*(1-AE84))/R84,0)</f>
        <v>0</v>
      </c>
      <c r="AT84" s="363">
        <f>IFERROR((N84*(1-AF84))/S84,0)</f>
        <v>0</v>
      </c>
      <c r="AU84" s="363">
        <f ca="1">IFERROR((O84*(1-AG84))/T84,0)</f>
        <v>0</v>
      </c>
      <c r="AV84" s="355">
        <f t="shared" ca="1" si="470"/>
        <v>0</v>
      </c>
      <c r="AW84" s="364">
        <f ca="1">IFERROR(SUMPRODUCT(AW80:AW83,V80:V83)/V84,0)</f>
        <v>0</v>
      </c>
      <c r="AX84" s="365">
        <f t="shared" ref="AX84:AZ84" ca="1" si="556">IFERROR(SUMPRODUCT(AX80:AX83,X80:X83)/X84,0)</f>
        <v>0</v>
      </c>
      <c r="AY84" s="365">
        <f t="shared" ca="1" si="556"/>
        <v>0</v>
      </c>
      <c r="AZ84" s="365">
        <f t="shared" ca="1" si="556"/>
        <v>0</v>
      </c>
      <c r="BA84" s="366">
        <f ca="1">BA83</f>
        <v>0</v>
      </c>
      <c r="BB84" s="356">
        <f t="shared" ref="BB84:BD84" ca="1" si="557">BB83</f>
        <v>0</v>
      </c>
      <c r="BC84" s="356">
        <f t="shared" ca="1" si="557"/>
        <v>0</v>
      </c>
      <c r="BD84" s="356">
        <f t="shared" ca="1" si="557"/>
        <v>0</v>
      </c>
      <c r="BE84" s="355">
        <f t="shared" ca="1" si="471"/>
        <v>0</v>
      </c>
      <c r="BF84" s="356">
        <f>BF83</f>
        <v>0</v>
      </c>
      <c r="BG84" s="356">
        <f ca="1">BG83</f>
        <v>0</v>
      </c>
      <c r="BH84" s="367">
        <f ca="1">IF(Q82&lt;&gt;0,(BA84/Q84),0)</f>
        <v>0</v>
      </c>
      <c r="BI84" s="368">
        <f ca="1">IF(T82&lt;&gt;0,(BD84/T82),0)</f>
        <v>0</v>
      </c>
      <c r="BJ84" s="369">
        <f ca="1">IFERROR((Q84/COUNTIF(BJ80:BJ83,"&lt;&gt;0"))/BA84,0)</f>
        <v>0</v>
      </c>
      <c r="BK84" s="370">
        <f ca="1">IF(BD84&lt;&gt;0,(T84/COUNTIF(BK80:BK83,"&lt;&gt;0"))/BD84,0)</f>
        <v>0</v>
      </c>
      <c r="BL84" s="366">
        <f>SUM(BL80:BL83)</f>
        <v>0</v>
      </c>
      <c r="BM84" s="356">
        <f ca="1">SUM(BM80:BM83)</f>
        <v>0</v>
      </c>
      <c r="BN84" s="366">
        <f>SUM(BN80:BN83)</f>
        <v>0</v>
      </c>
      <c r="BO84" s="356">
        <f t="shared" ref="BO84" ca="1" si="558">SUM(BO80:BO83)</f>
        <v>0</v>
      </c>
      <c r="BP84" s="366">
        <f>SUM(BP80:BP83)</f>
        <v>0</v>
      </c>
      <c r="BQ84" s="356">
        <f t="shared" ref="BQ84" ca="1" si="559">SUM(BQ80:BQ83)</f>
        <v>0</v>
      </c>
      <c r="BR84" s="366">
        <f t="shared" si="477"/>
        <v>0</v>
      </c>
      <c r="BS84" s="356">
        <f t="shared" ca="1" si="477"/>
        <v>0</v>
      </c>
      <c r="BT84" s="366">
        <f>SUM(BT80:BT83)</f>
        <v>0</v>
      </c>
      <c r="BU84" s="356">
        <f>SUM(BU80:BU83)</f>
        <v>0</v>
      </c>
      <c r="BV84" s="356">
        <f>SUM(BV80:BV83)</f>
        <v>0</v>
      </c>
      <c r="BW84" s="356">
        <f t="shared" ref="BW84:BX84" si="560">SUM(BW80:BW83)</f>
        <v>0</v>
      </c>
      <c r="BX84" s="356">
        <f t="shared" si="560"/>
        <v>0</v>
      </c>
      <c r="BY84" s="371">
        <f ca="1">SUM(BY80:BY83)</f>
        <v>0</v>
      </c>
      <c r="BZ84" s="355">
        <f t="shared" ca="1" si="472"/>
        <v>0</v>
      </c>
      <c r="CA84" s="372">
        <f>SUM(CA80:CA83)</f>
        <v>0</v>
      </c>
      <c r="CB84" s="354">
        <f t="shared" ref="CB84:CF84" si="561">SUM(CB80:CB83)</f>
        <v>0</v>
      </c>
      <c r="CC84" s="354">
        <f t="shared" si="561"/>
        <v>0</v>
      </c>
      <c r="CD84" s="354">
        <f t="shared" si="561"/>
        <v>0</v>
      </c>
      <c r="CE84" s="354">
        <f t="shared" si="561"/>
        <v>0</v>
      </c>
      <c r="CF84" s="354">
        <f t="shared" ca="1" si="561"/>
        <v>0</v>
      </c>
      <c r="CG84" s="355">
        <f t="shared" ca="1" si="473"/>
        <v>0</v>
      </c>
      <c r="CH84" s="372">
        <f>SUM(CH80:CH83)</f>
        <v>0</v>
      </c>
      <c r="CI84" s="354">
        <f t="shared" ref="CI84:CM84" si="562">SUM(CI80:CI83)</f>
        <v>0</v>
      </c>
      <c r="CJ84" s="354">
        <f t="shared" si="562"/>
        <v>0</v>
      </c>
      <c r="CK84" s="354">
        <f t="shared" si="562"/>
        <v>0</v>
      </c>
      <c r="CL84" s="354">
        <f t="shared" si="562"/>
        <v>0</v>
      </c>
      <c r="CM84" s="354">
        <f t="shared" ca="1" si="562"/>
        <v>0</v>
      </c>
      <c r="CN84" s="355">
        <f t="shared" ca="1" si="474"/>
        <v>0</v>
      </c>
      <c r="CO84" s="373">
        <f t="shared" si="516"/>
        <v>0</v>
      </c>
      <c r="CP84" s="374">
        <f t="shared" ca="1" si="516"/>
        <v>0</v>
      </c>
      <c r="CQ84" s="355">
        <f t="shared" ca="1" si="475"/>
        <v>0</v>
      </c>
      <c r="CR84" s="373">
        <f t="shared" si="478"/>
        <v>0</v>
      </c>
      <c r="CS84" s="374">
        <f t="shared" ca="1" si="478"/>
        <v>0</v>
      </c>
      <c r="CT84" s="355">
        <f t="shared" ca="1" si="517"/>
        <v>0</v>
      </c>
      <c r="CU84" s="44">
        <f t="shared" si="310"/>
        <v>0</v>
      </c>
      <c r="CW84" s="100">
        <f>CW83</f>
        <v>0</v>
      </c>
      <c r="CX84" s="101">
        <f ca="1">CX83</f>
        <v>0</v>
      </c>
      <c r="CY84" s="99">
        <f t="shared" ca="1" si="546"/>
        <v>0</v>
      </c>
      <c r="CZ84" s="276"/>
      <c r="DA84" s="277"/>
      <c r="DB84" s="277"/>
      <c r="DC84" s="278"/>
    </row>
    <row r="85" spans="1:107" x14ac:dyDescent="0.25">
      <c r="A85" s="44" t="s">
        <v>478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481"/>
        <v>0</v>
      </c>
      <c r="G85" s="175">
        <f t="shared" ref="G85:I89" si="563">IFERROR(VLOOKUP($B85 &amp; $C85&amp;G$4&amp;$A85,tblForecast,G$2,FALSE),0)</f>
        <v>0</v>
      </c>
      <c r="H85" s="202">
        <f t="shared" si="563"/>
        <v>0</v>
      </c>
      <c r="I85" s="202">
        <f t="shared" si="563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564">R85*AN85</f>
        <v>0</v>
      </c>
      <c r="N85" s="46">
        <f t="shared" si="564"/>
        <v>0</v>
      </c>
      <c r="O85" s="46">
        <f t="shared" ca="1" si="564"/>
        <v>0</v>
      </c>
      <c r="P85" s="47">
        <f t="shared" ca="1" si="476"/>
        <v>0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565">IFERROR(VLOOKUP($B85 &amp; $C85&amp;S$4,tblForecast,S$2,FALSE),0)</f>
        <v>0</v>
      </c>
      <c r="T85" s="238">
        <f ca="1">SUMIFS(OFFSET(tblForecast,,T$2,,1),OFFSET(tblForecast,,,,1),$B85-IF(CompareVer="LY",1,0)&amp; $C85 &amp;T$4)</f>
        <v>0</v>
      </c>
      <c r="U85" s="91">
        <f t="shared" ca="1" si="467"/>
        <v>0</v>
      </c>
      <c r="V85" s="247">
        <f ca="1">IFERROR(IF(Q83&gt;0,Q85/Q83,0),0)</f>
        <v>0</v>
      </c>
      <c r="W85" s="327">
        <f ca="1">IFERROR(IF(R83&gt;0,R85/R83,X85),0)</f>
        <v>0</v>
      </c>
      <c r="X85" s="248">
        <f ca="1">IFERROR(IF(T83&gt;0,T85/T83,0),0)</f>
        <v>0</v>
      </c>
      <c r="Y85" s="51">
        <f t="shared" ref="Y85:AB89" ca="1" si="566">IFERROR(L85*AD85,0)</f>
        <v>0</v>
      </c>
      <c r="Z85" s="46">
        <f t="shared" si="566"/>
        <v>0</v>
      </c>
      <c r="AA85" s="46">
        <f t="shared" si="566"/>
        <v>0</v>
      </c>
      <c r="AB85" s="46">
        <f t="shared" ca="1" si="566"/>
        <v>0</v>
      </c>
      <c r="AC85" s="91">
        <f t="shared" ca="1" si="468"/>
        <v>0</v>
      </c>
      <c r="AD85" s="75">
        <f ca="1">IF(AM85&lt;&gt;0,1-AR85/AM85,0)</f>
        <v>0</v>
      </c>
      <c r="AE85" s="93">
        <f t="shared" ref="AE85:AG89" si="567">IF(AN85&lt;&gt;0,1-AS85/AN85,0)</f>
        <v>0</v>
      </c>
      <c r="AF85" s="93">
        <f t="shared" si="567"/>
        <v>0</v>
      </c>
      <c r="AG85" s="76">
        <f t="shared" ca="1" si="567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568">IFERROR(VLOOKUP($B85 &amp; $C85&amp;AI$4,tblForecast,AI$2,FALSE),0)</f>
        <v>0</v>
      </c>
      <c r="AJ85" s="94">
        <f t="shared" si="568"/>
        <v>0</v>
      </c>
      <c r="AK85" s="49">
        <f ca="1">IFERROR(CF85/BY85,0)</f>
        <v>0</v>
      </c>
      <c r="AL85" s="47">
        <f t="shared" ca="1" si="381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569">IFERROR(VLOOKUP($B85 &amp; $C85&amp;AN$4,tblForecast,AN$2,FALSE),0)</f>
        <v>0</v>
      </c>
      <c r="AO85" s="94">
        <f t="shared" si="569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469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570">IFERROR(VLOOKUP($B85 &amp; $C85&amp;AS$4,tblForecast,AS$2,FALSE),0)</f>
        <v>0</v>
      </c>
      <c r="AT85" s="94">
        <f t="shared" si="570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470"/>
        <v>0</v>
      </c>
      <c r="AW85" s="190">
        <f t="shared" ref="AW85:AZ89" ca="1" si="571">IFERROR((AM85/AH85-1)*-1,0)</f>
        <v>0</v>
      </c>
      <c r="AX85" s="191">
        <f t="shared" si="571"/>
        <v>0</v>
      </c>
      <c r="AY85" s="191">
        <f t="shared" si="571"/>
        <v>0</v>
      </c>
      <c r="AZ85" s="191">
        <f t="shared" ca="1" si="571"/>
        <v>0</v>
      </c>
      <c r="BA85" s="233">
        <f ca="1">IF(BA84+BV85+BL85+BR85-Q85&lt;0,0,BA84+BV85+BL85+BR85-Q85)</f>
        <v>0</v>
      </c>
      <c r="BB85" s="229">
        <f ca="1">IF(IFERROR(VLOOKUP($B85 &amp; $C85&amp;BB$4,tblForecast,BB$2,FALSE),0)=0,BA85,IFERROR(VLOOKUP($B85 &amp; $C85&amp;BB$4,tblForecast,BB$2,FALSE),0))</f>
        <v>0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572">CX85+BG85</f>
        <v>0</v>
      </c>
      <c r="BE85" s="193">
        <f t="shared" ca="1" si="471"/>
        <v>0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0</v>
      </c>
      <c r="BH85" s="178">
        <f ca="1">IF(Q85&lt;&gt;0,BA85/Q85,0)</f>
        <v>0</v>
      </c>
      <c r="BI85" s="182">
        <f ca="1">IF(T85&lt;&gt;0,BD85/T85,0)</f>
        <v>0</v>
      </c>
      <c r="BJ85" s="194">
        <f t="shared" ref="BJ85:BJ89" ca="1" si="573">IF(BA85&lt;&gt;0,Q85/BA85,0)</f>
        <v>0</v>
      </c>
      <c r="BK85" s="50">
        <f t="shared" ref="BK85:BK89" ca="1" si="574">IF(BD85&lt;&gt;0,T85/BD85,0)</f>
        <v>0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0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0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477"/>
        <v>0</v>
      </c>
      <c r="BS85" s="229">
        <f t="shared" ca="1" si="477"/>
        <v>0</v>
      </c>
      <c r="BT85" s="232">
        <f t="shared" ref="BT85:BU89" si="575">IFERROR(VLOOKUP($B85 &amp; $C85&amp;BT$4,tblForecast,BT$2,FALSE),0)</f>
        <v>0</v>
      </c>
      <c r="BU85" s="229">
        <f t="shared" si="575"/>
        <v>0</v>
      </c>
      <c r="BV85" s="229">
        <f>IF($A85="a",IFERROR(VLOOKUP($B85 &amp; $C85&amp;BV$4,tblForecast,BV$2,FALSE),0),BT85+BU85)</f>
        <v>0</v>
      </c>
      <c r="BW85" s="229">
        <f t="shared" ref="BW85:BX89" si="576">IFERROR(VLOOKUP($B85 &amp; $C85&amp;BW$4,tblForecast,BW$2,FALSE),0)</f>
        <v>0</v>
      </c>
      <c r="BX85" s="229">
        <f t="shared" si="576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472"/>
        <v>0</v>
      </c>
      <c r="CA85" s="330">
        <f t="shared" ref="CA85:CB89" si="577">IFERROR(VLOOKUP($B85 &amp; $C85&amp;CA$4,tblForecast,CA$2,FALSE),0)</f>
        <v>0</v>
      </c>
      <c r="CB85" s="46">
        <f t="shared" si="577"/>
        <v>0</v>
      </c>
      <c r="CC85" s="46">
        <f>IF($A85="a",IFERROR(VLOOKUP($B85 &amp; $C85&amp;CC$4,tblForecast,CC$2,FALSE),0),CA85+CB85)</f>
        <v>0</v>
      </c>
      <c r="CD85" s="46">
        <f t="shared" ref="CD85:CE89" si="578">IFERROR(VLOOKUP($B85 &amp; $C85&amp;CD$4,tblForecast,CD$2,FALSE),0)</f>
        <v>0</v>
      </c>
      <c r="CE85" s="46">
        <f t="shared" si="578"/>
        <v>0</v>
      </c>
      <c r="CF85" s="46">
        <f ca="1">SUMIFS(OFFSET(tblForecast,,CF$2,,1),OFFSET(tblForecast,,,,1),$B85-IF(CompareVer="LY",1,0)&amp; $C85 &amp;CF$4)</f>
        <v>0</v>
      </c>
      <c r="CG85" s="193">
        <f t="shared" ca="1" si="473"/>
        <v>0</v>
      </c>
      <c r="CH85" s="330">
        <f t="shared" ref="CH85:CI89" si="579">IFERROR(VLOOKUP($B85 &amp; $C85&amp;CH$4,tblForecast,CH$2,FALSE),0)</f>
        <v>0</v>
      </c>
      <c r="CI85" s="46">
        <f t="shared" si="579"/>
        <v>0</v>
      </c>
      <c r="CJ85" s="46">
        <f>IF($A85="a",IFERROR(VLOOKUP($B85 &amp; $C85&amp;CJ$4,tblForecast,CJ$2,FALSE),0),CH85+CI85)</f>
        <v>0</v>
      </c>
      <c r="CK85" s="46">
        <f t="shared" ref="CK85:CL89" si="580">IFERROR(VLOOKUP($B85 &amp; $C85&amp;CK$4,tblForecast,CK$2,FALSE),0)</f>
        <v>0</v>
      </c>
      <c r="CL85" s="46">
        <f t="shared" si="580"/>
        <v>0</v>
      </c>
      <c r="CM85" s="46">
        <f ca="1">SUMIFS(OFFSET(tblForecast,,CM$2,,1),OFFSET(tblForecast,,,,1),$B85-IF(CompareVer="LY",1,0)&amp; $C85 &amp;CM$4)</f>
        <v>0</v>
      </c>
      <c r="CN85" s="193">
        <f t="shared" ca="1" si="474"/>
        <v>0</v>
      </c>
      <c r="CO85" s="177">
        <f t="shared" si="516"/>
        <v>0</v>
      </c>
      <c r="CP85" s="221">
        <f t="shared" ca="1" si="516"/>
        <v>0</v>
      </c>
      <c r="CQ85" s="193">
        <f t="shared" ca="1" si="475"/>
        <v>0</v>
      </c>
      <c r="CR85" s="177">
        <f t="shared" si="478"/>
        <v>0</v>
      </c>
      <c r="CS85" s="221">
        <f t="shared" ca="1" si="478"/>
        <v>0</v>
      </c>
      <c r="CT85" s="193">
        <f t="shared" ca="1" si="517"/>
        <v>0</v>
      </c>
      <c r="CU85" s="44">
        <f t="shared" si="310"/>
        <v>0</v>
      </c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546"/>
        <v>0</v>
      </c>
      <c r="CZ85" s="276">
        <f>IFERROR(VLOOKUP(Brand&amp;Channel&amp;Country&amp;$C85,tblDiscount,6,FALSE),0)</f>
        <v>0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478</v>
      </c>
      <c r="B86" s="44">
        <v>2019</v>
      </c>
      <c r="C86" s="88">
        <v>6</v>
      </c>
      <c r="D86" s="51">
        <f t="shared" ref="D86:D89" si="581">G86*H86</f>
        <v>0</v>
      </c>
      <c r="E86" s="201">
        <f t="shared" ref="E86:E89" si="582">IFERROR(D86*F86,0)</f>
        <v>0</v>
      </c>
      <c r="F86" s="181">
        <f t="shared" si="481"/>
        <v>0</v>
      </c>
      <c r="G86" s="175">
        <f t="shared" si="563"/>
        <v>0</v>
      </c>
      <c r="H86" s="202">
        <f t="shared" si="563"/>
        <v>0</v>
      </c>
      <c r="I86" s="202">
        <f t="shared" si="563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564"/>
        <v>0</v>
      </c>
      <c r="N86" s="46">
        <f t="shared" si="564"/>
        <v>0</v>
      </c>
      <c r="O86" s="46">
        <f t="shared" ca="1" si="564"/>
        <v>0</v>
      </c>
      <c r="P86" s="47">
        <f t="shared" ca="1" si="476"/>
        <v>0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565"/>
        <v>0</v>
      </c>
      <c r="T86" s="238">
        <f ca="1">SUMIFS(OFFSET(tblForecast,,T$2,,1),OFFSET(tblForecast,,,,1),$B86-IF(CompareVer="LY",1,0)&amp; $C86 &amp;T$4)</f>
        <v>0</v>
      </c>
      <c r="U86" s="91">
        <f t="shared" ca="1" si="467"/>
        <v>0</v>
      </c>
      <c r="V86" s="247">
        <f t="shared" ref="V86:V89" ca="1" si="583">IFERROR(IF(Q85&lt;&gt;0,Q86/Q85,0),0)</f>
        <v>0</v>
      </c>
      <c r="W86" s="327">
        <f ca="1">IFERROR(IF(R85&lt;&gt;0,R86/R85,X86),0)</f>
        <v>0</v>
      </c>
      <c r="X86" s="248">
        <f t="shared" ref="X86:X89" ca="1" si="584">IFERROR(IF(T85&lt;&gt;0,T86/T85,0),0)</f>
        <v>0</v>
      </c>
      <c r="Y86" s="51">
        <f t="shared" ca="1" si="566"/>
        <v>0</v>
      </c>
      <c r="Z86" s="46">
        <f t="shared" si="566"/>
        <v>0</v>
      </c>
      <c r="AA86" s="46">
        <f t="shared" si="566"/>
        <v>0</v>
      </c>
      <c r="AB86" s="46">
        <f t="shared" ca="1" si="566"/>
        <v>0</v>
      </c>
      <c r="AC86" s="91">
        <f t="shared" ca="1" si="468"/>
        <v>0</v>
      </c>
      <c r="AD86" s="75">
        <f ca="1">IF(AM86&lt;&gt;0,1-AR86/AM86,0)</f>
        <v>0</v>
      </c>
      <c r="AE86" s="93">
        <f t="shared" si="567"/>
        <v>0</v>
      </c>
      <c r="AF86" s="93">
        <f t="shared" si="567"/>
        <v>0</v>
      </c>
      <c r="AG86" s="76">
        <f t="shared" ca="1" si="567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568"/>
        <v>0</v>
      </c>
      <c r="AJ86" s="94">
        <f t="shared" si="568"/>
        <v>0</v>
      </c>
      <c r="AK86" s="49">
        <f ca="1">IFERROR(CF86/BY86,0)</f>
        <v>0</v>
      </c>
      <c r="AL86" s="47">
        <f t="shared" ca="1" si="381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569"/>
        <v>0</v>
      </c>
      <c r="AO86" s="94">
        <f t="shared" si="569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469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570"/>
        <v>0</v>
      </c>
      <c r="AT86" s="94">
        <f t="shared" si="570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470"/>
        <v>0</v>
      </c>
      <c r="AW86" s="190">
        <f t="shared" ca="1" si="571"/>
        <v>0</v>
      </c>
      <c r="AX86" s="191">
        <f t="shared" si="571"/>
        <v>0</v>
      </c>
      <c r="AY86" s="191">
        <f t="shared" si="571"/>
        <v>0</v>
      </c>
      <c r="AZ86" s="191">
        <f t="shared" ca="1" si="571"/>
        <v>0</v>
      </c>
      <c r="BA86" s="233">
        <f ca="1">IF(BA85+BV86+BL86+BR86-Q86&lt;0,0,BA85+BV86+BL86+BR86-Q86)</f>
        <v>0</v>
      </c>
      <c r="BB86" s="229">
        <f ca="1">IF(IFERROR(VLOOKUP($B86 &amp; $C86&amp;BB$4,tblForecast,BB$2,FALSE),0)=0,BA86,IFERROR(VLOOKUP($B86 &amp; $C86&amp;BB$4,tblForecast,BB$2,FALSE),0))</f>
        <v>0</v>
      </c>
      <c r="BC86" s="229">
        <f ca="1">SUMIFS(OFFSET(tblForecast,,BC$2,,1),OFFSET(tblForecast,,,,1),$B86-IF(CompareVer="LY",1,0)&amp; $C86 &amp;BC$4)</f>
        <v>0</v>
      </c>
      <c r="BD86" s="229">
        <f t="shared" ca="1" si="572"/>
        <v>0</v>
      </c>
      <c r="BE86" s="193">
        <f t="shared" ca="1" si="471"/>
        <v>0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0</v>
      </c>
      <c r="BH86" s="178">
        <f ca="1">IF(Q86&lt;&gt;0,BA86/Q86,0)</f>
        <v>0</v>
      </c>
      <c r="BI86" s="182">
        <f ca="1">IF(T86&lt;&gt;0,BD86/T86,0)</f>
        <v>0</v>
      </c>
      <c r="BJ86" s="194">
        <f t="shared" ca="1" si="573"/>
        <v>0</v>
      </c>
      <c r="BK86" s="50">
        <f t="shared" ca="1" si="574"/>
        <v>0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0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0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0</v>
      </c>
      <c r="BR86" s="225">
        <f t="shared" si="477"/>
        <v>0</v>
      </c>
      <c r="BS86" s="229">
        <f t="shared" ca="1" si="477"/>
        <v>0</v>
      </c>
      <c r="BT86" s="232">
        <f t="shared" si="575"/>
        <v>0</v>
      </c>
      <c r="BU86" s="229">
        <f t="shared" si="575"/>
        <v>0</v>
      </c>
      <c r="BV86" s="229">
        <f>IF($A86="a",IFERROR(VLOOKUP($B86 &amp; $C86&amp;BV$4,tblForecast,BV$2,FALSE),0),BT86+BU86)</f>
        <v>0</v>
      </c>
      <c r="BW86" s="229">
        <f t="shared" si="576"/>
        <v>0</v>
      </c>
      <c r="BX86" s="229">
        <f t="shared" si="576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472"/>
        <v>0</v>
      </c>
      <c r="CA86" s="330">
        <f t="shared" si="577"/>
        <v>0</v>
      </c>
      <c r="CB86" s="46">
        <f t="shared" si="577"/>
        <v>0</v>
      </c>
      <c r="CC86" s="46">
        <f>IF($A86="a",IFERROR(VLOOKUP($B86 &amp; $C86&amp;CC$4,tblForecast,CC$2,FALSE),0),CA86+CB86)</f>
        <v>0</v>
      </c>
      <c r="CD86" s="46">
        <f t="shared" si="578"/>
        <v>0</v>
      </c>
      <c r="CE86" s="46">
        <f t="shared" si="578"/>
        <v>0</v>
      </c>
      <c r="CF86" s="46">
        <f ca="1">SUMIFS(OFFSET(tblForecast,,CF$2,,1),OFFSET(tblForecast,,,,1),$B86-IF(CompareVer="LY",1,0)&amp; $C86 &amp;CF$4)</f>
        <v>0</v>
      </c>
      <c r="CG86" s="193">
        <f t="shared" ca="1" si="473"/>
        <v>0</v>
      </c>
      <c r="CH86" s="330">
        <f t="shared" si="579"/>
        <v>0</v>
      </c>
      <c r="CI86" s="46">
        <f t="shared" si="579"/>
        <v>0</v>
      </c>
      <c r="CJ86" s="46">
        <f>IF($A86="a",IFERROR(VLOOKUP($B86 &amp; $C86&amp;CJ$4,tblForecast,CJ$2,FALSE),0),CH86+CI86)</f>
        <v>0</v>
      </c>
      <c r="CK86" s="46">
        <f t="shared" si="580"/>
        <v>0</v>
      </c>
      <c r="CL86" s="46">
        <f t="shared" si="580"/>
        <v>0</v>
      </c>
      <c r="CM86" s="46">
        <f ca="1">SUMIFS(OFFSET(tblForecast,,CM$2,,1),OFFSET(tblForecast,,,,1),$B86-IF(CompareVer="LY",1,0)&amp; $C86 &amp;CM$4)</f>
        <v>0</v>
      </c>
      <c r="CN86" s="193">
        <f t="shared" ca="1" si="474"/>
        <v>0</v>
      </c>
      <c r="CO86" s="177">
        <f t="shared" si="516"/>
        <v>0</v>
      </c>
      <c r="CP86" s="221">
        <f t="shared" ca="1" si="516"/>
        <v>0</v>
      </c>
      <c r="CQ86" s="193">
        <f t="shared" ca="1" si="475"/>
        <v>0</v>
      </c>
      <c r="CR86" s="177">
        <f t="shared" si="478"/>
        <v>0</v>
      </c>
      <c r="CS86" s="221">
        <f t="shared" ca="1" si="478"/>
        <v>0</v>
      </c>
      <c r="CT86" s="193">
        <f t="shared" ca="1" si="517"/>
        <v>0</v>
      </c>
      <c r="CU86" s="44">
        <f t="shared" si="310"/>
        <v>0</v>
      </c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546"/>
        <v>0</v>
      </c>
      <c r="CZ86" s="276">
        <f>IFERROR(VLOOKUP(Brand&amp;Channel&amp;Country&amp;$C86,tblDiscount,6,FALSE),0)</f>
        <v>0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478</v>
      </c>
      <c r="B87" s="44">
        <v>2019</v>
      </c>
      <c r="C87" s="88">
        <v>7</v>
      </c>
      <c r="D87" s="51">
        <f t="shared" si="581"/>
        <v>0</v>
      </c>
      <c r="E87" s="201">
        <f t="shared" si="582"/>
        <v>0</v>
      </c>
      <c r="F87" s="181">
        <f t="shared" si="481"/>
        <v>0</v>
      </c>
      <c r="G87" s="175">
        <f t="shared" si="563"/>
        <v>0</v>
      </c>
      <c r="H87" s="202">
        <f t="shared" si="563"/>
        <v>0</v>
      </c>
      <c r="I87" s="202">
        <f t="shared" si="563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564"/>
        <v>0</v>
      </c>
      <c r="N87" s="46">
        <f t="shared" si="564"/>
        <v>0</v>
      </c>
      <c r="O87" s="46">
        <f t="shared" ca="1" si="564"/>
        <v>0</v>
      </c>
      <c r="P87" s="47">
        <f t="shared" ca="1" si="476"/>
        <v>0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565"/>
        <v>0</v>
      </c>
      <c r="T87" s="238">
        <f ca="1">SUMIFS(OFFSET(tblForecast,,T$2,,1),OFFSET(tblForecast,,,,1),$B87-IF(CompareVer="LY",1,0)&amp; $C87 &amp;T$4)</f>
        <v>0</v>
      </c>
      <c r="U87" s="91">
        <f t="shared" ca="1" si="467"/>
        <v>0</v>
      </c>
      <c r="V87" s="247">
        <f t="shared" ca="1" si="583"/>
        <v>0</v>
      </c>
      <c r="W87" s="327">
        <f ca="1">IFERROR(IF(R86&lt;&gt;0,R87/R86,X87),0)</f>
        <v>0</v>
      </c>
      <c r="X87" s="248">
        <f t="shared" ca="1" si="584"/>
        <v>0</v>
      </c>
      <c r="Y87" s="51">
        <f t="shared" ca="1" si="566"/>
        <v>0</v>
      </c>
      <c r="Z87" s="46">
        <f t="shared" si="566"/>
        <v>0</v>
      </c>
      <c r="AA87" s="46">
        <f t="shared" si="566"/>
        <v>0</v>
      </c>
      <c r="AB87" s="46">
        <f t="shared" ca="1" si="566"/>
        <v>0</v>
      </c>
      <c r="AC87" s="91">
        <f t="shared" ca="1" si="468"/>
        <v>0</v>
      </c>
      <c r="AD87" s="75">
        <f ca="1">IF(AM87&lt;&gt;0,1-AR87/AM87,0)</f>
        <v>0</v>
      </c>
      <c r="AE87" s="93">
        <f t="shared" si="567"/>
        <v>0</v>
      </c>
      <c r="AF87" s="93">
        <f t="shared" si="567"/>
        <v>0</v>
      </c>
      <c r="AG87" s="76">
        <f t="shared" ca="1" si="567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568"/>
        <v>0</v>
      </c>
      <c r="AJ87" s="94">
        <f t="shared" si="568"/>
        <v>0</v>
      </c>
      <c r="AK87" s="49">
        <f ca="1">IFERROR(CF87/BY87,0)</f>
        <v>0</v>
      </c>
      <c r="AL87" s="47">
        <f t="shared" ca="1" si="381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569"/>
        <v>0</v>
      </c>
      <c r="AO87" s="94">
        <f t="shared" si="569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469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570"/>
        <v>0</v>
      </c>
      <c r="AT87" s="94">
        <f t="shared" si="570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470"/>
        <v>0</v>
      </c>
      <c r="AW87" s="190">
        <f t="shared" ca="1" si="571"/>
        <v>0</v>
      </c>
      <c r="AX87" s="191">
        <f t="shared" si="571"/>
        <v>0</v>
      </c>
      <c r="AY87" s="191">
        <f t="shared" si="571"/>
        <v>0</v>
      </c>
      <c r="AZ87" s="191">
        <f t="shared" ca="1" si="571"/>
        <v>0</v>
      </c>
      <c r="BA87" s="233">
        <f ca="1">IF(BA86+BV87+BL87+BR87-Q87&lt;0,0,BA86+BV87+BL87+BR87-Q87)</f>
        <v>0</v>
      </c>
      <c r="BB87" s="229">
        <f ca="1">IF(IFERROR(VLOOKUP($B87 &amp; $C87&amp;BB$4,tblForecast,BB$2,FALSE),0)=0,BA87,IFERROR(VLOOKUP($B87 &amp; $C87&amp;BB$4,tblForecast,BB$2,FALSE),0))</f>
        <v>0</v>
      </c>
      <c r="BC87" s="229">
        <f ca="1">SUMIFS(OFFSET(tblForecast,,BC$2,,1),OFFSET(tblForecast,,,,1),$B87-IF(CompareVer="LY",1,0)&amp; $C87 &amp;BC$4)</f>
        <v>0</v>
      </c>
      <c r="BD87" s="229">
        <f t="shared" ca="1" si="572"/>
        <v>0</v>
      </c>
      <c r="BE87" s="193">
        <f t="shared" ca="1" si="471"/>
        <v>0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0</v>
      </c>
      <c r="BH87" s="178">
        <f ca="1">IF(Q87&lt;&gt;0,BA87/Q87,0)</f>
        <v>0</v>
      </c>
      <c r="BI87" s="182">
        <f ca="1">IF(T87&lt;&gt;0,BD87/T87,0)</f>
        <v>0</v>
      </c>
      <c r="BJ87" s="194">
        <f t="shared" ca="1" si="573"/>
        <v>0</v>
      </c>
      <c r="BK87" s="50">
        <f t="shared" ca="1" si="574"/>
        <v>0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0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0</v>
      </c>
      <c r="BR87" s="225">
        <f t="shared" si="477"/>
        <v>0</v>
      </c>
      <c r="BS87" s="229">
        <f t="shared" ca="1" si="477"/>
        <v>0</v>
      </c>
      <c r="BT87" s="232">
        <f t="shared" si="575"/>
        <v>0</v>
      </c>
      <c r="BU87" s="229">
        <f t="shared" si="575"/>
        <v>0</v>
      </c>
      <c r="BV87" s="229">
        <f>IF($A87="a",IFERROR(VLOOKUP($B87 &amp; $C87&amp;BV$4,tblForecast,BV$2,FALSE),0),BT87+BU87)</f>
        <v>0</v>
      </c>
      <c r="BW87" s="229">
        <f t="shared" si="576"/>
        <v>0</v>
      </c>
      <c r="BX87" s="229">
        <f t="shared" si="576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472"/>
        <v>0</v>
      </c>
      <c r="CA87" s="330">
        <f t="shared" si="577"/>
        <v>0</v>
      </c>
      <c r="CB87" s="46">
        <f t="shared" si="577"/>
        <v>0</v>
      </c>
      <c r="CC87" s="46">
        <f>IF($A87="a",IFERROR(VLOOKUP($B87 &amp; $C87&amp;CC$4,tblForecast,CC$2,FALSE),0),CA87+CB87)</f>
        <v>0</v>
      </c>
      <c r="CD87" s="46">
        <f t="shared" si="578"/>
        <v>0</v>
      </c>
      <c r="CE87" s="46">
        <f t="shared" si="578"/>
        <v>0</v>
      </c>
      <c r="CF87" s="46">
        <f ca="1">SUMIFS(OFFSET(tblForecast,,CF$2,,1),OFFSET(tblForecast,,,,1),$B87-IF(CompareVer="LY",1,0)&amp; $C87 &amp;CF$4)</f>
        <v>0</v>
      </c>
      <c r="CG87" s="193">
        <f t="shared" ca="1" si="473"/>
        <v>0</v>
      </c>
      <c r="CH87" s="330">
        <f t="shared" si="579"/>
        <v>0</v>
      </c>
      <c r="CI87" s="46">
        <f t="shared" si="579"/>
        <v>0</v>
      </c>
      <c r="CJ87" s="46">
        <f>IF($A87="a",IFERROR(VLOOKUP($B87 &amp; $C87&amp;CJ$4,tblForecast,CJ$2,FALSE),0),CH87+CI87)</f>
        <v>0</v>
      </c>
      <c r="CK87" s="46">
        <f t="shared" si="580"/>
        <v>0</v>
      </c>
      <c r="CL87" s="46">
        <f t="shared" si="580"/>
        <v>0</v>
      </c>
      <c r="CM87" s="46">
        <f ca="1">SUMIFS(OFFSET(tblForecast,,CM$2,,1),OFFSET(tblForecast,,,,1),$B87-IF(CompareVer="LY",1,0)&amp; $C87 &amp;CM$4)</f>
        <v>0</v>
      </c>
      <c r="CN87" s="193">
        <f t="shared" ca="1" si="474"/>
        <v>0</v>
      </c>
      <c r="CO87" s="177">
        <f t="shared" si="516"/>
        <v>0</v>
      </c>
      <c r="CP87" s="221">
        <f t="shared" ca="1" si="516"/>
        <v>0</v>
      </c>
      <c r="CQ87" s="193">
        <f t="shared" ca="1" si="475"/>
        <v>0</v>
      </c>
      <c r="CR87" s="177">
        <f t="shared" si="478"/>
        <v>0</v>
      </c>
      <c r="CS87" s="221">
        <f t="shared" ca="1" si="478"/>
        <v>0</v>
      </c>
      <c r="CT87" s="193">
        <f t="shared" ca="1" si="517"/>
        <v>0</v>
      </c>
      <c r="CU87" s="44">
        <f t="shared" si="310"/>
        <v>0</v>
      </c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546"/>
        <v>0</v>
      </c>
      <c r="CZ87" s="276">
        <f>IFERROR(VLOOKUP(Brand&amp;Channel&amp;Country&amp;$C87,tblDiscount,6,FALSE),0)</f>
        <v>0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478</v>
      </c>
      <c r="B88" s="44">
        <v>2019</v>
      </c>
      <c r="C88" s="88">
        <v>8</v>
      </c>
      <c r="D88" s="51">
        <f t="shared" si="581"/>
        <v>0</v>
      </c>
      <c r="E88" s="201">
        <f t="shared" si="582"/>
        <v>0</v>
      </c>
      <c r="F88" s="181">
        <f t="shared" si="481"/>
        <v>0</v>
      </c>
      <c r="G88" s="175">
        <f t="shared" si="563"/>
        <v>0</v>
      </c>
      <c r="H88" s="202">
        <f t="shared" si="563"/>
        <v>0</v>
      </c>
      <c r="I88" s="202">
        <f t="shared" si="563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564"/>
        <v>0</v>
      </c>
      <c r="N88" s="46">
        <f t="shared" si="564"/>
        <v>0</v>
      </c>
      <c r="O88" s="46">
        <f t="shared" ca="1" si="564"/>
        <v>0</v>
      </c>
      <c r="P88" s="47">
        <f t="shared" ca="1" si="476"/>
        <v>0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565"/>
        <v>0</v>
      </c>
      <c r="T88" s="238">
        <f ca="1">SUMIFS(OFFSET(tblForecast,,T$2,,1),OFFSET(tblForecast,,,,1),$B88-IF(CompareVer="LY",1,0)&amp; $C88 &amp;T$4)</f>
        <v>0</v>
      </c>
      <c r="U88" s="91">
        <f t="shared" ca="1" si="467"/>
        <v>0</v>
      </c>
      <c r="V88" s="247">
        <f t="shared" ca="1" si="583"/>
        <v>0</v>
      </c>
      <c r="W88" s="327">
        <f ca="1">IFERROR(IF(R87&lt;&gt;0,R88/R87,X88),0)</f>
        <v>0</v>
      </c>
      <c r="X88" s="248">
        <f t="shared" ca="1" si="584"/>
        <v>0</v>
      </c>
      <c r="Y88" s="51">
        <f t="shared" ca="1" si="566"/>
        <v>0</v>
      </c>
      <c r="Z88" s="46">
        <f t="shared" si="566"/>
        <v>0</v>
      </c>
      <c r="AA88" s="46">
        <f t="shared" si="566"/>
        <v>0</v>
      </c>
      <c r="AB88" s="46">
        <f t="shared" ca="1" si="566"/>
        <v>0</v>
      </c>
      <c r="AC88" s="91">
        <f t="shared" ca="1" si="468"/>
        <v>0</v>
      </c>
      <c r="AD88" s="75">
        <f ca="1">IF(AM88&lt;&gt;0,1-AR88/AM88,0)</f>
        <v>0</v>
      </c>
      <c r="AE88" s="93">
        <f t="shared" si="567"/>
        <v>0</v>
      </c>
      <c r="AF88" s="93">
        <f t="shared" si="567"/>
        <v>0</v>
      </c>
      <c r="AG88" s="76">
        <f t="shared" ca="1" si="567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568"/>
        <v>0</v>
      </c>
      <c r="AJ88" s="94">
        <f t="shared" si="568"/>
        <v>0</v>
      </c>
      <c r="AK88" s="49">
        <f ca="1">IFERROR(CF88/BY88,0)</f>
        <v>0</v>
      </c>
      <c r="AL88" s="47">
        <f t="shared" ca="1" si="381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569"/>
        <v>0</v>
      </c>
      <c r="AO88" s="94">
        <f t="shared" si="569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469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570"/>
        <v>0</v>
      </c>
      <c r="AT88" s="94">
        <f t="shared" si="570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470"/>
        <v>0</v>
      </c>
      <c r="AW88" s="190">
        <f t="shared" ca="1" si="571"/>
        <v>0</v>
      </c>
      <c r="AX88" s="191">
        <f t="shared" si="571"/>
        <v>0</v>
      </c>
      <c r="AY88" s="191">
        <f t="shared" si="571"/>
        <v>0</v>
      </c>
      <c r="AZ88" s="191">
        <f t="shared" ca="1" si="571"/>
        <v>0</v>
      </c>
      <c r="BA88" s="233">
        <f ca="1">IF(BA87+BV88+BL88+BR88-Q88&lt;0,0,BA87+BV88+BL88+BR88-Q88)</f>
        <v>0</v>
      </c>
      <c r="BB88" s="229">
        <f ca="1">IF(IFERROR(VLOOKUP($B88 &amp; $C88&amp;BB$4,tblForecast,BB$2,FALSE),0)=0,BA88,IFERROR(VLOOKUP($B88 &amp; $C88&amp;BB$4,tblForecast,BB$2,FALSE),0))</f>
        <v>0</v>
      </c>
      <c r="BC88" s="229">
        <f ca="1">SUMIFS(OFFSET(tblForecast,,BC$2,,1),OFFSET(tblForecast,,,,1),$B88-IF(CompareVer="LY",1,0)&amp; $C88 &amp;BC$4)</f>
        <v>0</v>
      </c>
      <c r="BD88" s="229">
        <f t="shared" ca="1" si="572"/>
        <v>0</v>
      </c>
      <c r="BE88" s="193">
        <f t="shared" ca="1" si="471"/>
        <v>0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0</v>
      </c>
      <c r="BH88" s="178">
        <f ca="1">IF(Q88&lt;&gt;0,BA88/Q88,0)</f>
        <v>0</v>
      </c>
      <c r="BI88" s="182">
        <f ca="1">IF(T88&lt;&gt;0,BD88/T88,0)</f>
        <v>0</v>
      </c>
      <c r="BJ88" s="194">
        <f t="shared" ca="1" si="573"/>
        <v>0</v>
      </c>
      <c r="BK88" s="50">
        <f t="shared" ca="1" si="574"/>
        <v>0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0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0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0</v>
      </c>
      <c r="BR88" s="225">
        <f t="shared" si="477"/>
        <v>0</v>
      </c>
      <c r="BS88" s="229">
        <f t="shared" ca="1" si="477"/>
        <v>0</v>
      </c>
      <c r="BT88" s="232">
        <f t="shared" si="575"/>
        <v>0</v>
      </c>
      <c r="BU88" s="229">
        <f t="shared" si="575"/>
        <v>0</v>
      </c>
      <c r="BV88" s="229">
        <f>IF($A88="a",IFERROR(VLOOKUP($B88 &amp; $C88&amp;BV$4,tblForecast,BV$2,FALSE),0),BT88+BU88)</f>
        <v>0</v>
      </c>
      <c r="BW88" s="229">
        <f t="shared" si="576"/>
        <v>0</v>
      </c>
      <c r="BX88" s="229">
        <f t="shared" si="576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472"/>
        <v>0</v>
      </c>
      <c r="CA88" s="330">
        <f t="shared" si="577"/>
        <v>0</v>
      </c>
      <c r="CB88" s="46">
        <f t="shared" si="577"/>
        <v>0</v>
      </c>
      <c r="CC88" s="46">
        <f>IF($A88="a",IFERROR(VLOOKUP($B88 &amp; $C88&amp;CC$4,tblForecast,CC$2,FALSE),0),CA88+CB88)</f>
        <v>0</v>
      </c>
      <c r="CD88" s="46">
        <f t="shared" si="578"/>
        <v>0</v>
      </c>
      <c r="CE88" s="46">
        <f t="shared" si="578"/>
        <v>0</v>
      </c>
      <c r="CF88" s="46">
        <f ca="1">SUMIFS(OFFSET(tblForecast,,CF$2,,1),OFFSET(tblForecast,,,,1),$B88-IF(CompareVer="LY",1,0)&amp; $C88 &amp;CF$4)</f>
        <v>0</v>
      </c>
      <c r="CG88" s="193">
        <f t="shared" ca="1" si="473"/>
        <v>0</v>
      </c>
      <c r="CH88" s="330">
        <f t="shared" si="579"/>
        <v>0</v>
      </c>
      <c r="CI88" s="46">
        <f t="shared" si="579"/>
        <v>0</v>
      </c>
      <c r="CJ88" s="46">
        <f>IF($A88="a",IFERROR(VLOOKUP($B88 &amp; $C88&amp;CJ$4,tblForecast,CJ$2,FALSE),0),CH88+CI88)</f>
        <v>0</v>
      </c>
      <c r="CK88" s="46">
        <f t="shared" si="580"/>
        <v>0</v>
      </c>
      <c r="CL88" s="46">
        <f t="shared" si="580"/>
        <v>0</v>
      </c>
      <c r="CM88" s="46">
        <f ca="1">SUMIFS(OFFSET(tblForecast,,CM$2,,1),OFFSET(tblForecast,,,,1),$B88-IF(CompareVer="LY",1,0)&amp; $C88 &amp;CM$4)</f>
        <v>0</v>
      </c>
      <c r="CN88" s="193">
        <f t="shared" ca="1" si="474"/>
        <v>0</v>
      </c>
      <c r="CO88" s="177">
        <f t="shared" si="516"/>
        <v>0</v>
      </c>
      <c r="CP88" s="221">
        <f t="shared" ca="1" si="516"/>
        <v>0</v>
      </c>
      <c r="CQ88" s="193">
        <f t="shared" ca="1" si="475"/>
        <v>0</v>
      </c>
      <c r="CR88" s="177">
        <f t="shared" si="478"/>
        <v>0</v>
      </c>
      <c r="CS88" s="221">
        <f t="shared" ca="1" si="478"/>
        <v>0</v>
      </c>
      <c r="CT88" s="193">
        <f t="shared" ca="1" si="517"/>
        <v>0</v>
      </c>
      <c r="CU88" s="44">
        <f t="shared" si="310"/>
        <v>0</v>
      </c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546"/>
        <v>0</v>
      </c>
      <c r="CZ88" s="276">
        <f>IFERROR(VLOOKUP(Brand&amp;Channel&amp;Country&amp;$C88,tblDiscount,6,FALSE),0)</f>
        <v>0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478</v>
      </c>
      <c r="B89" s="44">
        <v>2019</v>
      </c>
      <c r="C89" s="88">
        <v>9</v>
      </c>
      <c r="D89" s="51">
        <f t="shared" si="581"/>
        <v>0</v>
      </c>
      <c r="E89" s="201">
        <f t="shared" si="582"/>
        <v>0</v>
      </c>
      <c r="F89" s="181">
        <f t="shared" si="481"/>
        <v>0</v>
      </c>
      <c r="G89" s="175">
        <f t="shared" si="563"/>
        <v>0</v>
      </c>
      <c r="H89" s="202">
        <f t="shared" si="563"/>
        <v>0</v>
      </c>
      <c r="I89" s="202">
        <f t="shared" si="563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564"/>
        <v>0</v>
      </c>
      <c r="N89" s="46">
        <f t="shared" si="564"/>
        <v>0</v>
      </c>
      <c r="O89" s="46">
        <f t="shared" ca="1" si="564"/>
        <v>0</v>
      </c>
      <c r="P89" s="47">
        <f t="shared" ca="1" si="476"/>
        <v>0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565"/>
        <v>0</v>
      </c>
      <c r="T89" s="238">
        <f ca="1">SUMIFS(OFFSET(tblForecast,,T$2,,1),OFFSET(tblForecast,,,,1),$B89-IF(CompareVer="LY",1,0)&amp; $C89 &amp;T$4)</f>
        <v>0</v>
      </c>
      <c r="U89" s="91">
        <f t="shared" ca="1" si="467"/>
        <v>0</v>
      </c>
      <c r="V89" s="247">
        <f t="shared" ca="1" si="583"/>
        <v>0</v>
      </c>
      <c r="W89" s="327">
        <f ca="1">IFERROR(IF(R88&lt;&gt;0,R89/R88,X89),0)</f>
        <v>0</v>
      </c>
      <c r="X89" s="248">
        <f t="shared" ca="1" si="584"/>
        <v>0</v>
      </c>
      <c r="Y89" s="51">
        <f t="shared" ca="1" si="566"/>
        <v>0</v>
      </c>
      <c r="Z89" s="46">
        <f t="shared" si="566"/>
        <v>0</v>
      </c>
      <c r="AA89" s="46">
        <f t="shared" si="566"/>
        <v>0</v>
      </c>
      <c r="AB89" s="46">
        <f t="shared" ca="1" si="566"/>
        <v>0</v>
      </c>
      <c r="AC89" s="91">
        <f t="shared" ca="1" si="468"/>
        <v>0</v>
      </c>
      <c r="AD89" s="75">
        <f ca="1">IF(AM89&lt;&gt;0,1-AR89/AM89,0)</f>
        <v>0</v>
      </c>
      <c r="AE89" s="93">
        <f t="shared" si="567"/>
        <v>0</v>
      </c>
      <c r="AF89" s="93">
        <f t="shared" si="567"/>
        <v>0</v>
      </c>
      <c r="AG89" s="76">
        <f t="shared" ca="1" si="567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568"/>
        <v>0</v>
      </c>
      <c r="AJ89" s="94">
        <f t="shared" si="568"/>
        <v>0</v>
      </c>
      <c r="AK89" s="49">
        <f ca="1">IFERROR(CF89/BY89,0)</f>
        <v>0</v>
      </c>
      <c r="AL89" s="47">
        <f t="shared" ca="1" si="381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569"/>
        <v>0</v>
      </c>
      <c r="AO89" s="94">
        <f t="shared" si="569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469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570"/>
        <v>0</v>
      </c>
      <c r="AT89" s="94">
        <f t="shared" si="570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470"/>
        <v>0</v>
      </c>
      <c r="AW89" s="190">
        <f t="shared" ca="1" si="571"/>
        <v>0</v>
      </c>
      <c r="AX89" s="191">
        <f t="shared" si="571"/>
        <v>0</v>
      </c>
      <c r="AY89" s="191">
        <f t="shared" si="571"/>
        <v>0</v>
      </c>
      <c r="AZ89" s="191">
        <f t="shared" ca="1" si="571"/>
        <v>0</v>
      </c>
      <c r="BA89" s="233">
        <f ca="1">IF(BA88+BV89+BL89+BR89-Q89&lt;0,0,BA88+BV89+BL89+BR89-Q89)</f>
        <v>0</v>
      </c>
      <c r="BB89" s="229">
        <f ca="1">IF(IFERROR(VLOOKUP($B89 &amp; $C89&amp;BB$4,tblForecast,BB$2,FALSE),0)=0,BA89,IFERROR(VLOOKUP($B89 &amp; $C89&amp;BB$4,tblForecast,BB$2,FALSE),0))</f>
        <v>0</v>
      </c>
      <c r="BC89" s="229">
        <f ca="1">SUMIFS(OFFSET(tblForecast,,BC$2,,1),OFFSET(tblForecast,,,,1),$B89-IF(CompareVer="LY",1,0)&amp; $C89 &amp;BC$4)</f>
        <v>0</v>
      </c>
      <c r="BD89" s="229">
        <f t="shared" ca="1" si="572"/>
        <v>0</v>
      </c>
      <c r="BE89" s="193">
        <f t="shared" ca="1" si="471"/>
        <v>0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0</v>
      </c>
      <c r="BH89" s="178">
        <f ca="1">IF(Q89&lt;&gt;0,BA89/Q89,0)</f>
        <v>0</v>
      </c>
      <c r="BI89" s="182">
        <f ca="1">IF(T89&lt;&gt;0,BD89/T89,0)</f>
        <v>0</v>
      </c>
      <c r="BJ89" s="194">
        <f t="shared" ca="1" si="573"/>
        <v>0</v>
      </c>
      <c r="BK89" s="50">
        <f t="shared" ca="1" si="574"/>
        <v>0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0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0</v>
      </c>
      <c r="BR89" s="225">
        <f t="shared" si="477"/>
        <v>0</v>
      </c>
      <c r="BS89" s="229">
        <f t="shared" ca="1" si="477"/>
        <v>0</v>
      </c>
      <c r="BT89" s="232">
        <f t="shared" si="575"/>
        <v>0</v>
      </c>
      <c r="BU89" s="229">
        <f t="shared" si="575"/>
        <v>0</v>
      </c>
      <c r="BV89" s="229">
        <f>IF($A89="a",IFERROR(VLOOKUP($B89 &amp; $C89&amp;BV$4,tblForecast,BV$2,FALSE),0),BT89+BU89)</f>
        <v>0</v>
      </c>
      <c r="BW89" s="229">
        <f t="shared" si="576"/>
        <v>0</v>
      </c>
      <c r="BX89" s="229">
        <f t="shared" si="576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472"/>
        <v>0</v>
      </c>
      <c r="CA89" s="330">
        <f t="shared" si="577"/>
        <v>0</v>
      </c>
      <c r="CB89" s="46">
        <f t="shared" si="577"/>
        <v>0</v>
      </c>
      <c r="CC89" s="46">
        <f>IF($A89="a",IFERROR(VLOOKUP($B89 &amp; $C89&amp;CC$4,tblForecast,CC$2,FALSE),0),CA89+CB89)</f>
        <v>0</v>
      </c>
      <c r="CD89" s="46">
        <f t="shared" si="578"/>
        <v>0</v>
      </c>
      <c r="CE89" s="46">
        <f t="shared" si="578"/>
        <v>0</v>
      </c>
      <c r="CF89" s="46">
        <f ca="1">SUMIFS(OFFSET(tblForecast,,CF$2,,1),OFFSET(tblForecast,,,,1),$B89-IF(CompareVer="LY",1,0)&amp; $C89 &amp;CF$4)</f>
        <v>0</v>
      </c>
      <c r="CG89" s="193">
        <f t="shared" ca="1" si="473"/>
        <v>0</v>
      </c>
      <c r="CH89" s="330">
        <f t="shared" si="579"/>
        <v>0</v>
      </c>
      <c r="CI89" s="46">
        <f t="shared" si="579"/>
        <v>0</v>
      </c>
      <c r="CJ89" s="46">
        <f>IF($A89="a",IFERROR(VLOOKUP($B89 &amp; $C89&amp;CJ$4,tblForecast,CJ$2,FALSE),0),CH89+CI89)</f>
        <v>0</v>
      </c>
      <c r="CK89" s="46">
        <f t="shared" si="580"/>
        <v>0</v>
      </c>
      <c r="CL89" s="46">
        <f t="shared" si="580"/>
        <v>0</v>
      </c>
      <c r="CM89" s="46">
        <f ca="1">SUMIFS(OFFSET(tblForecast,,CM$2,,1),OFFSET(tblForecast,,,,1),$B89-IF(CompareVer="LY",1,0)&amp; $C89 &amp;CM$4)</f>
        <v>0</v>
      </c>
      <c r="CN89" s="193">
        <f t="shared" ca="1" si="474"/>
        <v>0</v>
      </c>
      <c r="CO89" s="177">
        <f t="shared" si="516"/>
        <v>0</v>
      </c>
      <c r="CP89" s="221">
        <f t="shared" ca="1" si="516"/>
        <v>0</v>
      </c>
      <c r="CQ89" s="193">
        <f t="shared" ca="1" si="475"/>
        <v>0</v>
      </c>
      <c r="CR89" s="177">
        <f t="shared" si="478"/>
        <v>0</v>
      </c>
      <c r="CS89" s="221">
        <f t="shared" ca="1" si="478"/>
        <v>0</v>
      </c>
      <c r="CT89" s="193">
        <f t="shared" ca="1" si="517"/>
        <v>0</v>
      </c>
      <c r="CU89" s="44">
        <f t="shared" si="310"/>
        <v>0</v>
      </c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546"/>
        <v>0</v>
      </c>
      <c r="CZ89" s="276">
        <f>IFERROR(VLOOKUP(Brand&amp;Channel&amp;Country&amp;$C89,tblDiscount,6,FALSE),0)</f>
        <v>0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7" t="s">
        <v>21</v>
      </c>
      <c r="D90" s="348">
        <f>SUM(D85:D89)</f>
        <v>0</v>
      </c>
      <c r="E90" s="349">
        <f>SUM(E85:E89)</f>
        <v>0</v>
      </c>
      <c r="F90" s="350">
        <f t="shared" si="481"/>
        <v>0</v>
      </c>
      <c r="G90" s="351">
        <f>SUM(G85:G89)</f>
        <v>0</v>
      </c>
      <c r="H90" s="352">
        <f>IFERROR(D90/G90,0)</f>
        <v>0</v>
      </c>
      <c r="I90" s="352">
        <f>IFERROR(SUMPRODUCT(I85:I89,G85:G89)/G90,0)</f>
        <v>0</v>
      </c>
      <c r="J90" s="351">
        <f>SUM(J85:J89)</f>
        <v>0</v>
      </c>
      <c r="K90" s="353">
        <f>SUM(K85:K89)</f>
        <v>0</v>
      </c>
      <c r="L90" s="354">
        <f ca="1">SUM(L85:L89)</f>
        <v>0</v>
      </c>
      <c r="M90" s="354">
        <f t="shared" ref="M90:O90" si="585">SUM(M85:M89)</f>
        <v>0</v>
      </c>
      <c r="N90" s="354">
        <f t="shared" si="585"/>
        <v>0</v>
      </c>
      <c r="O90" s="354">
        <f t="shared" ca="1" si="585"/>
        <v>0</v>
      </c>
      <c r="P90" s="355">
        <f t="shared" ca="1" si="476"/>
        <v>0</v>
      </c>
      <c r="Q90" s="356">
        <f t="shared" ref="Q90:S90" ca="1" si="586">SUM(Q85:Q89)</f>
        <v>0</v>
      </c>
      <c r="R90" s="356">
        <f t="shared" si="586"/>
        <v>0</v>
      </c>
      <c r="S90" s="356">
        <f t="shared" si="586"/>
        <v>0</v>
      </c>
      <c r="T90" s="356">
        <f ca="1">SUM(T85:T89)</f>
        <v>0</v>
      </c>
      <c r="U90" s="355">
        <f t="shared" ca="1" si="467"/>
        <v>0</v>
      </c>
      <c r="V90" s="357">
        <f ca="1">V89</f>
        <v>0</v>
      </c>
      <c r="W90" s="358">
        <f ca="1">W89</f>
        <v>0</v>
      </c>
      <c r="X90" s="359">
        <f ca="1">X89</f>
        <v>0</v>
      </c>
      <c r="Y90" s="348">
        <f ca="1">SUM(Y85:Y89)</f>
        <v>0</v>
      </c>
      <c r="Z90" s="354">
        <f t="shared" ref="Z90:AB90" si="587">SUM(Z85:Z89)</f>
        <v>0</v>
      </c>
      <c r="AA90" s="354">
        <f t="shared" si="587"/>
        <v>0</v>
      </c>
      <c r="AB90" s="354">
        <f t="shared" ca="1" si="587"/>
        <v>0</v>
      </c>
      <c r="AC90" s="355">
        <f t="shared" ca="1" si="468"/>
        <v>0</v>
      </c>
      <c r="AD90" s="360">
        <f ca="1">IFERROR(Y90/L90,0)</f>
        <v>0</v>
      </c>
      <c r="AE90" s="361">
        <f>IFERROR(Z90/M90,0)</f>
        <v>0</v>
      </c>
      <c r="AF90" s="361">
        <f>IFERROR(AA90/N90,0)</f>
        <v>0</v>
      </c>
      <c r="AG90" s="361">
        <f ca="1">IFERROR(AB90/O90,0)</f>
        <v>0</v>
      </c>
      <c r="AH90" s="362">
        <f ca="1">IFERROR(SUMPRODUCT(AH85:AH89,Q85:Q89)/Q90,0)</f>
        <v>0</v>
      </c>
      <c r="AI90" s="363">
        <f>IFERROR(SUMPRODUCT(AI85:AI89,R85:R89)/R90,0)</f>
        <v>0</v>
      </c>
      <c r="AJ90" s="363">
        <f>IFERROR(SUMPRODUCT(AJ85:AJ89,S85:S89)/S90,0)</f>
        <v>0</v>
      </c>
      <c r="AK90" s="363">
        <f ca="1">IFERROR(SUMPRODUCT(AK85:AK89,T85:T89)/T90,0)</f>
        <v>0</v>
      </c>
      <c r="AL90" s="355">
        <f t="shared" ca="1" si="381"/>
        <v>0</v>
      </c>
      <c r="AM90" s="362">
        <f ca="1">IF(Q90&lt;&gt;0,L90/Q90,0)</f>
        <v>0</v>
      </c>
      <c r="AN90" s="363">
        <f>IF(R90&lt;&gt;0,M90/R90,0)</f>
        <v>0</v>
      </c>
      <c r="AO90" s="363">
        <f>IF(S90&lt;&gt;0,N90/S90,0)</f>
        <v>0</v>
      </c>
      <c r="AP90" s="363">
        <f ca="1">IF(T90&lt;&gt;0,O90/T90,0)</f>
        <v>0</v>
      </c>
      <c r="AQ90" s="355">
        <f t="shared" ca="1" si="469"/>
        <v>0</v>
      </c>
      <c r="AR90" s="362">
        <f ca="1">IFERROR((L90*(1-AD90))/Q90,0)</f>
        <v>0</v>
      </c>
      <c r="AS90" s="363">
        <f>IFERROR((M90*(1-AE90))/R90,0)</f>
        <v>0</v>
      </c>
      <c r="AT90" s="363">
        <f>IFERROR((N90*(1-AF90))/S90,0)</f>
        <v>0</v>
      </c>
      <c r="AU90" s="363">
        <f ca="1">IFERROR((O90*(1-AG90))/T90,0)</f>
        <v>0</v>
      </c>
      <c r="AV90" s="355">
        <f t="shared" ca="1" si="470"/>
        <v>0</v>
      </c>
      <c r="AW90" s="364">
        <f ca="1">IFERROR(SUMPRODUCT(AW85:AW89,V85:V89)/V90,0)</f>
        <v>0</v>
      </c>
      <c r="AX90" s="365">
        <f t="shared" ref="AX90:AZ90" ca="1" si="588">IFERROR(SUMPRODUCT(AX85:AX89,X85:X89)/X90,0)</f>
        <v>0</v>
      </c>
      <c r="AY90" s="365">
        <f t="shared" ca="1" si="588"/>
        <v>0</v>
      </c>
      <c r="AZ90" s="365">
        <f t="shared" ca="1" si="588"/>
        <v>0</v>
      </c>
      <c r="BA90" s="366">
        <f ca="1">BA89</f>
        <v>0</v>
      </c>
      <c r="BB90" s="356">
        <f t="shared" ref="BB90:BD90" ca="1" si="589">BB89</f>
        <v>0</v>
      </c>
      <c r="BC90" s="356">
        <f t="shared" ca="1" si="589"/>
        <v>0</v>
      </c>
      <c r="BD90" s="356">
        <f t="shared" ca="1" si="589"/>
        <v>0</v>
      </c>
      <c r="BE90" s="355">
        <f t="shared" ca="1" si="471"/>
        <v>0</v>
      </c>
      <c r="BF90" s="356">
        <f>BF89</f>
        <v>0</v>
      </c>
      <c r="BG90" s="356">
        <f ca="1">BG89</f>
        <v>0</v>
      </c>
      <c r="BH90" s="367">
        <f ca="1">IF(Q88&lt;&gt;0,(BA90/Q90),0)</f>
        <v>0</v>
      </c>
      <c r="BI90" s="368">
        <f ca="1">IF(T88&lt;&gt;0,(BD90/T88),0)</f>
        <v>0</v>
      </c>
      <c r="BJ90" s="369">
        <f ca="1">IFERROR((Q90/COUNTIF(BJ85:BJ89,"&lt;&gt;0"))/BA90,0)</f>
        <v>0</v>
      </c>
      <c r="BK90" s="370">
        <f ca="1">IF(BD90&lt;&gt;0,(T90/COUNTIF(BK85:BK89,"&lt;&gt;0"))/BD90,0)</f>
        <v>0</v>
      </c>
      <c r="BL90" s="366">
        <f t="shared" ref="BL90" si="590">SUM(BL85:BL89)</f>
        <v>0</v>
      </c>
      <c r="BM90" s="356">
        <f ca="1">SUM(BM85:BM89)</f>
        <v>0</v>
      </c>
      <c r="BN90" s="366">
        <f t="shared" ref="BN90:BQ90" si="591">SUM(BN85:BN89)</f>
        <v>0</v>
      </c>
      <c r="BO90" s="356">
        <f t="shared" ca="1" si="591"/>
        <v>0</v>
      </c>
      <c r="BP90" s="366">
        <f t="shared" si="591"/>
        <v>0</v>
      </c>
      <c r="BQ90" s="356">
        <f t="shared" ca="1" si="591"/>
        <v>0</v>
      </c>
      <c r="BR90" s="366">
        <f t="shared" si="477"/>
        <v>0</v>
      </c>
      <c r="BS90" s="356">
        <f t="shared" ca="1" si="477"/>
        <v>0</v>
      </c>
      <c r="BT90" s="366">
        <f t="shared" ref="BT90:BY90" si="592">SUM(BT85:BT89)</f>
        <v>0</v>
      </c>
      <c r="BU90" s="356">
        <f t="shared" si="592"/>
        <v>0</v>
      </c>
      <c r="BV90" s="356">
        <f t="shared" si="592"/>
        <v>0</v>
      </c>
      <c r="BW90" s="356">
        <f t="shared" si="592"/>
        <v>0</v>
      </c>
      <c r="BX90" s="356">
        <f t="shared" si="592"/>
        <v>0</v>
      </c>
      <c r="BY90" s="371">
        <f t="shared" ca="1" si="592"/>
        <v>0</v>
      </c>
      <c r="BZ90" s="355">
        <f t="shared" ca="1" si="472"/>
        <v>0</v>
      </c>
      <c r="CA90" s="372">
        <f t="shared" ref="CA90:CF90" si="593">SUM(CA85:CA89)</f>
        <v>0</v>
      </c>
      <c r="CB90" s="354">
        <f t="shared" si="593"/>
        <v>0</v>
      </c>
      <c r="CC90" s="354">
        <f t="shared" si="593"/>
        <v>0</v>
      </c>
      <c r="CD90" s="354">
        <f t="shared" si="593"/>
        <v>0</v>
      </c>
      <c r="CE90" s="354">
        <f t="shared" si="593"/>
        <v>0</v>
      </c>
      <c r="CF90" s="354">
        <f t="shared" ca="1" si="593"/>
        <v>0</v>
      </c>
      <c r="CG90" s="355">
        <f t="shared" ca="1" si="473"/>
        <v>0</v>
      </c>
      <c r="CH90" s="372">
        <f t="shared" ref="CH90:CM90" si="594">SUM(CH85:CH89)</f>
        <v>0</v>
      </c>
      <c r="CI90" s="354">
        <f t="shared" si="594"/>
        <v>0</v>
      </c>
      <c r="CJ90" s="354">
        <f t="shared" si="594"/>
        <v>0</v>
      </c>
      <c r="CK90" s="354">
        <f t="shared" si="594"/>
        <v>0</v>
      </c>
      <c r="CL90" s="354">
        <f t="shared" si="594"/>
        <v>0</v>
      </c>
      <c r="CM90" s="354">
        <f t="shared" ca="1" si="594"/>
        <v>0</v>
      </c>
      <c r="CN90" s="355">
        <f t="shared" ca="1" si="474"/>
        <v>0</v>
      </c>
      <c r="CO90" s="373">
        <f t="shared" si="516"/>
        <v>0</v>
      </c>
      <c r="CP90" s="374">
        <f t="shared" ca="1" si="516"/>
        <v>0</v>
      </c>
      <c r="CQ90" s="355">
        <f t="shared" ca="1" si="475"/>
        <v>0</v>
      </c>
      <c r="CR90" s="373">
        <f t="shared" si="478"/>
        <v>0</v>
      </c>
      <c r="CS90" s="374">
        <f t="shared" ca="1" si="478"/>
        <v>0</v>
      </c>
      <c r="CT90" s="355">
        <f t="shared" ca="1" si="517"/>
        <v>0</v>
      </c>
      <c r="CU90" s="44">
        <f t="shared" si="310"/>
        <v>0</v>
      </c>
      <c r="CW90" s="100">
        <f>CW89</f>
        <v>0</v>
      </c>
      <c r="CX90" s="101">
        <f ca="1">CX89</f>
        <v>0</v>
      </c>
      <c r="CY90" s="99">
        <f t="shared" ca="1" si="546"/>
        <v>0</v>
      </c>
      <c r="CZ90" s="276"/>
      <c r="DA90" s="277"/>
      <c r="DB90" s="277"/>
      <c r="DC90" s="278"/>
    </row>
    <row r="91" spans="1:107" x14ac:dyDescent="0.25">
      <c r="A91" s="44" t="s">
        <v>478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481"/>
        <v>0</v>
      </c>
      <c r="G91" s="175">
        <f t="shared" ref="G91:I94" si="595">IFERROR(VLOOKUP($B91 &amp; $C91&amp;G$4&amp;$A91,tblForecast,G$2,FALSE),0)</f>
        <v>0</v>
      </c>
      <c r="H91" s="202">
        <f t="shared" si="595"/>
        <v>0</v>
      </c>
      <c r="I91" s="202">
        <f t="shared" si="595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596">R91*AN91</f>
        <v>0</v>
      </c>
      <c r="N91" s="46">
        <f t="shared" si="596"/>
        <v>0</v>
      </c>
      <c r="O91" s="46">
        <f t="shared" ca="1" si="596"/>
        <v>0</v>
      </c>
      <c r="P91" s="47">
        <f t="shared" ca="1" si="476"/>
        <v>0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597">IFERROR(VLOOKUP($B91 &amp; $C91&amp;S$4,tblForecast,S$2,FALSE),0)</f>
        <v>0</v>
      </c>
      <c r="T91" s="238">
        <f ca="1">SUMIFS(OFFSET(tblForecast,,T$2,,1),OFFSET(tblForecast,,,,1),$B91-IF(CompareVer="LY",1,0)&amp; $C91 &amp;T$4)</f>
        <v>0</v>
      </c>
      <c r="U91" s="91">
        <f t="shared" ca="1" si="467"/>
        <v>0</v>
      </c>
      <c r="V91" s="247">
        <f ca="1">IFERROR(IF(Q89&gt;0,Q91/Q89,0),0)</f>
        <v>0</v>
      </c>
      <c r="W91" s="327">
        <f ca="1">IFERROR(IF(R89&gt;0,R91/R89,X91),0)</f>
        <v>0</v>
      </c>
      <c r="X91" s="248">
        <f ca="1">IFERROR(IF(T89&gt;0,T91/T89,0),0)</f>
        <v>0</v>
      </c>
      <c r="Y91" s="51">
        <f t="shared" ref="Y91:AB94" ca="1" si="598">IFERROR(L91*AD91,0)</f>
        <v>0</v>
      </c>
      <c r="Z91" s="46">
        <f t="shared" si="598"/>
        <v>0</v>
      </c>
      <c r="AA91" s="46">
        <f t="shared" si="598"/>
        <v>0</v>
      </c>
      <c r="AB91" s="46">
        <f t="shared" ca="1" si="598"/>
        <v>0</v>
      </c>
      <c r="AC91" s="91">
        <f t="shared" ca="1" si="468"/>
        <v>0</v>
      </c>
      <c r="AD91" s="75">
        <f ca="1">IF(AM91&lt;&gt;0,1-AR91/AM91,0)</f>
        <v>0</v>
      </c>
      <c r="AE91" s="93">
        <f t="shared" ref="AE91:AG94" si="599">IF(AN91&lt;&gt;0,1-AS91/AN91,0)</f>
        <v>0</v>
      </c>
      <c r="AF91" s="93">
        <f t="shared" si="599"/>
        <v>0</v>
      </c>
      <c r="AG91" s="76">
        <f t="shared" ca="1" si="599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600">IFERROR(VLOOKUP($B91 &amp; $C91&amp;AI$4,tblForecast,AI$2,FALSE),0)</f>
        <v>0</v>
      </c>
      <c r="AJ91" s="94">
        <f t="shared" si="600"/>
        <v>0</v>
      </c>
      <c r="AK91" s="49">
        <f ca="1">IFERROR(CF91/BY91,0)</f>
        <v>0</v>
      </c>
      <c r="AL91" s="47">
        <f t="shared" ca="1" si="381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601">IFERROR(VLOOKUP($B91 &amp; $C91&amp;AN$4,tblForecast,AN$2,FALSE),0)</f>
        <v>0</v>
      </c>
      <c r="AO91" s="94">
        <f t="shared" si="601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469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602">IFERROR(VLOOKUP($B91 &amp; $C91&amp;AS$4,tblForecast,AS$2,FALSE),0)</f>
        <v>0</v>
      </c>
      <c r="AT91" s="94">
        <f t="shared" si="602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470"/>
        <v>0</v>
      </c>
      <c r="AW91" s="190">
        <f t="shared" ref="AW91:AZ94" ca="1" si="603">IFERROR((AM91/AH91-1)*-1,0)</f>
        <v>0</v>
      </c>
      <c r="AX91" s="191">
        <f t="shared" si="603"/>
        <v>0</v>
      </c>
      <c r="AY91" s="191">
        <f t="shared" si="603"/>
        <v>0</v>
      </c>
      <c r="AZ91" s="191">
        <f t="shared" ca="1" si="603"/>
        <v>0</v>
      </c>
      <c r="BA91" s="233">
        <f ca="1">IF(BA90+BV91+BL91+BR91-Q91&lt;0,0,BA90+BV91+BL91+BR91-Q91)</f>
        <v>0</v>
      </c>
      <c r="BB91" s="229">
        <f ca="1">IF(IFERROR(VLOOKUP($B91 &amp; $C91&amp;BB$4,tblForecast,BB$2,FALSE),0)=0,BA91,IFERROR(VLOOKUP($B91 &amp; $C91&amp;BB$4,tblForecast,BB$2,FALSE),0))</f>
        <v>0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604">CX91+BG91</f>
        <v>0</v>
      </c>
      <c r="BE91" s="193">
        <f t="shared" ca="1" si="471"/>
        <v>0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0</v>
      </c>
      <c r="BH91" s="178">
        <f ca="1">IF(Q91&lt;&gt;0,BA91/Q91,0)</f>
        <v>0</v>
      </c>
      <c r="BI91" s="182">
        <f ca="1">IF(T91&lt;&gt;0,BD91/T91,0)</f>
        <v>0</v>
      </c>
      <c r="BJ91" s="194">
        <f t="shared" ref="BJ91:BJ94" ca="1" si="605">IF(BA91&lt;&gt;0,Q91/BA91,0)</f>
        <v>0</v>
      </c>
      <c r="BK91" s="50">
        <f t="shared" ref="BK91:BK94" ca="1" si="606">IF(BD91&lt;&gt;0,T91/BD91,0)</f>
        <v>0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0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0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0</v>
      </c>
      <c r="BR91" s="225">
        <f t="shared" si="477"/>
        <v>0</v>
      </c>
      <c r="BS91" s="229">
        <f t="shared" ca="1" si="477"/>
        <v>0</v>
      </c>
      <c r="BT91" s="232">
        <f t="shared" ref="BT91:BU94" si="607">IFERROR(VLOOKUP($B91 &amp; $C91&amp;BT$4,tblForecast,BT$2,FALSE),0)</f>
        <v>0</v>
      </c>
      <c r="BU91" s="229">
        <f t="shared" si="607"/>
        <v>0</v>
      </c>
      <c r="BV91" s="229">
        <f>IF($A91="a",IFERROR(VLOOKUP($B91 &amp; $C91&amp;BV$4,tblForecast,BV$2,FALSE),0),BT91+BU91)</f>
        <v>0</v>
      </c>
      <c r="BW91" s="229">
        <f t="shared" ref="BW91:BX94" si="608">IFERROR(VLOOKUP($B91 &amp; $C91&amp;BW$4,tblForecast,BW$2,FALSE),0)</f>
        <v>0</v>
      </c>
      <c r="BX91" s="229">
        <f t="shared" si="608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472"/>
        <v>0</v>
      </c>
      <c r="CA91" s="330">
        <f t="shared" ref="CA91:CB94" si="609">IFERROR(VLOOKUP($B91 &amp; $C91&amp;CA$4,tblForecast,CA$2,FALSE),0)</f>
        <v>0</v>
      </c>
      <c r="CB91" s="46">
        <f t="shared" si="609"/>
        <v>0</v>
      </c>
      <c r="CC91" s="46">
        <f>IF($A91="a",IFERROR(VLOOKUP($B91 &amp; $C91&amp;CC$4,tblForecast,CC$2,FALSE),0),CA91+CB91)</f>
        <v>0</v>
      </c>
      <c r="CD91" s="46">
        <f t="shared" ref="CD91:CE94" si="610">IFERROR(VLOOKUP($B91 &amp; $C91&amp;CD$4,tblForecast,CD$2,FALSE),0)</f>
        <v>0</v>
      </c>
      <c r="CE91" s="46">
        <f t="shared" si="610"/>
        <v>0</v>
      </c>
      <c r="CF91" s="46">
        <f ca="1">SUMIFS(OFFSET(tblForecast,,CF$2,,1),OFFSET(tblForecast,,,,1),$B91-IF(CompareVer="LY",1,0)&amp; $C91 &amp;CF$4)</f>
        <v>0</v>
      </c>
      <c r="CG91" s="193">
        <f t="shared" ca="1" si="473"/>
        <v>0</v>
      </c>
      <c r="CH91" s="330">
        <f t="shared" ref="CH91:CI94" si="611">IFERROR(VLOOKUP($B91 &amp; $C91&amp;CH$4,tblForecast,CH$2,FALSE),0)</f>
        <v>0</v>
      </c>
      <c r="CI91" s="46">
        <f t="shared" si="611"/>
        <v>0</v>
      </c>
      <c r="CJ91" s="46">
        <f>IF($A91="a",IFERROR(VLOOKUP($B91 &amp; $C91&amp;CJ$4,tblForecast,CJ$2,FALSE),0),CH91+CI91)</f>
        <v>0</v>
      </c>
      <c r="CK91" s="46">
        <f t="shared" ref="CK91:CL94" si="612">IFERROR(VLOOKUP($B91 &amp; $C91&amp;CK$4,tblForecast,CK$2,FALSE),0)</f>
        <v>0</v>
      </c>
      <c r="CL91" s="46">
        <f t="shared" si="612"/>
        <v>0</v>
      </c>
      <c r="CM91" s="46">
        <f ca="1">SUMIFS(OFFSET(tblForecast,,CM$2,,1),OFFSET(tblForecast,,,,1),$B91-IF(CompareVer="LY",1,0)&amp; $C91 &amp;CM$4)</f>
        <v>0</v>
      </c>
      <c r="CN91" s="193">
        <f t="shared" ca="1" si="474"/>
        <v>0</v>
      </c>
      <c r="CO91" s="177">
        <f t="shared" si="516"/>
        <v>0</v>
      </c>
      <c r="CP91" s="221">
        <f t="shared" ca="1" si="516"/>
        <v>0</v>
      </c>
      <c r="CQ91" s="193">
        <f t="shared" ca="1" si="475"/>
        <v>0</v>
      </c>
      <c r="CR91" s="177">
        <f t="shared" si="478"/>
        <v>0</v>
      </c>
      <c r="CS91" s="221">
        <f t="shared" ca="1" si="478"/>
        <v>0</v>
      </c>
      <c r="CT91" s="193">
        <f t="shared" ca="1" si="517"/>
        <v>0</v>
      </c>
      <c r="CU91" s="44">
        <f t="shared" si="310"/>
        <v>0</v>
      </c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546"/>
        <v>0</v>
      </c>
      <c r="CZ91" s="276">
        <f>IFERROR(VLOOKUP(Brand&amp;Channel&amp;Country&amp;$C91,tblDiscount,6,FALSE),0)</f>
        <v>0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478</v>
      </c>
      <c r="B92" s="44">
        <v>2019</v>
      </c>
      <c r="C92" s="88">
        <v>11</v>
      </c>
      <c r="D92" s="51">
        <f t="shared" ref="D92:D94" si="613">G92*H92</f>
        <v>0</v>
      </c>
      <c r="E92" s="201">
        <f t="shared" ref="E92:E94" si="614">IFERROR(D92*F92,0)</f>
        <v>0</v>
      </c>
      <c r="F92" s="181">
        <f t="shared" si="481"/>
        <v>0</v>
      </c>
      <c r="G92" s="175">
        <f t="shared" si="595"/>
        <v>0</v>
      </c>
      <c r="H92" s="202">
        <f t="shared" si="595"/>
        <v>0</v>
      </c>
      <c r="I92" s="202">
        <f t="shared" si="595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596"/>
        <v>0</v>
      </c>
      <c r="N92" s="46">
        <f t="shared" si="596"/>
        <v>0</v>
      </c>
      <c r="O92" s="46">
        <f t="shared" ca="1" si="596"/>
        <v>0</v>
      </c>
      <c r="P92" s="47">
        <f t="shared" ca="1" si="476"/>
        <v>0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597"/>
        <v>0</v>
      </c>
      <c r="T92" s="238">
        <f ca="1">SUMIFS(OFFSET(tblForecast,,T$2,,1),OFFSET(tblForecast,,,,1),$B92-IF(CompareVer="LY",1,0)&amp; $C92 &amp;T$4)</f>
        <v>0</v>
      </c>
      <c r="U92" s="91">
        <f t="shared" ca="1" si="467"/>
        <v>0</v>
      </c>
      <c r="V92" s="247">
        <f t="shared" ref="V92:V94" ca="1" si="615">IFERROR(IF(Q91&lt;&gt;0,Q92/Q91,0),0)</f>
        <v>0</v>
      </c>
      <c r="W92" s="327">
        <f ca="1">IFERROR(IF(R91&lt;&gt;0,R92/R91,X92),0)</f>
        <v>0</v>
      </c>
      <c r="X92" s="248">
        <f t="shared" ref="X92:X94" ca="1" si="616">IFERROR(IF(T91&lt;&gt;0,T92/T91,0),0)</f>
        <v>0</v>
      </c>
      <c r="Y92" s="51">
        <f t="shared" ca="1" si="598"/>
        <v>0</v>
      </c>
      <c r="Z92" s="46">
        <f t="shared" si="598"/>
        <v>0</v>
      </c>
      <c r="AA92" s="46">
        <f t="shared" si="598"/>
        <v>0</v>
      </c>
      <c r="AB92" s="46">
        <f t="shared" ca="1" si="598"/>
        <v>0</v>
      </c>
      <c r="AC92" s="91">
        <f t="shared" ca="1" si="468"/>
        <v>0</v>
      </c>
      <c r="AD92" s="75">
        <f ca="1">IF(AM92&lt;&gt;0,1-AR92/AM92,0)</f>
        <v>0</v>
      </c>
      <c r="AE92" s="93">
        <f t="shared" si="599"/>
        <v>0</v>
      </c>
      <c r="AF92" s="93">
        <f t="shared" si="599"/>
        <v>0</v>
      </c>
      <c r="AG92" s="76">
        <f t="shared" ca="1" si="599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600"/>
        <v>0</v>
      </c>
      <c r="AJ92" s="94">
        <f t="shared" si="600"/>
        <v>0</v>
      </c>
      <c r="AK92" s="49">
        <f ca="1">IFERROR(CF92/BY92,0)</f>
        <v>0</v>
      </c>
      <c r="AL92" s="47">
        <f t="shared" ca="1" si="381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601"/>
        <v>0</v>
      </c>
      <c r="AO92" s="94">
        <f t="shared" si="601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469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602"/>
        <v>0</v>
      </c>
      <c r="AT92" s="94">
        <f t="shared" si="602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470"/>
        <v>0</v>
      </c>
      <c r="AW92" s="190">
        <f t="shared" ca="1" si="603"/>
        <v>0</v>
      </c>
      <c r="AX92" s="191">
        <f t="shared" si="603"/>
        <v>0</v>
      </c>
      <c r="AY92" s="191">
        <f t="shared" si="603"/>
        <v>0</v>
      </c>
      <c r="AZ92" s="191">
        <f t="shared" ca="1" si="603"/>
        <v>0</v>
      </c>
      <c r="BA92" s="233">
        <f ca="1">IF(BA91+BV92+BL92+BR92-Q92&lt;0,0,BA91+BV92+BL92+BR92-Q92)</f>
        <v>0</v>
      </c>
      <c r="BB92" s="229">
        <f ca="1">IF(IFERROR(VLOOKUP($B92 &amp; $C92&amp;BB$4,tblForecast,BB$2,FALSE),0)=0,BA92,IFERROR(VLOOKUP($B92 &amp; $C92&amp;BB$4,tblForecast,BB$2,FALSE),0))</f>
        <v>0</v>
      </c>
      <c r="BC92" s="229">
        <f ca="1">SUMIFS(OFFSET(tblForecast,,BC$2,,1),OFFSET(tblForecast,,,,1),$B92-IF(CompareVer="LY",1,0)&amp; $C92 &amp;BC$4)</f>
        <v>0</v>
      </c>
      <c r="BD92" s="229">
        <f t="shared" ca="1" si="604"/>
        <v>0</v>
      </c>
      <c r="BE92" s="193">
        <f t="shared" ca="1" si="471"/>
        <v>0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0</v>
      </c>
      <c r="BH92" s="178">
        <f ca="1">IF(Q92&lt;&gt;0,BA92/Q92,0)</f>
        <v>0</v>
      </c>
      <c r="BI92" s="182">
        <f ca="1">IF(T92&lt;&gt;0,BD92/T92,0)</f>
        <v>0</v>
      </c>
      <c r="BJ92" s="194">
        <f t="shared" ca="1" si="605"/>
        <v>0</v>
      </c>
      <c r="BK92" s="50">
        <f t="shared" ca="1" si="606"/>
        <v>0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0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0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0</v>
      </c>
      <c r="BR92" s="225">
        <f t="shared" ref="BR92:BS107" si="617">BN92-BP92</f>
        <v>0</v>
      </c>
      <c r="BS92" s="229">
        <f t="shared" ca="1" si="617"/>
        <v>0</v>
      </c>
      <c r="BT92" s="232">
        <f t="shared" si="607"/>
        <v>0</v>
      </c>
      <c r="BU92" s="229">
        <f t="shared" si="607"/>
        <v>0</v>
      </c>
      <c r="BV92" s="229">
        <f>IF($A92="a",IFERROR(VLOOKUP($B92 &amp; $C92&amp;BV$4,tblForecast,BV$2,FALSE),0),BT92+BU92)</f>
        <v>0</v>
      </c>
      <c r="BW92" s="229">
        <f t="shared" si="608"/>
        <v>0</v>
      </c>
      <c r="BX92" s="229">
        <f t="shared" si="608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472"/>
        <v>0</v>
      </c>
      <c r="CA92" s="330">
        <f t="shared" si="609"/>
        <v>0</v>
      </c>
      <c r="CB92" s="46">
        <f t="shared" si="609"/>
        <v>0</v>
      </c>
      <c r="CC92" s="46">
        <f>IF($A92="a",IFERROR(VLOOKUP($B92 &amp; $C92&amp;CC$4,tblForecast,CC$2,FALSE),0),CA92+CB92)</f>
        <v>0</v>
      </c>
      <c r="CD92" s="46">
        <f t="shared" si="610"/>
        <v>0</v>
      </c>
      <c r="CE92" s="46">
        <f t="shared" si="610"/>
        <v>0</v>
      </c>
      <c r="CF92" s="46">
        <f ca="1">SUMIFS(OFFSET(tblForecast,,CF$2,,1),OFFSET(tblForecast,,,,1),$B92-IF(CompareVer="LY",1,0)&amp; $C92 &amp;CF$4)</f>
        <v>0</v>
      </c>
      <c r="CG92" s="193">
        <f t="shared" ca="1" si="473"/>
        <v>0</v>
      </c>
      <c r="CH92" s="330">
        <f t="shared" si="611"/>
        <v>0</v>
      </c>
      <c r="CI92" s="46">
        <f t="shared" si="611"/>
        <v>0</v>
      </c>
      <c r="CJ92" s="46">
        <f>IF($A92="a",IFERROR(VLOOKUP($B92 &amp; $C92&amp;CJ$4,tblForecast,CJ$2,FALSE),0),CH92+CI92)</f>
        <v>0</v>
      </c>
      <c r="CK92" s="46">
        <f t="shared" si="612"/>
        <v>0</v>
      </c>
      <c r="CL92" s="46">
        <f t="shared" si="612"/>
        <v>0</v>
      </c>
      <c r="CM92" s="46">
        <f ca="1">SUMIFS(OFFSET(tblForecast,,CM$2,,1),OFFSET(tblForecast,,,,1),$B92-IF(CompareVer="LY",1,0)&amp; $C92 &amp;CM$4)</f>
        <v>0</v>
      </c>
      <c r="CN92" s="193">
        <f t="shared" ca="1" si="474"/>
        <v>0</v>
      </c>
      <c r="CO92" s="177">
        <f t="shared" si="516"/>
        <v>0</v>
      </c>
      <c r="CP92" s="221">
        <f t="shared" ca="1" si="516"/>
        <v>0</v>
      </c>
      <c r="CQ92" s="193">
        <f t="shared" ca="1" si="475"/>
        <v>0</v>
      </c>
      <c r="CR92" s="177">
        <f t="shared" si="478"/>
        <v>0</v>
      </c>
      <c r="CS92" s="221">
        <f t="shared" ca="1" si="478"/>
        <v>0</v>
      </c>
      <c r="CT92" s="193">
        <f t="shared" ca="1" si="517"/>
        <v>0</v>
      </c>
      <c r="CU92" s="44">
        <f t="shared" si="310"/>
        <v>0</v>
      </c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546"/>
        <v>0</v>
      </c>
      <c r="CZ92" s="276">
        <f>IFERROR(VLOOKUP(Brand&amp;Channel&amp;Country&amp;$C92,tblDiscount,6,FALSE),0)</f>
        <v>0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478</v>
      </c>
      <c r="B93" s="44">
        <v>2019</v>
      </c>
      <c r="C93" s="88">
        <v>12</v>
      </c>
      <c r="D93" s="51">
        <f t="shared" si="613"/>
        <v>0</v>
      </c>
      <c r="E93" s="201">
        <f t="shared" si="614"/>
        <v>0</v>
      </c>
      <c r="F93" s="181">
        <f t="shared" si="481"/>
        <v>0</v>
      </c>
      <c r="G93" s="175">
        <f t="shared" si="595"/>
        <v>0</v>
      </c>
      <c r="H93" s="202">
        <f t="shared" si="595"/>
        <v>0</v>
      </c>
      <c r="I93" s="202">
        <f t="shared" si="595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596"/>
        <v>0</v>
      </c>
      <c r="N93" s="46">
        <f t="shared" si="596"/>
        <v>0</v>
      </c>
      <c r="O93" s="46">
        <f t="shared" ca="1" si="596"/>
        <v>0</v>
      </c>
      <c r="P93" s="47">
        <f t="shared" ca="1" si="476"/>
        <v>0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597"/>
        <v>0</v>
      </c>
      <c r="T93" s="238">
        <f ca="1">SUMIFS(OFFSET(tblForecast,,T$2,,1),OFFSET(tblForecast,,,,1),$B93-IF(CompareVer="LY",1,0)&amp; $C93 &amp;T$4)</f>
        <v>0</v>
      </c>
      <c r="U93" s="91">
        <f t="shared" ca="1" si="467"/>
        <v>0</v>
      </c>
      <c r="V93" s="247">
        <f t="shared" ca="1" si="615"/>
        <v>0</v>
      </c>
      <c r="W93" s="327">
        <f ca="1">IFERROR(IF(R92&lt;&gt;0,R93/R92,X93),0)</f>
        <v>0</v>
      </c>
      <c r="X93" s="248">
        <f t="shared" ca="1" si="616"/>
        <v>0</v>
      </c>
      <c r="Y93" s="51">
        <f t="shared" ca="1" si="598"/>
        <v>0</v>
      </c>
      <c r="Z93" s="46">
        <f t="shared" si="598"/>
        <v>0</v>
      </c>
      <c r="AA93" s="46">
        <f t="shared" si="598"/>
        <v>0</v>
      </c>
      <c r="AB93" s="46">
        <f t="shared" ca="1" si="598"/>
        <v>0</v>
      </c>
      <c r="AC93" s="91">
        <f t="shared" ca="1" si="468"/>
        <v>0</v>
      </c>
      <c r="AD93" s="75">
        <f ca="1">IF(AM93&lt;&gt;0,1-AR93/AM93,0)</f>
        <v>0</v>
      </c>
      <c r="AE93" s="93">
        <f t="shared" si="599"/>
        <v>0</v>
      </c>
      <c r="AF93" s="93">
        <f t="shared" si="599"/>
        <v>0</v>
      </c>
      <c r="AG93" s="76">
        <f t="shared" ca="1" si="599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600"/>
        <v>0</v>
      </c>
      <c r="AJ93" s="94">
        <f t="shared" si="600"/>
        <v>0</v>
      </c>
      <c r="AK93" s="49">
        <f ca="1">IFERROR(CF93/BY93,0)</f>
        <v>0</v>
      </c>
      <c r="AL93" s="47">
        <f t="shared" ca="1" si="381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601"/>
        <v>0</v>
      </c>
      <c r="AO93" s="94">
        <f t="shared" si="601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469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602"/>
        <v>0</v>
      </c>
      <c r="AT93" s="94">
        <f t="shared" si="602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470"/>
        <v>0</v>
      </c>
      <c r="AW93" s="190">
        <f t="shared" ca="1" si="603"/>
        <v>0</v>
      </c>
      <c r="AX93" s="191">
        <f t="shared" si="603"/>
        <v>0</v>
      </c>
      <c r="AY93" s="191">
        <f t="shared" si="603"/>
        <v>0</v>
      </c>
      <c r="AZ93" s="191">
        <f t="shared" ca="1" si="603"/>
        <v>0</v>
      </c>
      <c r="BA93" s="233">
        <f ca="1">IF(BA92+BV93+BL93+BR93-Q93&lt;0,0,BA92+BV93+BL93+BR93-Q93)</f>
        <v>0</v>
      </c>
      <c r="BB93" s="229">
        <f ca="1">IF(IFERROR(VLOOKUP($B93 &amp; $C93&amp;BB$4,tblForecast,BB$2,FALSE),0)=0,BA93,IFERROR(VLOOKUP($B93 &amp; $C93&amp;BB$4,tblForecast,BB$2,FALSE),0))</f>
        <v>0</v>
      </c>
      <c r="BC93" s="229">
        <f ca="1">SUMIFS(OFFSET(tblForecast,,BC$2,,1),OFFSET(tblForecast,,,,1),$B93-IF(CompareVer="LY",1,0)&amp; $C93 &amp;BC$4)</f>
        <v>0</v>
      </c>
      <c r="BD93" s="229">
        <f t="shared" ca="1" si="604"/>
        <v>0</v>
      </c>
      <c r="BE93" s="193">
        <f t="shared" ca="1" si="471"/>
        <v>0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0</v>
      </c>
      <c r="BH93" s="178">
        <f ca="1">IF(Q93&lt;&gt;0,BA93/Q93,0)</f>
        <v>0</v>
      </c>
      <c r="BI93" s="182">
        <f ca="1">IF(T93&lt;&gt;0,BD93/T93,0)</f>
        <v>0</v>
      </c>
      <c r="BJ93" s="194">
        <f t="shared" ca="1" si="605"/>
        <v>0</v>
      </c>
      <c r="BK93" s="50">
        <f t="shared" ca="1" si="606"/>
        <v>0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0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0</v>
      </c>
      <c r="BR93" s="225">
        <f t="shared" si="617"/>
        <v>0</v>
      </c>
      <c r="BS93" s="229">
        <f t="shared" ca="1" si="617"/>
        <v>0</v>
      </c>
      <c r="BT93" s="232">
        <f t="shared" si="607"/>
        <v>0</v>
      </c>
      <c r="BU93" s="229">
        <f t="shared" si="607"/>
        <v>0</v>
      </c>
      <c r="BV93" s="229">
        <f>IF($A93="a",IFERROR(VLOOKUP($B93 &amp; $C93&amp;BV$4,tblForecast,BV$2,FALSE),0),BT93+BU93)</f>
        <v>0</v>
      </c>
      <c r="BW93" s="229">
        <f t="shared" si="608"/>
        <v>0</v>
      </c>
      <c r="BX93" s="229">
        <f t="shared" si="608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472"/>
        <v>0</v>
      </c>
      <c r="CA93" s="330">
        <f t="shared" si="609"/>
        <v>0</v>
      </c>
      <c r="CB93" s="46">
        <f t="shared" si="609"/>
        <v>0</v>
      </c>
      <c r="CC93" s="46">
        <f>IF($A93="a",IFERROR(VLOOKUP($B93 &amp; $C93&amp;CC$4,tblForecast,CC$2,FALSE),0),CA93+CB93)</f>
        <v>0</v>
      </c>
      <c r="CD93" s="46">
        <f t="shared" si="610"/>
        <v>0</v>
      </c>
      <c r="CE93" s="46">
        <f t="shared" si="610"/>
        <v>0</v>
      </c>
      <c r="CF93" s="46">
        <f ca="1">SUMIFS(OFFSET(tblForecast,,CF$2,,1),OFFSET(tblForecast,,,,1),$B93-IF(CompareVer="LY",1,0)&amp; $C93 &amp;CF$4)</f>
        <v>0</v>
      </c>
      <c r="CG93" s="193">
        <f t="shared" ca="1" si="473"/>
        <v>0</v>
      </c>
      <c r="CH93" s="330">
        <f t="shared" si="611"/>
        <v>0</v>
      </c>
      <c r="CI93" s="46">
        <f t="shared" si="611"/>
        <v>0</v>
      </c>
      <c r="CJ93" s="46">
        <f>IF($A93="a",IFERROR(VLOOKUP($B93 &amp; $C93&amp;CJ$4,tblForecast,CJ$2,FALSE),0),CH93+CI93)</f>
        <v>0</v>
      </c>
      <c r="CK93" s="46">
        <f t="shared" si="612"/>
        <v>0</v>
      </c>
      <c r="CL93" s="46">
        <f t="shared" si="612"/>
        <v>0</v>
      </c>
      <c r="CM93" s="46">
        <f ca="1">SUMIFS(OFFSET(tblForecast,,CM$2,,1),OFFSET(tblForecast,,,,1),$B93-IF(CompareVer="LY",1,0)&amp; $C93 &amp;CM$4)</f>
        <v>0</v>
      </c>
      <c r="CN93" s="193">
        <f t="shared" ca="1" si="474"/>
        <v>0</v>
      </c>
      <c r="CO93" s="177">
        <f t="shared" si="516"/>
        <v>0</v>
      </c>
      <c r="CP93" s="221">
        <f t="shared" ca="1" si="516"/>
        <v>0</v>
      </c>
      <c r="CQ93" s="193">
        <f t="shared" ca="1" si="475"/>
        <v>0</v>
      </c>
      <c r="CR93" s="177">
        <f t="shared" si="478"/>
        <v>0</v>
      </c>
      <c r="CS93" s="221">
        <f t="shared" ca="1" si="478"/>
        <v>0</v>
      </c>
      <c r="CT93" s="193">
        <f t="shared" ca="1" si="517"/>
        <v>0</v>
      </c>
      <c r="CU93" s="44">
        <f t="shared" si="310"/>
        <v>0</v>
      </c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6">
        <f>IFERROR(VLOOKUP(Brand&amp;Channel&amp;Country&amp;$C93,tblDiscount,6,FALSE),0)</f>
        <v>0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478</v>
      </c>
      <c r="B94" s="44">
        <v>2019</v>
      </c>
      <c r="C94" s="88">
        <v>13</v>
      </c>
      <c r="D94" s="51">
        <f t="shared" si="613"/>
        <v>0</v>
      </c>
      <c r="E94" s="201">
        <f t="shared" si="614"/>
        <v>0</v>
      </c>
      <c r="F94" s="181">
        <f t="shared" si="481"/>
        <v>0</v>
      </c>
      <c r="G94" s="175">
        <f t="shared" si="595"/>
        <v>0</v>
      </c>
      <c r="H94" s="202">
        <f t="shared" si="595"/>
        <v>0</v>
      </c>
      <c r="I94" s="202">
        <f t="shared" si="595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596"/>
        <v>0</v>
      </c>
      <c r="N94" s="46">
        <f t="shared" si="596"/>
        <v>0</v>
      </c>
      <c r="O94" s="46">
        <f t="shared" ca="1" si="596"/>
        <v>0</v>
      </c>
      <c r="P94" s="47">
        <f t="shared" ca="1" si="476"/>
        <v>0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597"/>
        <v>0</v>
      </c>
      <c r="T94" s="238">
        <f ca="1">SUMIFS(OFFSET(tblForecast,,T$2,,1),OFFSET(tblForecast,,,,1),$B94-IF(CompareVer="LY",1,0)&amp; $C94 &amp;T$4)</f>
        <v>0</v>
      </c>
      <c r="U94" s="91">
        <f t="shared" ca="1" si="467"/>
        <v>0</v>
      </c>
      <c r="V94" s="247">
        <f t="shared" ca="1" si="615"/>
        <v>0</v>
      </c>
      <c r="W94" s="327">
        <f ca="1">IFERROR(IF(R93&lt;&gt;0,R94/R93,X94),0)</f>
        <v>0</v>
      </c>
      <c r="X94" s="248">
        <f t="shared" ca="1" si="616"/>
        <v>0</v>
      </c>
      <c r="Y94" s="51">
        <f t="shared" ca="1" si="598"/>
        <v>0</v>
      </c>
      <c r="Z94" s="46">
        <f t="shared" si="598"/>
        <v>0</v>
      </c>
      <c r="AA94" s="46">
        <f t="shared" si="598"/>
        <v>0</v>
      </c>
      <c r="AB94" s="46">
        <f t="shared" ca="1" si="598"/>
        <v>0</v>
      </c>
      <c r="AC94" s="91">
        <f t="shared" ca="1" si="468"/>
        <v>0</v>
      </c>
      <c r="AD94" s="75">
        <f ca="1">IF(AM94&lt;&gt;0,1-AR94/AM94,0)</f>
        <v>0</v>
      </c>
      <c r="AE94" s="93">
        <f t="shared" si="599"/>
        <v>0</v>
      </c>
      <c r="AF94" s="93">
        <f t="shared" si="599"/>
        <v>0</v>
      </c>
      <c r="AG94" s="76">
        <f t="shared" ca="1" si="599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600"/>
        <v>0</v>
      </c>
      <c r="AJ94" s="94">
        <f t="shared" si="600"/>
        <v>0</v>
      </c>
      <c r="AK94" s="49">
        <f ca="1">IFERROR(CF94/BY94,0)</f>
        <v>0</v>
      </c>
      <c r="AL94" s="47">
        <f t="shared" ca="1" si="381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601"/>
        <v>0</v>
      </c>
      <c r="AO94" s="94">
        <f t="shared" si="601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469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602"/>
        <v>0</v>
      </c>
      <c r="AT94" s="94">
        <f t="shared" si="602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470"/>
        <v>0</v>
      </c>
      <c r="AW94" s="190">
        <f t="shared" ca="1" si="603"/>
        <v>0</v>
      </c>
      <c r="AX94" s="191">
        <f t="shared" si="603"/>
        <v>0</v>
      </c>
      <c r="AY94" s="191">
        <f t="shared" si="603"/>
        <v>0</v>
      </c>
      <c r="AZ94" s="191">
        <f t="shared" ca="1" si="603"/>
        <v>0</v>
      </c>
      <c r="BA94" s="233">
        <f ca="1">IF(BA93+BV94+BL94+BR94-Q94&lt;0,0,BA93+BV94+BL94+BR94-Q94)</f>
        <v>0</v>
      </c>
      <c r="BB94" s="229">
        <f ca="1">IF(IFERROR(VLOOKUP($B94 &amp; $C94&amp;BB$4,tblForecast,BB$2,FALSE),0)=0,BA94,IFERROR(VLOOKUP($B94 &amp; $C94&amp;BB$4,tblForecast,BB$2,FALSE),0))</f>
        <v>0</v>
      </c>
      <c r="BC94" s="229">
        <f ca="1">SUMIFS(OFFSET(tblForecast,,BC$2,,1),OFFSET(tblForecast,,,,1),$B94-IF(CompareVer="LY",1,0)&amp; $C94 &amp;BC$4)</f>
        <v>0</v>
      </c>
      <c r="BD94" s="229">
        <f t="shared" ca="1" si="604"/>
        <v>0</v>
      </c>
      <c r="BE94" s="193">
        <f t="shared" ca="1" si="471"/>
        <v>0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0</v>
      </c>
      <c r="BH94" s="178">
        <f ca="1">IF(Q94&lt;&gt;0,BA94/Q94,0)</f>
        <v>0</v>
      </c>
      <c r="BI94" s="182">
        <f ca="1">IF(T94&lt;&gt;0,BD94/T94,0)</f>
        <v>0</v>
      </c>
      <c r="BJ94" s="194">
        <f t="shared" ca="1" si="605"/>
        <v>0</v>
      </c>
      <c r="BK94" s="50">
        <f t="shared" ca="1" si="606"/>
        <v>0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0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0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0</v>
      </c>
      <c r="BR94" s="225">
        <f t="shared" si="617"/>
        <v>0</v>
      </c>
      <c r="BS94" s="229">
        <f t="shared" ca="1" si="617"/>
        <v>0</v>
      </c>
      <c r="BT94" s="232">
        <f t="shared" si="607"/>
        <v>0</v>
      </c>
      <c r="BU94" s="229">
        <f t="shared" si="607"/>
        <v>0</v>
      </c>
      <c r="BV94" s="229">
        <f>IF($A94="a",IFERROR(VLOOKUP($B94 &amp; $C94&amp;BV$4,tblForecast,BV$2,FALSE),0),BT94+BU94)</f>
        <v>0</v>
      </c>
      <c r="BW94" s="229">
        <f t="shared" si="608"/>
        <v>0</v>
      </c>
      <c r="BX94" s="229">
        <f t="shared" si="608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472"/>
        <v>0</v>
      </c>
      <c r="CA94" s="330">
        <f t="shared" si="609"/>
        <v>0</v>
      </c>
      <c r="CB94" s="46">
        <f t="shared" si="609"/>
        <v>0</v>
      </c>
      <c r="CC94" s="46">
        <f>IF($A94="a",IFERROR(VLOOKUP($B94 &amp; $C94&amp;CC$4,tblForecast,CC$2,FALSE),0),CA94+CB94)</f>
        <v>0</v>
      </c>
      <c r="CD94" s="46">
        <f t="shared" si="610"/>
        <v>0</v>
      </c>
      <c r="CE94" s="46">
        <f t="shared" si="610"/>
        <v>0</v>
      </c>
      <c r="CF94" s="46">
        <f ca="1">SUMIFS(OFFSET(tblForecast,,CF$2,,1),OFFSET(tblForecast,,,,1),$B94-IF(CompareVer="LY",1,0)&amp; $C94 &amp;CF$4)</f>
        <v>0</v>
      </c>
      <c r="CG94" s="193">
        <f t="shared" ca="1" si="473"/>
        <v>0</v>
      </c>
      <c r="CH94" s="330">
        <f t="shared" si="611"/>
        <v>0</v>
      </c>
      <c r="CI94" s="46">
        <f t="shared" si="611"/>
        <v>0</v>
      </c>
      <c r="CJ94" s="46">
        <f>IF($A94="a",IFERROR(VLOOKUP($B94 &amp; $C94&amp;CJ$4,tblForecast,CJ$2,FALSE),0),CH94+CI94)</f>
        <v>0</v>
      </c>
      <c r="CK94" s="46">
        <f t="shared" si="612"/>
        <v>0</v>
      </c>
      <c r="CL94" s="46">
        <f t="shared" si="612"/>
        <v>0</v>
      </c>
      <c r="CM94" s="46">
        <f ca="1">SUMIFS(OFFSET(tblForecast,,CM$2,,1),OFFSET(tblForecast,,,,1),$B94-IF(CompareVer="LY",1,0)&amp; $C94 &amp;CM$4)</f>
        <v>0</v>
      </c>
      <c r="CN94" s="193">
        <f t="shared" ca="1" si="474"/>
        <v>0</v>
      </c>
      <c r="CO94" s="177">
        <f t="shared" si="516"/>
        <v>0</v>
      </c>
      <c r="CP94" s="221">
        <f t="shared" ca="1" si="516"/>
        <v>0</v>
      </c>
      <c r="CQ94" s="193">
        <f t="shared" ca="1" si="475"/>
        <v>0</v>
      </c>
      <c r="CR94" s="177">
        <f t="shared" si="478"/>
        <v>0</v>
      </c>
      <c r="CS94" s="221">
        <f t="shared" ca="1" si="478"/>
        <v>0</v>
      </c>
      <c r="CT94" s="193">
        <f t="shared" ca="1" si="517"/>
        <v>0</v>
      </c>
      <c r="CU94" s="44">
        <f t="shared" si="310"/>
        <v>0</v>
      </c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6">
        <f>IFERROR(VLOOKUP(Brand&amp;Channel&amp;Country&amp;$C94,tblDiscount,6,FALSE),0)</f>
        <v>0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7" t="s">
        <v>22</v>
      </c>
      <c r="D95" s="348">
        <f t="shared" ref="D95" si="618">SUM(D91:D94)</f>
        <v>0</v>
      </c>
      <c r="E95" s="349">
        <f t="shared" ref="E95" si="619">SUM(E91:E94)</f>
        <v>0</v>
      </c>
      <c r="F95" s="350">
        <f t="shared" si="481"/>
        <v>0</v>
      </c>
      <c r="G95" s="351">
        <f>SUM(G91:G94)</f>
        <v>0</v>
      </c>
      <c r="H95" s="352">
        <f>IFERROR(D95/G95,0)</f>
        <v>0</v>
      </c>
      <c r="I95" s="352">
        <f>IFERROR(SUMPRODUCT(I91:I94,G91:G94)/G95,0)</f>
        <v>0</v>
      </c>
      <c r="J95" s="351">
        <f>SUM(J91:J94)</f>
        <v>0</v>
      </c>
      <c r="K95" s="353">
        <f>IFERROR(VLOOKUP($B95 &amp; $C95&amp;K$4&amp;$A95,tblForecast,K$2,FALSE),0)+IFERROR(VLOOKUP($B95 &amp; $C95&amp;K$4&amp;$A95,tblForecast,K$2+1,FALSE),0)</f>
        <v>0</v>
      </c>
      <c r="L95" s="354">
        <f ca="1">SUM(L91:L94)</f>
        <v>0</v>
      </c>
      <c r="M95" s="354">
        <f t="shared" ref="M95:O95" si="620">SUM(M91:M94)</f>
        <v>0</v>
      </c>
      <c r="N95" s="354">
        <f t="shared" si="620"/>
        <v>0</v>
      </c>
      <c r="O95" s="354">
        <f t="shared" ca="1" si="620"/>
        <v>0</v>
      </c>
      <c r="P95" s="355">
        <f t="shared" ca="1" si="476"/>
        <v>0</v>
      </c>
      <c r="Q95" s="356">
        <f t="shared" ref="Q95:S95" ca="1" si="621">SUM(Q91:Q94)</f>
        <v>0</v>
      </c>
      <c r="R95" s="356">
        <f t="shared" si="621"/>
        <v>0</v>
      </c>
      <c r="S95" s="356">
        <f t="shared" si="621"/>
        <v>0</v>
      </c>
      <c r="T95" s="356">
        <f ca="1">SUM(T91:T94)</f>
        <v>0</v>
      </c>
      <c r="U95" s="355">
        <f t="shared" ca="1" si="467"/>
        <v>0</v>
      </c>
      <c r="V95" s="357">
        <f t="shared" ref="V95:X96" ca="1" si="622">V94</f>
        <v>0</v>
      </c>
      <c r="W95" s="358">
        <f t="shared" ca="1" si="622"/>
        <v>0</v>
      </c>
      <c r="X95" s="359">
        <f t="shared" ca="1" si="622"/>
        <v>0</v>
      </c>
      <c r="Y95" s="348">
        <f ca="1">SUM(Y91:Y94)</f>
        <v>0</v>
      </c>
      <c r="Z95" s="354">
        <f t="shared" ref="Z95:AB95" si="623">SUM(Z91:Z94)</f>
        <v>0</v>
      </c>
      <c r="AA95" s="354">
        <f t="shared" si="623"/>
        <v>0</v>
      </c>
      <c r="AB95" s="354">
        <f t="shared" ca="1" si="623"/>
        <v>0</v>
      </c>
      <c r="AC95" s="355">
        <f t="shared" ca="1" si="468"/>
        <v>0</v>
      </c>
      <c r="AD95" s="360">
        <f t="shared" ref="AD95:AG96" ca="1" si="624">IFERROR(Y95/L95,0)</f>
        <v>0</v>
      </c>
      <c r="AE95" s="361">
        <f t="shared" si="624"/>
        <v>0</v>
      </c>
      <c r="AF95" s="361">
        <f t="shared" si="624"/>
        <v>0</v>
      </c>
      <c r="AG95" s="361">
        <f t="shared" ca="1" si="624"/>
        <v>0</v>
      </c>
      <c r="AH95" s="362">
        <f ca="1">IFERROR(SUMPRODUCT(AH91:AH94,Q91:Q94)/Q95,0)</f>
        <v>0</v>
      </c>
      <c r="AI95" s="363">
        <f>IFERROR(SUMPRODUCT(AI91:AI94,R91:R94)/R95,0)</f>
        <v>0</v>
      </c>
      <c r="AJ95" s="363">
        <f t="shared" ref="AJ95:AK95" si="625">IFERROR(SUMPRODUCT(AJ91:AJ94,S91:S94)/S95,0)</f>
        <v>0</v>
      </c>
      <c r="AK95" s="363">
        <f t="shared" ca="1" si="625"/>
        <v>0</v>
      </c>
      <c r="AL95" s="355">
        <f t="shared" ref="AL95" ca="1" si="626">IFERROR((AL83*U83+AL89*U89+AL94*U94)/U95,0)</f>
        <v>0</v>
      </c>
      <c r="AM95" s="362">
        <f t="shared" ref="AM95:AP96" ca="1" si="627">IF(Q95&lt;&gt;0,L95/Q95,0)</f>
        <v>0</v>
      </c>
      <c r="AN95" s="363">
        <f t="shared" si="627"/>
        <v>0</v>
      </c>
      <c r="AO95" s="363">
        <f t="shared" si="627"/>
        <v>0</v>
      </c>
      <c r="AP95" s="363">
        <f t="shared" ca="1" si="627"/>
        <v>0</v>
      </c>
      <c r="AQ95" s="355">
        <f t="shared" ca="1" si="469"/>
        <v>0</v>
      </c>
      <c r="AR95" s="362">
        <f t="shared" ref="AR95:AU96" ca="1" si="628">IFERROR((L95*(1-AD95))/Q95,0)</f>
        <v>0</v>
      </c>
      <c r="AS95" s="363">
        <f t="shared" si="628"/>
        <v>0</v>
      </c>
      <c r="AT95" s="363">
        <f t="shared" si="628"/>
        <v>0</v>
      </c>
      <c r="AU95" s="363">
        <f t="shared" ca="1" si="628"/>
        <v>0</v>
      </c>
      <c r="AV95" s="355">
        <f t="shared" ca="1" si="470"/>
        <v>0</v>
      </c>
      <c r="AW95" s="364">
        <f ca="1">IFERROR(SUMPRODUCT(AW91:AW94,V91:V94)/V95,0)</f>
        <v>0</v>
      </c>
      <c r="AX95" s="365">
        <f t="shared" ref="AX95:AZ95" ca="1" si="629">IFERROR(SUMPRODUCT(AX91:AX94,X91:X94)/X95,0)</f>
        <v>0</v>
      </c>
      <c r="AY95" s="365">
        <f t="shared" ca="1" si="629"/>
        <v>0</v>
      </c>
      <c r="AZ95" s="365">
        <f t="shared" ca="1" si="629"/>
        <v>0</v>
      </c>
      <c r="BA95" s="366">
        <f ca="1">BA94</f>
        <v>0</v>
      </c>
      <c r="BB95" s="356">
        <f t="shared" ref="BB95:BD96" ca="1" si="630">BB94</f>
        <v>0</v>
      </c>
      <c r="BC95" s="356">
        <f t="shared" ca="1" si="630"/>
        <v>0</v>
      </c>
      <c r="BD95" s="356">
        <f t="shared" ca="1" si="630"/>
        <v>0</v>
      </c>
      <c r="BE95" s="355">
        <f t="shared" ca="1" si="471"/>
        <v>0</v>
      </c>
      <c r="BF95" s="356">
        <f>BF94</f>
        <v>0</v>
      </c>
      <c r="BG95" s="356">
        <f ca="1">BG94</f>
        <v>0</v>
      </c>
      <c r="BH95" s="367">
        <f ca="1">IF(Q95&lt;&gt;0,(BA95*COUNTIF(BH91:BH94,"&lt;&gt;0")/Q95),0)</f>
        <v>0</v>
      </c>
      <c r="BI95" s="368">
        <f ca="1">IF(T95&lt;&gt;0,(BD95*COUNTIF(BI91:BI94,"&lt;&gt;0")/T95),0)</f>
        <v>0</v>
      </c>
      <c r="BJ95" s="369">
        <f ca="1">IFERROR((Q95/COUNTIF(BJ91:BJ94,"&lt;&gt;0"))/BA95,0)</f>
        <v>0</v>
      </c>
      <c r="BK95" s="370">
        <f ca="1">IF(BD95&lt;&gt;0,(T95/COUNTIF(BK91:BK94,"&lt;&gt;0"))/BD95,0)</f>
        <v>0</v>
      </c>
      <c r="BL95" s="366">
        <f>SUM(BL91:BL94)</f>
        <v>0</v>
      </c>
      <c r="BM95" s="356">
        <f ca="1">SUM(BM91:BM94)</f>
        <v>0</v>
      </c>
      <c r="BN95" s="366">
        <f>SUM(BN91:BN94)</f>
        <v>0</v>
      </c>
      <c r="BO95" s="356">
        <f t="shared" ref="BO95" ca="1" si="631">SUM(BO91:BO94)</f>
        <v>0</v>
      </c>
      <c r="BP95" s="366">
        <f>SUM(BP91:BP94)</f>
        <v>0</v>
      </c>
      <c r="BQ95" s="356">
        <f t="shared" ref="BQ95" ca="1" si="632">SUM(BQ91:BQ94)</f>
        <v>0</v>
      </c>
      <c r="BR95" s="366">
        <f t="shared" si="617"/>
        <v>0</v>
      </c>
      <c r="BS95" s="356">
        <f t="shared" ca="1" si="617"/>
        <v>0</v>
      </c>
      <c r="BT95" s="366">
        <f>SUM(BT92:BT94)</f>
        <v>0</v>
      </c>
      <c r="BU95" s="356">
        <f>SUM(BU92:BU94)</f>
        <v>0</v>
      </c>
      <c r="BV95" s="356">
        <f>SUM(BV91:BV94)</f>
        <v>0</v>
      </c>
      <c r="BW95" s="356">
        <f t="shared" ref="BW95:BX95" si="633">SUM(BW91:BW94)</f>
        <v>0</v>
      </c>
      <c r="BX95" s="356">
        <f t="shared" si="633"/>
        <v>0</v>
      </c>
      <c r="BY95" s="371">
        <f ca="1">SUM(BY91:BY94)</f>
        <v>0</v>
      </c>
      <c r="BZ95" s="355">
        <f t="shared" ca="1" si="472"/>
        <v>0</v>
      </c>
      <c r="CA95" s="372">
        <f>SUM(CA92:CA94)</f>
        <v>0</v>
      </c>
      <c r="CB95" s="354">
        <f t="shared" ref="CB95" si="634">SUM(CB92:CB94)</f>
        <v>0</v>
      </c>
      <c r="CC95" s="354">
        <f t="shared" ref="CC95:CF95" si="635">SUM(CC91:CC94)</f>
        <v>0</v>
      </c>
      <c r="CD95" s="354">
        <f t="shared" si="635"/>
        <v>0</v>
      </c>
      <c r="CE95" s="354">
        <f t="shared" si="635"/>
        <v>0</v>
      </c>
      <c r="CF95" s="354">
        <f t="shared" ca="1" si="635"/>
        <v>0</v>
      </c>
      <c r="CG95" s="355">
        <f t="shared" ca="1" si="473"/>
        <v>0</v>
      </c>
      <c r="CH95" s="372">
        <f>SUM(CH92:CH94)</f>
        <v>0</v>
      </c>
      <c r="CI95" s="354">
        <f t="shared" ref="CI95" si="636">SUM(CI92:CI94)</f>
        <v>0</v>
      </c>
      <c r="CJ95" s="354">
        <f t="shared" ref="CJ95:CM95" si="637">SUM(CJ91:CJ94)</f>
        <v>0</v>
      </c>
      <c r="CK95" s="354">
        <f t="shared" si="637"/>
        <v>0</v>
      </c>
      <c r="CL95" s="354">
        <f t="shared" si="637"/>
        <v>0</v>
      </c>
      <c r="CM95" s="354">
        <f t="shared" ca="1" si="637"/>
        <v>0</v>
      </c>
      <c r="CN95" s="355">
        <f t="shared" ca="1" si="474"/>
        <v>0</v>
      </c>
      <c r="CO95" s="373">
        <f t="shared" si="516"/>
        <v>0</v>
      </c>
      <c r="CP95" s="374">
        <f t="shared" ca="1" si="516"/>
        <v>0</v>
      </c>
      <c r="CQ95" s="355">
        <f t="shared" ca="1" si="475"/>
        <v>0</v>
      </c>
      <c r="CR95" s="373">
        <f t="shared" si="478"/>
        <v>0</v>
      </c>
      <c r="CS95" s="374">
        <f t="shared" ca="1" si="478"/>
        <v>0</v>
      </c>
      <c r="CT95" s="355">
        <f t="shared" ca="1" si="517"/>
        <v>0</v>
      </c>
      <c r="CU95" s="44">
        <f t="shared" si="310"/>
        <v>0</v>
      </c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638">D84+D90+D95</f>
        <v>0</v>
      </c>
      <c r="E96" s="204">
        <f t="shared" si="638"/>
        <v>0</v>
      </c>
      <c r="F96" s="205">
        <f t="shared" si="481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639">J84+J90+J95</f>
        <v>0</v>
      </c>
      <c r="K96" s="298">
        <f t="shared" si="639"/>
        <v>0</v>
      </c>
      <c r="L96" s="53">
        <f ca="1">L84+L90+L95</f>
        <v>0</v>
      </c>
      <c r="M96" s="53">
        <f t="shared" ref="M96:O96" si="640">M84+M90+M95</f>
        <v>0</v>
      </c>
      <c r="N96" s="53">
        <f t="shared" si="640"/>
        <v>0</v>
      </c>
      <c r="O96" s="53">
        <f t="shared" ca="1" si="640"/>
        <v>0</v>
      </c>
      <c r="P96" s="54">
        <f t="shared" ca="1" si="476"/>
        <v>0</v>
      </c>
      <c r="Q96" s="227">
        <f t="shared" ref="Q96:S96" ca="1" si="641">Q84+Q90+Q95</f>
        <v>0</v>
      </c>
      <c r="R96" s="228">
        <f t="shared" si="641"/>
        <v>0</v>
      </c>
      <c r="S96" s="228">
        <f t="shared" si="641"/>
        <v>0</v>
      </c>
      <c r="T96" s="228">
        <f ca="1">T84+T90+T95</f>
        <v>0</v>
      </c>
      <c r="U96" s="54">
        <f t="shared" ca="1" si="467"/>
        <v>0</v>
      </c>
      <c r="V96" s="245">
        <f t="shared" ca="1" si="622"/>
        <v>0</v>
      </c>
      <c r="W96" s="326">
        <f t="shared" ca="1" si="622"/>
        <v>0</v>
      </c>
      <c r="X96" s="246">
        <f t="shared" ca="1" si="622"/>
        <v>0</v>
      </c>
      <c r="Y96" s="52">
        <f ca="1">Y84+Y90+Y95</f>
        <v>0</v>
      </c>
      <c r="Z96" s="53">
        <f t="shared" ref="Z96:AB96" si="642">Z84+Z90+Z95</f>
        <v>0</v>
      </c>
      <c r="AA96" s="53">
        <f t="shared" si="642"/>
        <v>0</v>
      </c>
      <c r="AB96" s="53">
        <f t="shared" ca="1" si="642"/>
        <v>0</v>
      </c>
      <c r="AC96" s="54">
        <f t="shared" ca="1" si="468"/>
        <v>0</v>
      </c>
      <c r="AD96" s="77">
        <f t="shared" ca="1" si="624"/>
        <v>0</v>
      </c>
      <c r="AE96" s="78">
        <f t="shared" si="624"/>
        <v>0</v>
      </c>
      <c r="AF96" s="78">
        <f t="shared" si="624"/>
        <v>0</v>
      </c>
      <c r="AG96" s="78">
        <f t="shared" ca="1" si="624"/>
        <v>0</v>
      </c>
      <c r="AH96" s="57">
        <f ca="1">IFERROR((AH84*Q84+AH90*Q90+AH95*Q95)/Q96,0)</f>
        <v>0</v>
      </c>
      <c r="AI96" s="58">
        <f t="shared" ref="AI96:AK96" si="643">IFERROR((AI84*R84+AI90*R90+AI95*R95)/R96,0)</f>
        <v>0</v>
      </c>
      <c r="AJ96" s="58">
        <f t="shared" si="643"/>
        <v>0</v>
      </c>
      <c r="AK96" s="58">
        <f t="shared" ca="1" si="643"/>
        <v>0</v>
      </c>
      <c r="AL96" s="54">
        <f t="shared" ref="AL96:AL111" ca="1" si="644">IFERROR(AH96/AK96-1,)</f>
        <v>0</v>
      </c>
      <c r="AM96" s="57">
        <f t="shared" ca="1" si="627"/>
        <v>0</v>
      </c>
      <c r="AN96" s="58">
        <f t="shared" si="627"/>
        <v>0</v>
      </c>
      <c r="AO96" s="58">
        <f t="shared" si="627"/>
        <v>0</v>
      </c>
      <c r="AP96" s="58">
        <f t="shared" ca="1" si="627"/>
        <v>0</v>
      </c>
      <c r="AQ96" s="54">
        <f t="shared" ca="1" si="469"/>
        <v>0</v>
      </c>
      <c r="AR96" s="57">
        <f t="shared" ca="1" si="628"/>
        <v>0</v>
      </c>
      <c r="AS96" s="58">
        <f t="shared" si="628"/>
        <v>0</v>
      </c>
      <c r="AT96" s="58">
        <f t="shared" si="628"/>
        <v>0</v>
      </c>
      <c r="AU96" s="58">
        <f t="shared" ca="1" si="628"/>
        <v>0</v>
      </c>
      <c r="AV96" s="54">
        <f t="shared" ca="1" si="470"/>
        <v>0</v>
      </c>
      <c r="AW96" s="59">
        <f ca="1">IFERROR((AW84*V84+AW90*V90+AW95*V95)/V96,0)</f>
        <v>0</v>
      </c>
      <c r="AX96" s="60">
        <f t="shared" ref="AX96:AZ96" ca="1" si="645">IFERROR((AX84*X84+AX90*X90+AX95*X95)/X96,0)</f>
        <v>0</v>
      </c>
      <c r="AY96" s="60">
        <f t="shared" ca="1" si="645"/>
        <v>0</v>
      </c>
      <c r="AZ96" s="60">
        <f t="shared" ca="1" si="645"/>
        <v>0</v>
      </c>
      <c r="BA96" s="234">
        <f ca="1">BA95</f>
        <v>0</v>
      </c>
      <c r="BB96" s="228">
        <f t="shared" ca="1" si="630"/>
        <v>0</v>
      </c>
      <c r="BC96" s="228">
        <f t="shared" ca="1" si="630"/>
        <v>0</v>
      </c>
      <c r="BD96" s="228">
        <f t="shared" ca="1" si="630"/>
        <v>0</v>
      </c>
      <c r="BE96" s="54">
        <f t="shared" ca="1" si="471"/>
        <v>0</v>
      </c>
      <c r="BF96" s="228">
        <f>BF95</f>
        <v>0</v>
      </c>
      <c r="BG96" s="228">
        <f ca="1">BG95</f>
        <v>0</v>
      </c>
      <c r="BH96" s="62">
        <f ca="1">IF(Q94&lt;&gt;0,(BA96/(Q96/13)),0)</f>
        <v>0</v>
      </c>
      <c r="BI96" s="132">
        <f ca="1">IF(T94&lt;&gt;0,(BD96/(T96/13)),0)</f>
        <v>0</v>
      </c>
      <c r="BJ96" s="189">
        <f ca="1">IF(BA96&lt;&gt;0,(Q96/13)/BA96,0)</f>
        <v>0</v>
      </c>
      <c r="BK96" s="61">
        <f ca="1">IF(BD96&lt;&gt;0,(T96/13)/BD96,0)</f>
        <v>0</v>
      </c>
      <c r="BL96" s="227">
        <f>BL84+BL90+BL95</f>
        <v>0</v>
      </c>
      <c r="BM96" s="228">
        <f t="shared" ref="BM96" ca="1" si="646">BM84+BM90+BM95</f>
        <v>0</v>
      </c>
      <c r="BN96" s="227">
        <f>BN84+BN90+BN95</f>
        <v>0</v>
      </c>
      <c r="BO96" s="228">
        <f t="shared" ref="BO96" ca="1" si="647">BO84+BO90+BO95</f>
        <v>0</v>
      </c>
      <c r="BP96" s="227">
        <f>BP84+BP90+BP95</f>
        <v>0</v>
      </c>
      <c r="BQ96" s="228">
        <f t="shared" ref="BQ96" ca="1" si="648">BQ84+BQ90+BQ95</f>
        <v>0</v>
      </c>
      <c r="BR96" s="227">
        <f t="shared" si="617"/>
        <v>0</v>
      </c>
      <c r="BS96" s="228">
        <f t="shared" ca="1" si="617"/>
        <v>0</v>
      </c>
      <c r="BT96" s="227">
        <f t="shared" ref="BT96:BY96" si="649">BT84+BT90+BT95</f>
        <v>0</v>
      </c>
      <c r="BU96" s="228">
        <f t="shared" si="649"/>
        <v>0</v>
      </c>
      <c r="BV96" s="228">
        <f t="shared" si="649"/>
        <v>0</v>
      </c>
      <c r="BW96" s="228">
        <f t="shared" si="649"/>
        <v>0</v>
      </c>
      <c r="BX96" s="228">
        <f t="shared" si="649"/>
        <v>0</v>
      </c>
      <c r="BY96" s="56">
        <f t="shared" ca="1" si="649"/>
        <v>0</v>
      </c>
      <c r="BZ96" s="54">
        <f t="shared" ca="1" si="472"/>
        <v>0</v>
      </c>
      <c r="CA96" s="332">
        <f t="shared" ref="CA96:CF96" si="650">CA84+CA90+CA95</f>
        <v>0</v>
      </c>
      <c r="CB96" s="53">
        <f t="shared" si="650"/>
        <v>0</v>
      </c>
      <c r="CC96" s="53">
        <f t="shared" si="650"/>
        <v>0</v>
      </c>
      <c r="CD96" s="53">
        <f t="shared" si="650"/>
        <v>0</v>
      </c>
      <c r="CE96" s="53">
        <f t="shared" si="650"/>
        <v>0</v>
      </c>
      <c r="CF96" s="53">
        <f t="shared" ca="1" si="650"/>
        <v>0</v>
      </c>
      <c r="CG96" s="54">
        <f t="shared" ca="1" si="473"/>
        <v>0</v>
      </c>
      <c r="CH96" s="332">
        <f t="shared" ref="CH96:CM96" si="651">CH84+CH90+CH95</f>
        <v>0</v>
      </c>
      <c r="CI96" s="53">
        <f t="shared" si="651"/>
        <v>0</v>
      </c>
      <c r="CJ96" s="53">
        <f t="shared" si="651"/>
        <v>0</v>
      </c>
      <c r="CK96" s="53">
        <f t="shared" si="651"/>
        <v>0</v>
      </c>
      <c r="CL96" s="53">
        <f t="shared" si="651"/>
        <v>0</v>
      </c>
      <c r="CM96" s="53">
        <f t="shared" ca="1" si="651"/>
        <v>0</v>
      </c>
      <c r="CN96" s="54">
        <f t="shared" ca="1" si="474"/>
        <v>0</v>
      </c>
      <c r="CO96" s="55">
        <f t="shared" si="516"/>
        <v>0</v>
      </c>
      <c r="CP96" s="222">
        <f t="shared" ca="1" si="516"/>
        <v>0</v>
      </c>
      <c r="CQ96" s="54">
        <f t="shared" ca="1" si="475"/>
        <v>0</v>
      </c>
      <c r="CR96" s="55">
        <f t="shared" si="478"/>
        <v>0</v>
      </c>
      <c r="CS96" s="222">
        <f t="shared" ca="1" si="478"/>
        <v>0</v>
      </c>
      <c r="CT96" s="54">
        <f t="shared" ca="1" si="517"/>
        <v>0</v>
      </c>
      <c r="CU96" s="44">
        <f t="shared" si="310"/>
        <v>0</v>
      </c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79"/>
      <c r="DA96" s="280"/>
      <c r="DB96" s="280"/>
      <c r="DC96" s="281"/>
    </row>
    <row r="97" spans="1:107" x14ac:dyDescent="0.25">
      <c r="A97" s="44" t="s">
        <v>478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si="481"/>
        <v>0</v>
      </c>
      <c r="G97" s="175">
        <f t="shared" ref="G97:I100" si="652">IFERROR(VLOOKUP($B97 &amp; $C97&amp;G$4&amp;$A97,tblForecast,G$2,FALSE),0)</f>
        <v>0</v>
      </c>
      <c r="H97" s="202">
        <f t="shared" si="652"/>
        <v>0</v>
      </c>
      <c r="I97" s="202">
        <f t="shared" si="652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O100" si="653">R97*AN97</f>
        <v>0</v>
      </c>
      <c r="N97" s="46">
        <f t="shared" si="653"/>
        <v>0</v>
      </c>
      <c r="O97" s="46">
        <f t="shared" ca="1" si="653"/>
        <v>0</v>
      </c>
      <c r="P97" s="47">
        <f t="shared" ca="1" si="476"/>
        <v>0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654">IFERROR(VLOOKUP($B97 &amp; $C97&amp;S$4,tblForecast,S$2,FALSE),0)</f>
        <v>0</v>
      </c>
      <c r="T97" s="238">
        <f ca="1">SUMIFS(OFFSET(tblForecast,,T$2,,1),OFFSET(tblForecast,,,,1),$B97-IF(CompareVer="LY",1,0)&amp; $C97 &amp;T$4)</f>
        <v>0</v>
      </c>
      <c r="U97" s="91">
        <f t="shared" ca="1" si="467"/>
        <v>0</v>
      </c>
      <c r="V97" s="247">
        <f ca="1">IFERROR(IF(Q93&lt;&gt;0,Q97/Q93,0),0)</f>
        <v>0</v>
      </c>
      <c r="W97" s="327">
        <f ca="1">IFERROR(IF(R94&lt;&gt;0,R97/R94,X97),0)</f>
        <v>0</v>
      </c>
      <c r="X97" s="248">
        <f ca="1">IFERROR(IF(T93&lt;&gt;0,T97/T93,0),0)</f>
        <v>0</v>
      </c>
      <c r="Y97" s="51">
        <f t="shared" ref="Y97:AB100" ca="1" si="655">IFERROR(L97*AD97,0)</f>
        <v>0</v>
      </c>
      <c r="Z97" s="46">
        <f t="shared" si="655"/>
        <v>0</v>
      </c>
      <c r="AA97" s="46">
        <f t="shared" si="655"/>
        <v>0</v>
      </c>
      <c r="AB97" s="46">
        <f t="shared" ca="1" si="655"/>
        <v>0</v>
      </c>
      <c r="AC97" s="91">
        <f t="shared" ca="1" si="468"/>
        <v>0</v>
      </c>
      <c r="AD97" s="75">
        <f ca="1">IF(AM97&lt;&gt;0,1-AR97/AM97,0)</f>
        <v>0</v>
      </c>
      <c r="AE97" s="93">
        <f t="shared" ref="AE97:AG100" si="656">IF(AN97&lt;&gt;0,1-AS97/AN97,0)</f>
        <v>0</v>
      </c>
      <c r="AF97" s="93">
        <f t="shared" si="656"/>
        <v>0</v>
      </c>
      <c r="AG97" s="76">
        <f t="shared" ca="1" si="656"/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657">IFERROR(VLOOKUP($B97 &amp; $C97&amp;AI$4,tblForecast,AI$2,FALSE),0)</f>
        <v>0</v>
      </c>
      <c r="AJ97" s="94">
        <f t="shared" si="657"/>
        <v>0</v>
      </c>
      <c r="AK97" s="49">
        <f ca="1">IFERROR(CF97/BY97,0)</f>
        <v>0</v>
      </c>
      <c r="AL97" s="47">
        <f t="shared" ca="1" si="644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658">IFERROR(VLOOKUP($B97 &amp; $C97&amp;AN$4,tblForecast,AN$2,FALSE),0)</f>
        <v>0</v>
      </c>
      <c r="AO97" s="94">
        <f t="shared" si="658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ca="1" si="469"/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659">IFERROR(VLOOKUP($B97 &amp; $C97&amp;AS$4,tblForecast,AS$2,FALSE),0)</f>
        <v>0</v>
      </c>
      <c r="AT97" s="94">
        <f t="shared" si="659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ca="1" si="470"/>
        <v>0</v>
      </c>
      <c r="AW97" s="190">
        <f t="shared" ref="AW97:AZ100" ca="1" si="660">IFERROR((AM97/AH97-1)*-1,0)</f>
        <v>0</v>
      </c>
      <c r="AX97" s="191">
        <f t="shared" si="660"/>
        <v>0</v>
      </c>
      <c r="AY97" s="191">
        <f t="shared" si="660"/>
        <v>0</v>
      </c>
      <c r="AZ97" s="191">
        <f t="shared" ca="1" si="660"/>
        <v>0</v>
      </c>
      <c r="BA97" s="233">
        <f ca="1">IF(BA96+BV97+BL97+BR97-Q97&lt;0,0,BA96+BV97+BL97+BR97-Q97)</f>
        <v>0</v>
      </c>
      <c r="BB97" s="229">
        <f ca="1">IF(IFERROR(VLOOKUP($B97 &amp; $C97&amp;BB$4,tblForecast,BB$2,FALSE),0)=0,BA97,IFERROR(VLOOKUP($B97 &amp; $C97&amp;BB$4,tblForecast,BB$2,FALSE),0))</f>
        <v>0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661">CX97+BG97</f>
        <v>0</v>
      </c>
      <c r="BE97" s="193">
        <f t="shared" ca="1" si="471"/>
        <v>0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0</v>
      </c>
      <c r="BH97" s="178">
        <f ca="1">IF(Q97&lt;&gt;0,BA97/Q97,0)</f>
        <v>0</v>
      </c>
      <c r="BI97" s="182">
        <f ca="1">IF(T97&lt;&gt;0,BD97/T97,0)</f>
        <v>0</v>
      </c>
      <c r="BJ97" s="194">
        <f t="shared" ref="BJ97:BJ100" ca="1" si="662">IF(BA97&lt;&gt;0,Q97/BA97,0)</f>
        <v>0</v>
      </c>
      <c r="BK97" s="50">
        <f t="shared" ref="BK97:BK100" ca="1" si="663">IF(BD97&lt;&gt;0,T97/BD97,0)</f>
        <v>0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0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0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0</v>
      </c>
      <c r="BR97" s="225">
        <f t="shared" si="617"/>
        <v>0</v>
      </c>
      <c r="BS97" s="229">
        <f t="shared" ca="1" si="617"/>
        <v>0</v>
      </c>
      <c r="BT97" s="232">
        <f t="shared" ref="BT97:BU100" si="664">IFERROR(VLOOKUP($B97 &amp; $C97&amp;BT$4,tblForecast,BT$2,FALSE),0)</f>
        <v>0</v>
      </c>
      <c r="BU97" s="229">
        <f t="shared" si="664"/>
        <v>0</v>
      </c>
      <c r="BV97" s="229">
        <f>IF($A97="a",IFERROR(VLOOKUP($B97 &amp; $C97&amp;BV$4,tblForecast,BV$2,FALSE),0),BT97+BU97)</f>
        <v>0</v>
      </c>
      <c r="BW97" s="229">
        <f t="shared" ref="BW97:BX100" si="665">IFERROR(VLOOKUP($B97 &amp; $C97&amp;BW$4,tblForecast,BW$2,FALSE),0)</f>
        <v>0</v>
      </c>
      <c r="BX97" s="229">
        <f t="shared" si="665"/>
        <v>0</v>
      </c>
      <c r="BY97" s="192">
        <f ca="1">SUMIFS(OFFSET(tblForecast,,BY$2,,1),OFFSET(tblForecast,,,,1),$B97-IF(CompareVer="LY",1,0)&amp; $C97 &amp;BY$4)</f>
        <v>0</v>
      </c>
      <c r="BZ97" s="193">
        <f t="shared" ca="1" si="472"/>
        <v>0</v>
      </c>
      <c r="CA97" s="330">
        <f t="shared" ref="CA97:CB100" si="666">IFERROR(VLOOKUP($B97 &amp; $C97&amp;CA$4,tblForecast,CA$2,FALSE),0)</f>
        <v>0</v>
      </c>
      <c r="CB97" s="46">
        <f t="shared" si="666"/>
        <v>0</v>
      </c>
      <c r="CC97" s="46">
        <f>IF($A97="a",IFERROR(VLOOKUP($B97 &amp; $C97&amp;CC$4,tblForecast,CC$2,FALSE),0),CA97+CB97)</f>
        <v>0</v>
      </c>
      <c r="CD97" s="46">
        <f t="shared" ref="CD97:CE100" si="667">IFERROR(VLOOKUP($B97 &amp; $C97&amp;CD$4,tblForecast,CD$2,FALSE),0)</f>
        <v>0</v>
      </c>
      <c r="CE97" s="46">
        <f t="shared" si="667"/>
        <v>0</v>
      </c>
      <c r="CF97" s="46">
        <f ca="1">SUMIFS(OFFSET(tblForecast,,CF$2,,1),OFFSET(tblForecast,,,,1),$B97-IF(CompareVer="LY",1,0)&amp; $C97 &amp;CF$4)</f>
        <v>0</v>
      </c>
      <c r="CG97" s="193">
        <f t="shared" ca="1" si="473"/>
        <v>0</v>
      </c>
      <c r="CH97" s="330">
        <f t="shared" ref="CH97:CI100" si="668">IFERROR(VLOOKUP($B97 &amp; $C97&amp;CH$4,tblForecast,CH$2,FALSE),0)</f>
        <v>0</v>
      </c>
      <c r="CI97" s="46">
        <f t="shared" si="668"/>
        <v>0</v>
      </c>
      <c r="CJ97" s="46">
        <f>IF($A97="a",IFERROR(VLOOKUP($B97 &amp; $C97&amp;CJ$4,tblForecast,CJ$2,FALSE),0),CH97+CI97)</f>
        <v>0</v>
      </c>
      <c r="CK97" s="46">
        <f t="shared" ref="CK97:CL100" si="669">IFERROR(VLOOKUP($B97 &amp; $C97&amp;CK$4,tblForecast,CK$2,FALSE),0)</f>
        <v>0</v>
      </c>
      <c r="CL97" s="46">
        <f t="shared" si="669"/>
        <v>0</v>
      </c>
      <c r="CM97" s="46">
        <f ca="1">SUMIFS(OFFSET(tblForecast,,CM$2,,1),OFFSET(tblForecast,,,,1),$B97-IF(CompareVer="LY",1,0)&amp; $C97 &amp;CM$4)</f>
        <v>0</v>
      </c>
      <c r="CN97" s="193">
        <f t="shared" ca="1" si="474"/>
        <v>0</v>
      </c>
      <c r="CO97" s="177">
        <f t="shared" ref="CO97:CP113" si="670">IFERROR(CE97/BX97,0)</f>
        <v>0</v>
      </c>
      <c r="CP97" s="221">
        <f t="shared" ca="1" si="670"/>
        <v>0</v>
      </c>
      <c r="CQ97" s="193">
        <f t="shared" ca="1" si="475"/>
        <v>0</v>
      </c>
      <c r="CR97" s="177">
        <f t="shared" ref="CR97:CS113" si="671">IFERROR(CL97/BX97,0)</f>
        <v>0</v>
      </c>
      <c r="CS97" s="221">
        <f t="shared" ca="1" si="671"/>
        <v>0</v>
      </c>
      <c r="CT97" s="193">
        <f t="shared" ca="1" si="517"/>
        <v>0</v>
      </c>
      <c r="CU97" s="44">
        <f t="shared" si="310"/>
        <v>0</v>
      </c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672">IFERROR(CW97/CX97-1,)</f>
        <v>0</v>
      </c>
      <c r="CZ97" s="276">
        <f>IFERROR(VLOOKUP(Brand&amp;Channel&amp;Country&amp;$C97,tblDiscount,6,FALSE),0)</f>
        <v>0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478</v>
      </c>
      <c r="B98" s="44">
        <v>2019</v>
      </c>
      <c r="C98" s="88">
        <v>15</v>
      </c>
      <c r="D98" s="51">
        <f t="shared" ref="D98:D100" si="673">G98*H98</f>
        <v>0</v>
      </c>
      <c r="E98" s="201">
        <f t="shared" ref="E98:E100" si="674">IFERROR(D98*F98,0)</f>
        <v>0</v>
      </c>
      <c r="F98" s="181">
        <f t="shared" si="481"/>
        <v>0</v>
      </c>
      <c r="G98" s="175">
        <f t="shared" si="652"/>
        <v>0</v>
      </c>
      <c r="H98" s="202">
        <f t="shared" si="652"/>
        <v>0</v>
      </c>
      <c r="I98" s="202">
        <f t="shared" si="652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653"/>
        <v>0</v>
      </c>
      <c r="N98" s="46">
        <f t="shared" si="653"/>
        <v>0</v>
      </c>
      <c r="O98" s="46">
        <f t="shared" ca="1" si="653"/>
        <v>0</v>
      </c>
      <c r="P98" s="47">
        <f t="shared" ca="1" si="476"/>
        <v>0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654"/>
        <v>0</v>
      </c>
      <c r="T98" s="238">
        <f ca="1">SUMIFS(OFFSET(tblForecast,,T$2,,1),OFFSET(tblForecast,,,,1),$B98-IF(CompareVer="LY",1,0)&amp; $C98 &amp;T$4)</f>
        <v>0</v>
      </c>
      <c r="U98" s="91">
        <f t="shared" ca="1" si="467"/>
        <v>0</v>
      </c>
      <c r="V98" s="247">
        <f t="shared" ref="V98:V100" ca="1" si="675">IFERROR(IF(Q97&lt;&gt;0,Q98/Q97,0),0)</f>
        <v>0</v>
      </c>
      <c r="W98" s="327">
        <f ca="1">IFERROR(IF(R97&lt;&gt;0,R98/R97,X98),0)</f>
        <v>0</v>
      </c>
      <c r="X98" s="248">
        <f ca="1">IFERROR(IF(T97&lt;&gt;0,T98/T97,0),0)</f>
        <v>0</v>
      </c>
      <c r="Y98" s="51">
        <f t="shared" ca="1" si="655"/>
        <v>0</v>
      </c>
      <c r="Z98" s="46">
        <f t="shared" si="655"/>
        <v>0</v>
      </c>
      <c r="AA98" s="46">
        <f t="shared" si="655"/>
        <v>0</v>
      </c>
      <c r="AB98" s="46">
        <f t="shared" ca="1" si="655"/>
        <v>0</v>
      </c>
      <c r="AC98" s="91">
        <f t="shared" ca="1" si="468"/>
        <v>0</v>
      </c>
      <c r="AD98" s="75">
        <f ca="1">IF(AM98&lt;&gt;0,1-AR98/AM98,0)</f>
        <v>0</v>
      </c>
      <c r="AE98" s="93">
        <f t="shared" si="656"/>
        <v>0</v>
      </c>
      <c r="AF98" s="93">
        <f t="shared" si="656"/>
        <v>0</v>
      </c>
      <c r="AG98" s="76">
        <f t="shared" ca="1" si="656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657"/>
        <v>0</v>
      </c>
      <c r="AJ98" s="94">
        <f t="shared" si="657"/>
        <v>0</v>
      </c>
      <c r="AK98" s="49">
        <f ca="1">IFERROR(CF98/BY98,0)</f>
        <v>0</v>
      </c>
      <c r="AL98" s="47">
        <f t="shared" ca="1" si="644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658"/>
        <v>0</v>
      </c>
      <c r="AO98" s="94">
        <f t="shared" si="658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469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659"/>
        <v>0</v>
      </c>
      <c r="AT98" s="94">
        <f t="shared" si="659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470"/>
        <v>0</v>
      </c>
      <c r="AW98" s="190">
        <f t="shared" ca="1" si="660"/>
        <v>0</v>
      </c>
      <c r="AX98" s="191">
        <f t="shared" si="660"/>
        <v>0</v>
      </c>
      <c r="AY98" s="191">
        <f t="shared" si="660"/>
        <v>0</v>
      </c>
      <c r="AZ98" s="191">
        <f t="shared" ca="1" si="660"/>
        <v>0</v>
      </c>
      <c r="BA98" s="233">
        <f ca="1">IF(BA97+BV98+BL98+BR98-Q98&lt;0,0,BA97+BV98+BL98+BR98-Q98)</f>
        <v>0</v>
      </c>
      <c r="BB98" s="229">
        <f ca="1">IF(IFERROR(VLOOKUP($B98 &amp; $C98&amp;BB$4,tblForecast,BB$2,FALSE),0)=0,BA98,IFERROR(VLOOKUP($B98 &amp; $C98&amp;BB$4,tblForecast,BB$2,FALSE),0))</f>
        <v>0</v>
      </c>
      <c r="BC98" s="229">
        <f ca="1">SUMIFS(OFFSET(tblForecast,,BC$2,,1),OFFSET(tblForecast,,,,1),$B98-IF(CompareVer="LY",1,0)&amp; $C98 &amp;BC$4)</f>
        <v>0</v>
      </c>
      <c r="BD98" s="229">
        <f t="shared" ca="1" si="661"/>
        <v>0</v>
      </c>
      <c r="BE98" s="193">
        <f t="shared" ca="1" si="471"/>
        <v>0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0</v>
      </c>
      <c r="BH98" s="178">
        <f ca="1">IF(Q98&lt;&gt;0,BA98/Q98,0)</f>
        <v>0</v>
      </c>
      <c r="BI98" s="182">
        <f ca="1">IF(T98&lt;&gt;0,BD98/T98,0)</f>
        <v>0</v>
      </c>
      <c r="BJ98" s="194">
        <f t="shared" ca="1" si="662"/>
        <v>0</v>
      </c>
      <c r="BK98" s="50">
        <f t="shared" ca="1" si="663"/>
        <v>0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0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0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0</v>
      </c>
      <c r="BR98" s="225">
        <f t="shared" si="617"/>
        <v>0</v>
      </c>
      <c r="BS98" s="229">
        <f t="shared" ca="1" si="617"/>
        <v>0</v>
      </c>
      <c r="BT98" s="232">
        <f t="shared" si="664"/>
        <v>0</v>
      </c>
      <c r="BU98" s="229">
        <f t="shared" si="664"/>
        <v>0</v>
      </c>
      <c r="BV98" s="229">
        <f>IF($A98="a",IFERROR(VLOOKUP($B98 &amp; $C98&amp;BV$4,tblForecast,BV$2,FALSE),0),BT98+BU98)</f>
        <v>0</v>
      </c>
      <c r="BW98" s="229">
        <f t="shared" si="665"/>
        <v>0</v>
      </c>
      <c r="BX98" s="229">
        <f t="shared" si="665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472"/>
        <v>0</v>
      </c>
      <c r="CA98" s="330">
        <f t="shared" si="666"/>
        <v>0</v>
      </c>
      <c r="CB98" s="46">
        <f t="shared" si="666"/>
        <v>0</v>
      </c>
      <c r="CC98" s="46">
        <f>IF($A98="a",IFERROR(VLOOKUP($B98 &amp; $C98&amp;CC$4,tblForecast,CC$2,FALSE),0),CA98+CB98)</f>
        <v>0</v>
      </c>
      <c r="CD98" s="46">
        <f t="shared" si="667"/>
        <v>0</v>
      </c>
      <c r="CE98" s="46">
        <f t="shared" si="667"/>
        <v>0</v>
      </c>
      <c r="CF98" s="46">
        <f ca="1">SUMIFS(OFFSET(tblForecast,,CF$2,,1),OFFSET(tblForecast,,,,1),$B98-IF(CompareVer="LY",1,0)&amp; $C98 &amp;CF$4)</f>
        <v>0</v>
      </c>
      <c r="CG98" s="193">
        <f t="shared" ca="1" si="473"/>
        <v>0</v>
      </c>
      <c r="CH98" s="330">
        <f t="shared" si="668"/>
        <v>0</v>
      </c>
      <c r="CI98" s="46">
        <f t="shared" si="668"/>
        <v>0</v>
      </c>
      <c r="CJ98" s="46">
        <f>IF($A98="a",IFERROR(VLOOKUP($B98 &amp; $C98&amp;CJ$4,tblForecast,CJ$2,FALSE),0),CH98+CI98)</f>
        <v>0</v>
      </c>
      <c r="CK98" s="46">
        <f t="shared" si="669"/>
        <v>0</v>
      </c>
      <c r="CL98" s="46">
        <f t="shared" si="669"/>
        <v>0</v>
      </c>
      <c r="CM98" s="46">
        <f ca="1">SUMIFS(OFFSET(tblForecast,,CM$2,,1),OFFSET(tblForecast,,,,1),$B98-IF(CompareVer="LY",1,0)&amp; $C98 &amp;CM$4)</f>
        <v>0</v>
      </c>
      <c r="CN98" s="193">
        <f t="shared" ca="1" si="474"/>
        <v>0</v>
      </c>
      <c r="CO98" s="177">
        <f t="shared" si="670"/>
        <v>0</v>
      </c>
      <c r="CP98" s="221">
        <f t="shared" ca="1" si="670"/>
        <v>0</v>
      </c>
      <c r="CQ98" s="193">
        <f t="shared" ca="1" si="475"/>
        <v>0</v>
      </c>
      <c r="CR98" s="177">
        <f t="shared" si="671"/>
        <v>0</v>
      </c>
      <c r="CS98" s="221">
        <f t="shared" ca="1" si="671"/>
        <v>0</v>
      </c>
      <c r="CT98" s="193">
        <f t="shared" ca="1" si="517"/>
        <v>0</v>
      </c>
      <c r="CU98" s="44">
        <f t="shared" si="310"/>
        <v>0</v>
      </c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672"/>
        <v>0</v>
      </c>
      <c r="CZ98" s="276">
        <f>IFERROR(VLOOKUP(Brand&amp;Channel&amp;Country&amp;$C98,tblDiscount,6,FALSE),0)</f>
        <v>0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478</v>
      </c>
      <c r="B99" s="44">
        <v>2019</v>
      </c>
      <c r="C99" s="88">
        <v>16</v>
      </c>
      <c r="D99" s="51">
        <f t="shared" si="673"/>
        <v>0</v>
      </c>
      <c r="E99" s="201">
        <f t="shared" si="674"/>
        <v>0</v>
      </c>
      <c r="F99" s="181">
        <f t="shared" si="481"/>
        <v>0</v>
      </c>
      <c r="G99" s="175">
        <f t="shared" si="652"/>
        <v>0</v>
      </c>
      <c r="H99" s="202">
        <f t="shared" si="652"/>
        <v>0</v>
      </c>
      <c r="I99" s="202">
        <f t="shared" si="652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653"/>
        <v>0</v>
      </c>
      <c r="N99" s="46">
        <f t="shared" si="653"/>
        <v>0</v>
      </c>
      <c r="O99" s="46">
        <f t="shared" ca="1" si="653"/>
        <v>0</v>
      </c>
      <c r="P99" s="47">
        <f t="shared" ca="1" si="476"/>
        <v>0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654"/>
        <v>0</v>
      </c>
      <c r="T99" s="238">
        <f ca="1">SUMIFS(OFFSET(tblForecast,,T$2,,1),OFFSET(tblForecast,,,,1),$B99-IF(CompareVer="LY",1,0)&amp; $C99 &amp;T$4)</f>
        <v>0</v>
      </c>
      <c r="U99" s="91">
        <f t="shared" ca="1" si="467"/>
        <v>0</v>
      </c>
      <c r="V99" s="247">
        <f t="shared" ca="1" si="675"/>
        <v>0</v>
      </c>
      <c r="W99" s="327">
        <f ca="1">IFERROR(IF(R98&lt;&gt;0,R99/R98,X99),0)</f>
        <v>0</v>
      </c>
      <c r="X99" s="248">
        <f ca="1">IFERROR(IF(T98&lt;&gt;0,T99/T98,0),0)</f>
        <v>0</v>
      </c>
      <c r="Y99" s="51">
        <f t="shared" ca="1" si="655"/>
        <v>0</v>
      </c>
      <c r="Z99" s="46">
        <f t="shared" si="655"/>
        <v>0</v>
      </c>
      <c r="AA99" s="46">
        <f t="shared" si="655"/>
        <v>0</v>
      </c>
      <c r="AB99" s="46">
        <f t="shared" ca="1" si="655"/>
        <v>0</v>
      </c>
      <c r="AC99" s="91">
        <f t="shared" ca="1" si="468"/>
        <v>0</v>
      </c>
      <c r="AD99" s="75">
        <f ca="1">IF(AM99&lt;&gt;0,1-AR99/AM99,0)</f>
        <v>0</v>
      </c>
      <c r="AE99" s="93">
        <f t="shared" si="656"/>
        <v>0</v>
      </c>
      <c r="AF99" s="93">
        <f t="shared" si="656"/>
        <v>0</v>
      </c>
      <c r="AG99" s="76">
        <f t="shared" ca="1" si="656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657"/>
        <v>0</v>
      </c>
      <c r="AJ99" s="94">
        <f t="shared" si="657"/>
        <v>0</v>
      </c>
      <c r="AK99" s="49">
        <f ca="1">IFERROR(CF99/BY99,0)</f>
        <v>0</v>
      </c>
      <c r="AL99" s="47">
        <f t="shared" ca="1" si="644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658"/>
        <v>0</v>
      </c>
      <c r="AO99" s="94">
        <f t="shared" si="658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469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659"/>
        <v>0</v>
      </c>
      <c r="AT99" s="94">
        <f t="shared" si="659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470"/>
        <v>0</v>
      </c>
      <c r="AW99" s="190">
        <f t="shared" ca="1" si="660"/>
        <v>0</v>
      </c>
      <c r="AX99" s="191">
        <f t="shared" si="660"/>
        <v>0</v>
      </c>
      <c r="AY99" s="191">
        <f t="shared" si="660"/>
        <v>0</v>
      </c>
      <c r="AZ99" s="191">
        <f t="shared" ca="1" si="660"/>
        <v>0</v>
      </c>
      <c r="BA99" s="233">
        <f ca="1">IF(BA98+BV99+BL99+BR99-Q99&lt;0,0,BA98+BV99+BL99+BR99-Q99)</f>
        <v>0</v>
      </c>
      <c r="BB99" s="229">
        <f ca="1">IF(IFERROR(VLOOKUP($B99 &amp; $C99&amp;BB$4,tblForecast,BB$2,FALSE),0)=0,BA99,IFERROR(VLOOKUP($B99 &amp; $C99&amp;BB$4,tblForecast,BB$2,FALSE),0))</f>
        <v>0</v>
      </c>
      <c r="BC99" s="229">
        <f ca="1">SUMIFS(OFFSET(tblForecast,,BC$2,,1),OFFSET(tblForecast,,,,1),$B99-IF(CompareVer="LY",1,0)&amp; $C99 &amp;BC$4)</f>
        <v>0</v>
      </c>
      <c r="BD99" s="229">
        <f t="shared" ca="1" si="661"/>
        <v>0</v>
      </c>
      <c r="BE99" s="193">
        <f t="shared" ca="1" si="471"/>
        <v>0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0</v>
      </c>
      <c r="BH99" s="178">
        <f ca="1">IF(Q99&lt;&gt;0,BA99/Q99,0)</f>
        <v>0</v>
      </c>
      <c r="BI99" s="182">
        <f ca="1">IF(T99&lt;&gt;0,BD99/T99,0)</f>
        <v>0</v>
      </c>
      <c r="BJ99" s="194">
        <f t="shared" ca="1" si="662"/>
        <v>0</v>
      </c>
      <c r="BK99" s="50">
        <f t="shared" ca="1" si="663"/>
        <v>0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0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0</v>
      </c>
      <c r="BR99" s="225">
        <f t="shared" si="617"/>
        <v>0</v>
      </c>
      <c r="BS99" s="229">
        <f t="shared" ca="1" si="617"/>
        <v>0</v>
      </c>
      <c r="BT99" s="232">
        <f t="shared" si="664"/>
        <v>0</v>
      </c>
      <c r="BU99" s="229">
        <f t="shared" si="664"/>
        <v>0</v>
      </c>
      <c r="BV99" s="229">
        <f>IF($A99="a",IFERROR(VLOOKUP($B99 &amp; $C99&amp;BV$4,tblForecast,BV$2,FALSE),0),BT99+BU99)</f>
        <v>0</v>
      </c>
      <c r="BW99" s="229">
        <f t="shared" si="665"/>
        <v>0</v>
      </c>
      <c r="BX99" s="229">
        <f t="shared" si="665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472"/>
        <v>0</v>
      </c>
      <c r="CA99" s="330">
        <f t="shared" si="666"/>
        <v>0</v>
      </c>
      <c r="CB99" s="46">
        <f t="shared" si="666"/>
        <v>0</v>
      </c>
      <c r="CC99" s="46">
        <f>IF($A99="a",IFERROR(VLOOKUP($B99 &amp; $C99&amp;CC$4,tblForecast,CC$2,FALSE),0),CA99+CB99)</f>
        <v>0</v>
      </c>
      <c r="CD99" s="46">
        <f t="shared" si="667"/>
        <v>0</v>
      </c>
      <c r="CE99" s="46">
        <f t="shared" si="667"/>
        <v>0</v>
      </c>
      <c r="CF99" s="46">
        <f ca="1">SUMIFS(OFFSET(tblForecast,,CF$2,,1),OFFSET(tblForecast,,,,1),$B99-IF(CompareVer="LY",1,0)&amp; $C99 &amp;CF$4)</f>
        <v>0</v>
      </c>
      <c r="CG99" s="193">
        <f t="shared" ca="1" si="473"/>
        <v>0</v>
      </c>
      <c r="CH99" s="330">
        <f t="shared" si="668"/>
        <v>0</v>
      </c>
      <c r="CI99" s="46">
        <f t="shared" si="668"/>
        <v>0</v>
      </c>
      <c r="CJ99" s="46">
        <f>IF($A99="a",IFERROR(VLOOKUP($B99 &amp; $C99&amp;CJ$4,tblForecast,CJ$2,FALSE),0),CH99+CI99)</f>
        <v>0</v>
      </c>
      <c r="CK99" s="46">
        <f t="shared" si="669"/>
        <v>0</v>
      </c>
      <c r="CL99" s="46">
        <f t="shared" si="669"/>
        <v>0</v>
      </c>
      <c r="CM99" s="46">
        <f ca="1">SUMIFS(OFFSET(tblForecast,,CM$2,,1),OFFSET(tblForecast,,,,1),$B99-IF(CompareVer="LY",1,0)&amp; $C99 &amp;CM$4)</f>
        <v>0</v>
      </c>
      <c r="CN99" s="193">
        <f t="shared" ca="1" si="474"/>
        <v>0</v>
      </c>
      <c r="CO99" s="177">
        <f t="shared" si="670"/>
        <v>0</v>
      </c>
      <c r="CP99" s="221">
        <f t="shared" ca="1" si="670"/>
        <v>0</v>
      </c>
      <c r="CQ99" s="193">
        <f t="shared" ca="1" si="475"/>
        <v>0</v>
      </c>
      <c r="CR99" s="177">
        <f t="shared" si="671"/>
        <v>0</v>
      </c>
      <c r="CS99" s="221">
        <f t="shared" ca="1" si="671"/>
        <v>0</v>
      </c>
      <c r="CT99" s="193">
        <f t="shared" ca="1" si="517"/>
        <v>0</v>
      </c>
      <c r="CU99" s="44">
        <f t="shared" si="310"/>
        <v>0</v>
      </c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672"/>
        <v>0</v>
      </c>
      <c r="CZ99" s="276">
        <f>IFERROR(VLOOKUP(Brand&amp;Channel&amp;Country&amp;$C99,tblDiscount,6,FALSE),0)</f>
        <v>0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478</v>
      </c>
      <c r="B100" s="44">
        <v>2019</v>
      </c>
      <c r="C100" s="88">
        <v>17</v>
      </c>
      <c r="D100" s="51">
        <f t="shared" si="673"/>
        <v>0</v>
      </c>
      <c r="E100" s="201">
        <f t="shared" si="674"/>
        <v>0</v>
      </c>
      <c r="F100" s="181">
        <f t="shared" si="481"/>
        <v>0</v>
      </c>
      <c r="G100" s="175">
        <f t="shared" si="652"/>
        <v>0</v>
      </c>
      <c r="H100" s="202">
        <f t="shared" si="652"/>
        <v>0</v>
      </c>
      <c r="I100" s="202">
        <f t="shared" si="652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653"/>
        <v>0</v>
      </c>
      <c r="N100" s="46">
        <f t="shared" si="653"/>
        <v>0</v>
      </c>
      <c r="O100" s="46">
        <f t="shared" ca="1" si="653"/>
        <v>0</v>
      </c>
      <c r="P100" s="47">
        <f t="shared" ca="1" si="476"/>
        <v>0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654"/>
        <v>0</v>
      </c>
      <c r="T100" s="238">
        <f ca="1">SUMIFS(OFFSET(tblForecast,,T$2,,1),OFFSET(tblForecast,,,,1),$B100-IF(CompareVer="LY",1,0)&amp; $C100 &amp;T$4)</f>
        <v>0</v>
      </c>
      <c r="U100" s="91">
        <f t="shared" ca="1" si="467"/>
        <v>0</v>
      </c>
      <c r="V100" s="247">
        <f t="shared" ca="1" si="675"/>
        <v>0</v>
      </c>
      <c r="W100" s="327">
        <f ca="1">IFERROR(IF(R99&lt;&gt;0,R100/R99,X100),0)</f>
        <v>0</v>
      </c>
      <c r="X100" s="248">
        <f ca="1">IFERROR(IF(T99&lt;&gt;0,T100/T99,0),0)</f>
        <v>0</v>
      </c>
      <c r="Y100" s="51">
        <f t="shared" ca="1" si="655"/>
        <v>0</v>
      </c>
      <c r="Z100" s="46">
        <f t="shared" si="655"/>
        <v>0</v>
      </c>
      <c r="AA100" s="46">
        <f t="shared" si="655"/>
        <v>0</v>
      </c>
      <c r="AB100" s="46">
        <f t="shared" ca="1" si="655"/>
        <v>0</v>
      </c>
      <c r="AC100" s="91">
        <f t="shared" ca="1" si="468"/>
        <v>0</v>
      </c>
      <c r="AD100" s="75">
        <f ca="1">IF(AM100&lt;&gt;0,1-AR100/AM100,0)</f>
        <v>0</v>
      </c>
      <c r="AE100" s="93">
        <f t="shared" si="656"/>
        <v>0</v>
      </c>
      <c r="AF100" s="93">
        <f t="shared" si="656"/>
        <v>0</v>
      </c>
      <c r="AG100" s="76">
        <f t="shared" ca="1" si="656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657"/>
        <v>0</v>
      </c>
      <c r="AJ100" s="94">
        <f t="shared" si="657"/>
        <v>0</v>
      </c>
      <c r="AK100" s="49">
        <f ca="1">IFERROR(CF100/BY100,0)</f>
        <v>0</v>
      </c>
      <c r="AL100" s="47">
        <f t="shared" ca="1" si="644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658"/>
        <v>0</v>
      </c>
      <c r="AO100" s="94">
        <f t="shared" si="658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469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659"/>
        <v>0</v>
      </c>
      <c r="AT100" s="94">
        <f t="shared" si="659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470"/>
        <v>0</v>
      </c>
      <c r="AW100" s="190">
        <f t="shared" ca="1" si="660"/>
        <v>0</v>
      </c>
      <c r="AX100" s="191">
        <f t="shared" si="660"/>
        <v>0</v>
      </c>
      <c r="AY100" s="191">
        <f t="shared" si="660"/>
        <v>0</v>
      </c>
      <c r="AZ100" s="191">
        <f t="shared" ca="1" si="660"/>
        <v>0</v>
      </c>
      <c r="BA100" s="233">
        <f ca="1">IF(BA99+BV100+BL100+BR100-Q100&lt;0,0,BA99+BV100+BL100+BR100-Q100)</f>
        <v>0</v>
      </c>
      <c r="BB100" s="229">
        <f ca="1">IF(IFERROR(VLOOKUP($B100 &amp; $C100&amp;BB$4,tblForecast,BB$2,FALSE),0)=0,BA100,IFERROR(VLOOKUP($B100 &amp; $C100&amp;BB$4,tblForecast,BB$2,FALSE),0))</f>
        <v>0</v>
      </c>
      <c r="BC100" s="229">
        <f ca="1">SUMIFS(OFFSET(tblForecast,,BC$2,,1),OFFSET(tblForecast,,,,1),$B100-IF(CompareVer="LY",1,0)&amp; $C100 &amp;BC$4)</f>
        <v>0</v>
      </c>
      <c r="BD100" s="229">
        <f t="shared" ca="1" si="661"/>
        <v>0</v>
      </c>
      <c r="BE100" s="193">
        <f t="shared" ca="1" si="471"/>
        <v>0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0</v>
      </c>
      <c r="BH100" s="178">
        <f ca="1">IF(Q100&lt;&gt;0,BA100/Q100,0)</f>
        <v>0</v>
      </c>
      <c r="BI100" s="182">
        <f ca="1">IF(T100&lt;&gt;0,BD100/T100,0)</f>
        <v>0</v>
      </c>
      <c r="BJ100" s="194">
        <f t="shared" ca="1" si="662"/>
        <v>0</v>
      </c>
      <c r="BK100" s="50">
        <f t="shared" ca="1" si="663"/>
        <v>0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0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617"/>
        <v>0</v>
      </c>
      <c r="BS100" s="229">
        <f t="shared" ca="1" si="617"/>
        <v>0</v>
      </c>
      <c r="BT100" s="232">
        <f t="shared" si="664"/>
        <v>0</v>
      </c>
      <c r="BU100" s="229">
        <f t="shared" si="664"/>
        <v>0</v>
      </c>
      <c r="BV100" s="229">
        <f>IF($A100="a",IFERROR(VLOOKUP($B100 &amp; $C100&amp;BV$4,tblForecast,BV$2,FALSE),0),BT100+BU100)</f>
        <v>0</v>
      </c>
      <c r="BW100" s="229">
        <f t="shared" si="665"/>
        <v>0</v>
      </c>
      <c r="BX100" s="229">
        <f t="shared" si="665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472"/>
        <v>0</v>
      </c>
      <c r="CA100" s="330">
        <f t="shared" si="666"/>
        <v>0</v>
      </c>
      <c r="CB100" s="46">
        <f t="shared" si="666"/>
        <v>0</v>
      </c>
      <c r="CC100" s="46">
        <f>IF($A100="a",IFERROR(VLOOKUP($B100 &amp; $C100&amp;CC$4,tblForecast,CC$2,FALSE),0),CA100+CB100)</f>
        <v>0</v>
      </c>
      <c r="CD100" s="46">
        <f t="shared" si="667"/>
        <v>0</v>
      </c>
      <c r="CE100" s="46">
        <f t="shared" si="667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473"/>
        <v>0</v>
      </c>
      <c r="CH100" s="330">
        <f t="shared" si="668"/>
        <v>0</v>
      </c>
      <c r="CI100" s="46">
        <f t="shared" si="668"/>
        <v>0</v>
      </c>
      <c r="CJ100" s="46">
        <f>IF($A100="a",IFERROR(VLOOKUP($B100 &amp; $C100&amp;CJ$4,tblForecast,CJ$2,FALSE),0),CH100+CI100)</f>
        <v>0</v>
      </c>
      <c r="CK100" s="46">
        <f t="shared" si="669"/>
        <v>0</v>
      </c>
      <c r="CL100" s="46">
        <f t="shared" si="669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474"/>
        <v>0</v>
      </c>
      <c r="CO100" s="177">
        <f t="shared" si="670"/>
        <v>0</v>
      </c>
      <c r="CP100" s="221">
        <f t="shared" ca="1" si="670"/>
        <v>0</v>
      </c>
      <c r="CQ100" s="193">
        <f t="shared" ca="1" si="475"/>
        <v>0</v>
      </c>
      <c r="CR100" s="177">
        <f t="shared" si="671"/>
        <v>0</v>
      </c>
      <c r="CS100" s="221">
        <f t="shared" ca="1" si="671"/>
        <v>0</v>
      </c>
      <c r="CT100" s="193">
        <f t="shared" ca="1" si="517"/>
        <v>0</v>
      </c>
      <c r="CU100" s="44">
        <f t="shared" si="310"/>
        <v>0</v>
      </c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672"/>
        <v>0</v>
      </c>
      <c r="CZ100" s="276">
        <f>IFERROR(VLOOKUP(Brand&amp;Channel&amp;Country&amp;$C100,tblDiscount,6,FALSE),0)</f>
        <v>0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7" t="s">
        <v>27</v>
      </c>
      <c r="D101" s="348">
        <f t="shared" ref="D101" si="676">SUM(D97:D100)</f>
        <v>0</v>
      </c>
      <c r="E101" s="349">
        <f t="shared" ref="E101" si="677">SUM(E97:E100)</f>
        <v>0</v>
      </c>
      <c r="F101" s="350">
        <f t="shared" si="481"/>
        <v>0</v>
      </c>
      <c r="G101" s="351">
        <f>SUM(G97:G100)</f>
        <v>0</v>
      </c>
      <c r="H101" s="352">
        <f>IFERROR(D101/G101,0)</f>
        <v>0</v>
      </c>
      <c r="I101" s="352">
        <f>IFERROR(SUMPRODUCT(I97:I100,G97:G100)/G101,0)</f>
        <v>0</v>
      </c>
      <c r="J101" s="351">
        <f>SUM(J97:J100)</f>
        <v>0</v>
      </c>
      <c r="K101" s="353">
        <f>SUM(K97:K100)</f>
        <v>0</v>
      </c>
      <c r="L101" s="354">
        <f ca="1">SUM(L97:L100)</f>
        <v>0</v>
      </c>
      <c r="M101" s="354">
        <f t="shared" ref="M101:O101" si="678">SUM(M97:M100)</f>
        <v>0</v>
      </c>
      <c r="N101" s="354">
        <f t="shared" si="678"/>
        <v>0</v>
      </c>
      <c r="O101" s="354">
        <f t="shared" ca="1" si="678"/>
        <v>0</v>
      </c>
      <c r="P101" s="355">
        <f t="shared" ca="1" si="476"/>
        <v>0</v>
      </c>
      <c r="Q101" s="356">
        <f t="shared" ref="Q101:S101" ca="1" si="679">SUM(Q97:Q100)</f>
        <v>0</v>
      </c>
      <c r="R101" s="356">
        <f t="shared" si="679"/>
        <v>0</v>
      </c>
      <c r="S101" s="356">
        <f t="shared" si="679"/>
        <v>0</v>
      </c>
      <c r="T101" s="356">
        <f ca="1">SUM(T97:T100)</f>
        <v>0</v>
      </c>
      <c r="U101" s="355">
        <f t="shared" ca="1" si="467"/>
        <v>0</v>
      </c>
      <c r="V101" s="357">
        <f ca="1">V100</f>
        <v>0</v>
      </c>
      <c r="W101" s="358">
        <f ca="1">W100</f>
        <v>0</v>
      </c>
      <c r="X101" s="359">
        <f ca="1">X100</f>
        <v>0</v>
      </c>
      <c r="Y101" s="348">
        <f ca="1">SUM(Y97:Y100)</f>
        <v>0</v>
      </c>
      <c r="Z101" s="354">
        <f t="shared" ref="Z101:AB101" si="680">SUM(Z97:Z100)</f>
        <v>0</v>
      </c>
      <c r="AA101" s="354">
        <f t="shared" si="680"/>
        <v>0</v>
      </c>
      <c r="AB101" s="354">
        <f t="shared" ca="1" si="680"/>
        <v>0</v>
      </c>
      <c r="AC101" s="355">
        <f t="shared" ca="1" si="468"/>
        <v>0</v>
      </c>
      <c r="AD101" s="360">
        <f ca="1">IFERROR(Y101/L101,0)</f>
        <v>0</v>
      </c>
      <c r="AE101" s="361">
        <f>IFERROR(Z101/M101,0)</f>
        <v>0</v>
      </c>
      <c r="AF101" s="361">
        <f>IFERROR(AA101/N101,0)</f>
        <v>0</v>
      </c>
      <c r="AG101" s="361">
        <f ca="1">IFERROR(AB101/O101,0)</f>
        <v>0</v>
      </c>
      <c r="AH101" s="362">
        <f ca="1">IFERROR(SUMPRODUCT(AH97:AH100,Q97:Q100)/Q101,0)</f>
        <v>0</v>
      </c>
      <c r="AI101" s="363">
        <f>IFERROR(SUMPRODUCT(AI97:AI100,R97:R100)/R101,0)</f>
        <v>0</v>
      </c>
      <c r="AJ101" s="363">
        <f t="shared" ref="AJ101:AK101" si="681">IFERROR(SUMPRODUCT(AJ97:AJ100,S97:S100)/S101,0)</f>
        <v>0</v>
      </c>
      <c r="AK101" s="363">
        <f t="shared" ca="1" si="681"/>
        <v>0</v>
      </c>
      <c r="AL101" s="355">
        <f t="shared" ca="1" si="644"/>
        <v>0</v>
      </c>
      <c r="AM101" s="362">
        <f ca="1">IF(Q101&lt;&gt;0,L101/Q101,0)</f>
        <v>0</v>
      </c>
      <c r="AN101" s="363">
        <f>IF(R101&lt;&gt;0,M101/R101,0)</f>
        <v>0</v>
      </c>
      <c r="AO101" s="363">
        <f>IF(S101&lt;&gt;0,N101/S101,0)</f>
        <v>0</v>
      </c>
      <c r="AP101" s="363">
        <f ca="1">IF(T101&lt;&gt;0,O101/T101,0)</f>
        <v>0</v>
      </c>
      <c r="AQ101" s="355">
        <f t="shared" ca="1" si="469"/>
        <v>0</v>
      </c>
      <c r="AR101" s="362">
        <f ca="1">IFERROR((L101*(1-AD101))/Q101,0)</f>
        <v>0</v>
      </c>
      <c r="AS101" s="363">
        <f>IFERROR((M101*(1-AE101))/R101,0)</f>
        <v>0</v>
      </c>
      <c r="AT101" s="363">
        <f>IFERROR((N101*(1-AF101))/S101,0)</f>
        <v>0</v>
      </c>
      <c r="AU101" s="363">
        <f ca="1">IFERROR((O101*(1-AG101))/T101,0)</f>
        <v>0</v>
      </c>
      <c r="AV101" s="355">
        <f t="shared" ca="1" si="470"/>
        <v>0</v>
      </c>
      <c r="AW101" s="364">
        <f ca="1">IFERROR(SUMPRODUCT(AW97:AW100,V97:V100)/V101,0)</f>
        <v>0</v>
      </c>
      <c r="AX101" s="365">
        <f t="shared" ref="AX101:AZ101" ca="1" si="682">IFERROR(SUMPRODUCT(AX97:AX100,X97:X100)/X101,0)</f>
        <v>0</v>
      </c>
      <c r="AY101" s="365">
        <f t="shared" ca="1" si="682"/>
        <v>0</v>
      </c>
      <c r="AZ101" s="365">
        <f t="shared" ca="1" si="682"/>
        <v>0</v>
      </c>
      <c r="BA101" s="366">
        <f ca="1">BA100</f>
        <v>0</v>
      </c>
      <c r="BB101" s="356">
        <f t="shared" ref="BB101:BD101" ca="1" si="683">BB100</f>
        <v>0</v>
      </c>
      <c r="BC101" s="356">
        <f t="shared" ca="1" si="683"/>
        <v>0</v>
      </c>
      <c r="BD101" s="356">
        <f t="shared" ca="1" si="683"/>
        <v>0</v>
      </c>
      <c r="BE101" s="355">
        <f t="shared" ca="1" si="471"/>
        <v>0</v>
      </c>
      <c r="BF101" s="356">
        <f>BF100</f>
        <v>0</v>
      </c>
      <c r="BG101" s="356">
        <f ca="1">BG100</f>
        <v>0</v>
      </c>
      <c r="BH101" s="367">
        <f ca="1">IF(Q99&lt;&gt;0,(BA101/Q101),0)</f>
        <v>0</v>
      </c>
      <c r="BI101" s="368">
        <f ca="1">IF(T99&lt;&gt;0,(BD101/T99),0)</f>
        <v>0</v>
      </c>
      <c r="BJ101" s="369">
        <f ca="1">IFERROR((Q101/COUNTIF(BJ97:BJ100,"&lt;&gt;0"))/BA101,0)</f>
        <v>0</v>
      </c>
      <c r="BK101" s="370">
        <f ca="1">IF(BD101&lt;&gt;0,(T101/COUNTIF(BK97:BK100,"&lt;&gt;0"))/BD101,0)</f>
        <v>0</v>
      </c>
      <c r="BL101" s="366">
        <f>SUM(BL97:BL100)</f>
        <v>0</v>
      </c>
      <c r="BM101" s="356">
        <f ca="1">SUM(BM97:BM100)</f>
        <v>0</v>
      </c>
      <c r="BN101" s="366">
        <f>SUM(BN97:BN100)</f>
        <v>0</v>
      </c>
      <c r="BO101" s="356">
        <f t="shared" ref="BO101" ca="1" si="684">SUM(BO97:BO100)</f>
        <v>0</v>
      </c>
      <c r="BP101" s="366">
        <f>SUM(BP97:BP100)</f>
        <v>0</v>
      </c>
      <c r="BQ101" s="356">
        <f t="shared" ref="BQ101" ca="1" si="685">SUM(BQ97:BQ100)</f>
        <v>0</v>
      </c>
      <c r="BR101" s="366">
        <f t="shared" si="617"/>
        <v>0</v>
      </c>
      <c r="BS101" s="356">
        <f t="shared" ca="1" si="617"/>
        <v>0</v>
      </c>
      <c r="BT101" s="366">
        <f>SUM(BT97:BT100)</f>
        <v>0</v>
      </c>
      <c r="BU101" s="356">
        <f>SUM(BU97:BU100)</f>
        <v>0</v>
      </c>
      <c r="BV101" s="356">
        <f>SUM(BV97:BV100)</f>
        <v>0</v>
      </c>
      <c r="BW101" s="356">
        <f t="shared" ref="BW101:BX101" si="686">SUM(BW97:BW100)</f>
        <v>0</v>
      </c>
      <c r="BX101" s="356">
        <f t="shared" si="686"/>
        <v>0</v>
      </c>
      <c r="BY101" s="371">
        <f ca="1">SUM(BY97:BY100)</f>
        <v>0</v>
      </c>
      <c r="BZ101" s="355">
        <f t="shared" ca="1" si="472"/>
        <v>0</v>
      </c>
      <c r="CA101" s="372">
        <f>SUM(CA97:CA100)</f>
        <v>0</v>
      </c>
      <c r="CB101" s="354">
        <f t="shared" ref="CB101:CF101" si="687">SUM(CB97:CB100)</f>
        <v>0</v>
      </c>
      <c r="CC101" s="354">
        <f t="shared" si="687"/>
        <v>0</v>
      </c>
      <c r="CD101" s="354">
        <f t="shared" si="687"/>
        <v>0</v>
      </c>
      <c r="CE101" s="354">
        <f t="shared" si="687"/>
        <v>0</v>
      </c>
      <c r="CF101" s="354">
        <f t="shared" ca="1" si="687"/>
        <v>0</v>
      </c>
      <c r="CG101" s="355">
        <f t="shared" ca="1" si="473"/>
        <v>0</v>
      </c>
      <c r="CH101" s="372">
        <f>SUM(CH97:CH100)</f>
        <v>0</v>
      </c>
      <c r="CI101" s="354">
        <f t="shared" ref="CI101:CM101" si="688">SUM(CI97:CI100)</f>
        <v>0</v>
      </c>
      <c r="CJ101" s="354">
        <f t="shared" si="688"/>
        <v>0</v>
      </c>
      <c r="CK101" s="354">
        <f t="shared" si="688"/>
        <v>0</v>
      </c>
      <c r="CL101" s="354">
        <f t="shared" si="688"/>
        <v>0</v>
      </c>
      <c r="CM101" s="354">
        <f t="shared" ca="1" si="688"/>
        <v>0</v>
      </c>
      <c r="CN101" s="355">
        <f t="shared" ca="1" si="474"/>
        <v>0</v>
      </c>
      <c r="CO101" s="373">
        <f t="shared" si="670"/>
        <v>0</v>
      </c>
      <c r="CP101" s="374">
        <f t="shared" ca="1" si="670"/>
        <v>0</v>
      </c>
      <c r="CQ101" s="355">
        <f t="shared" ca="1" si="475"/>
        <v>0</v>
      </c>
      <c r="CR101" s="373">
        <f t="shared" si="671"/>
        <v>0</v>
      </c>
      <c r="CS101" s="374">
        <f t="shared" ca="1" si="671"/>
        <v>0</v>
      </c>
      <c r="CT101" s="355">
        <f t="shared" ca="1" si="517"/>
        <v>0</v>
      </c>
      <c r="CU101" s="44">
        <f t="shared" si="310"/>
        <v>0</v>
      </c>
      <c r="CW101" s="100">
        <f>CW100</f>
        <v>0</v>
      </c>
      <c r="CX101" s="101">
        <f ca="1">CX100</f>
        <v>0</v>
      </c>
      <c r="CY101" s="99">
        <f t="shared" ca="1" si="672"/>
        <v>0</v>
      </c>
      <c r="CZ101" s="276"/>
      <c r="DA101" s="277"/>
      <c r="DB101" s="277"/>
      <c r="DC101" s="278"/>
    </row>
    <row r="102" spans="1:107" x14ac:dyDescent="0.25">
      <c r="A102" s="44" t="s">
        <v>478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481"/>
        <v>0</v>
      </c>
      <c r="G102" s="175">
        <f t="shared" ref="G102:I106" si="689">IFERROR(VLOOKUP($B102 &amp; $C102&amp;G$4&amp;$A102,tblForecast,G$2,FALSE),0)</f>
        <v>0</v>
      </c>
      <c r="H102" s="202">
        <f t="shared" si="689"/>
        <v>0</v>
      </c>
      <c r="I102" s="202">
        <f t="shared" si="689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O106" si="690">R102*AN102</f>
        <v>0</v>
      </c>
      <c r="N102" s="46">
        <f t="shared" si="690"/>
        <v>0</v>
      </c>
      <c r="O102" s="46">
        <f t="shared" ca="1" si="690"/>
        <v>0</v>
      </c>
      <c r="P102" s="47">
        <f t="shared" ca="1" si="476"/>
        <v>0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691">IFERROR(VLOOKUP($B102 &amp; $C102&amp;S$4,tblForecast,S$2,FALSE),0)</f>
        <v>0</v>
      </c>
      <c r="T102" s="238">
        <f ca="1">SUMIFS(OFFSET(tblForecast,,T$2,,1),OFFSET(tblForecast,,,,1),$B102-IF(CompareVer="LY",1,0)&amp; $C102 &amp;T$4)</f>
        <v>0</v>
      </c>
      <c r="U102" s="91">
        <f t="shared" ca="1" si="467"/>
        <v>0</v>
      </c>
      <c r="V102" s="247">
        <f ca="1">IFERROR(IF(Q100&gt;0,Q102/Q100,0),0)</f>
        <v>0</v>
      </c>
      <c r="W102" s="327">
        <f ca="1">IFERROR(IF(R100&gt;0,R102/R100,X102),0)</f>
        <v>0</v>
      </c>
      <c r="X102" s="248">
        <f ca="1">IFERROR(IF(T100&gt;0,T102/T100,0),0)</f>
        <v>0</v>
      </c>
      <c r="Y102" s="51">
        <f t="shared" ref="Y102:AB106" ca="1" si="692">IFERROR(L102*AD102,0)</f>
        <v>0</v>
      </c>
      <c r="Z102" s="46">
        <f t="shared" si="692"/>
        <v>0</v>
      </c>
      <c r="AA102" s="46">
        <f t="shared" si="692"/>
        <v>0</v>
      </c>
      <c r="AB102" s="46">
        <f t="shared" ca="1" si="692"/>
        <v>0</v>
      </c>
      <c r="AC102" s="91">
        <f t="shared" ca="1" si="468"/>
        <v>0</v>
      </c>
      <c r="AD102" s="75">
        <f ca="1">IF(AM102&lt;&gt;0,1-AR102/AM102,0)</f>
        <v>0</v>
      </c>
      <c r="AE102" s="93">
        <f t="shared" ref="AE102:AG106" si="693">IF(AN102&lt;&gt;0,1-AS102/AN102,0)</f>
        <v>0</v>
      </c>
      <c r="AF102" s="93">
        <f t="shared" si="693"/>
        <v>0</v>
      </c>
      <c r="AG102" s="76">
        <f t="shared" ca="1" si="693"/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694">IFERROR(VLOOKUP($B102 &amp; $C102&amp;AI$4,tblForecast,AI$2,FALSE),0)</f>
        <v>0</v>
      </c>
      <c r="AJ102" s="94">
        <f t="shared" si="694"/>
        <v>0</v>
      </c>
      <c r="AK102" s="49">
        <f ca="1">IFERROR(CF102/BY102,0)</f>
        <v>0</v>
      </c>
      <c r="AL102" s="47">
        <f t="shared" ca="1" si="644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695">IFERROR(VLOOKUP($B102 &amp; $C102&amp;AN$4,tblForecast,AN$2,FALSE),0)</f>
        <v>0</v>
      </c>
      <c r="AO102" s="94">
        <f t="shared" si="695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469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696">IFERROR(VLOOKUP($B102 &amp; $C102&amp;AS$4,tblForecast,AS$2,FALSE),0)</f>
        <v>0</v>
      </c>
      <c r="AT102" s="94">
        <f t="shared" si="696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470"/>
        <v>0</v>
      </c>
      <c r="AW102" s="190">
        <f t="shared" ref="AW102:AZ106" ca="1" si="697">IFERROR((AM102/AH102-1)*-1,0)</f>
        <v>0</v>
      </c>
      <c r="AX102" s="191">
        <f t="shared" si="697"/>
        <v>0</v>
      </c>
      <c r="AY102" s="191">
        <f t="shared" si="697"/>
        <v>0</v>
      </c>
      <c r="AZ102" s="191">
        <f t="shared" ca="1" si="697"/>
        <v>0</v>
      </c>
      <c r="BA102" s="233">
        <f ca="1">IF(BA101+BV102+BL102+BR102-Q102&lt;0,0,BA101+BV102+BL102+BR102-Q102)</f>
        <v>0</v>
      </c>
      <c r="BB102" s="229">
        <f ca="1">IF(IFERROR(VLOOKUP($B102 &amp; $C102&amp;BB$4,tblForecast,BB$2,FALSE),0)=0,BA102,IFERROR(VLOOKUP($B102 &amp; $C102&amp;BB$4,tblForecast,BB$2,FALSE),0))</f>
        <v>0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698">CX102+BG102</f>
        <v>0</v>
      </c>
      <c r="BE102" s="193">
        <f t="shared" ca="1" si="471"/>
        <v>0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0</v>
      </c>
      <c r="BH102" s="178">
        <f ca="1">IF(Q102&lt;&gt;0,BA102/Q102,0)</f>
        <v>0</v>
      </c>
      <c r="BI102" s="182">
        <f ca="1">IF(T102&lt;&gt;0,BD102/T102,0)</f>
        <v>0</v>
      </c>
      <c r="BJ102" s="194">
        <f t="shared" ref="BJ102:BJ106" ca="1" si="699">IF(BA102&lt;&gt;0,Q102/BA102,0)</f>
        <v>0</v>
      </c>
      <c r="BK102" s="50">
        <f t="shared" ref="BK102:BK106" ca="1" si="700">IF(BD102&lt;&gt;0,T102/BD102,0)</f>
        <v>0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0</v>
      </c>
      <c r="BR102" s="225">
        <f t="shared" si="617"/>
        <v>0</v>
      </c>
      <c r="BS102" s="229">
        <f t="shared" ca="1" si="617"/>
        <v>0</v>
      </c>
      <c r="BT102" s="232">
        <f t="shared" ref="BT102:BU106" si="701">IFERROR(VLOOKUP($B102 &amp; $C102&amp;BT$4,tblForecast,BT$2,FALSE),0)</f>
        <v>0</v>
      </c>
      <c r="BU102" s="229">
        <f t="shared" si="701"/>
        <v>0</v>
      </c>
      <c r="BV102" s="229">
        <f>IF($A102="a",IFERROR(VLOOKUP($B102 &amp; $C102&amp;BV$4,tblForecast,BV$2,FALSE),0),BT102+BU102)</f>
        <v>0</v>
      </c>
      <c r="BW102" s="229">
        <f t="shared" ref="BW102:BX106" si="702">IFERROR(VLOOKUP($B102 &amp; $C102&amp;BW$4,tblForecast,BW$2,FALSE),0)</f>
        <v>0</v>
      </c>
      <c r="BX102" s="229">
        <f t="shared" si="702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472"/>
        <v>0</v>
      </c>
      <c r="CA102" s="330">
        <f t="shared" ref="CA102:CB106" si="703">IFERROR(VLOOKUP($B102 &amp; $C102&amp;CA$4,tblForecast,CA$2,FALSE),0)</f>
        <v>0</v>
      </c>
      <c r="CB102" s="46">
        <f t="shared" si="703"/>
        <v>0</v>
      </c>
      <c r="CC102" s="46">
        <f>IF($A102="a",IFERROR(VLOOKUP($B102 &amp; $C102&amp;CC$4,tblForecast,CC$2,FALSE),0),CA102+CB102)</f>
        <v>0</v>
      </c>
      <c r="CD102" s="46">
        <f t="shared" ref="CD102:CE106" si="704">IFERROR(VLOOKUP($B102 &amp; $C102&amp;CD$4,tblForecast,CD$2,FALSE),0)</f>
        <v>0</v>
      </c>
      <c r="CE102" s="46">
        <f t="shared" si="704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473"/>
        <v>0</v>
      </c>
      <c r="CH102" s="330">
        <f t="shared" ref="CH102:CI106" si="705">IFERROR(VLOOKUP($B102 &amp; $C102&amp;CH$4,tblForecast,CH$2,FALSE),0)</f>
        <v>0</v>
      </c>
      <c r="CI102" s="46">
        <f t="shared" si="705"/>
        <v>0</v>
      </c>
      <c r="CJ102" s="46">
        <f>IF($A102="a",IFERROR(VLOOKUP($B102 &amp; $C102&amp;CJ$4,tblForecast,CJ$2,FALSE),0),CH102+CI102)</f>
        <v>0</v>
      </c>
      <c r="CK102" s="46">
        <f t="shared" ref="CK102:CL106" si="706">IFERROR(VLOOKUP($B102 &amp; $C102&amp;CK$4,tblForecast,CK$2,FALSE),0)</f>
        <v>0</v>
      </c>
      <c r="CL102" s="46">
        <f t="shared" si="706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474"/>
        <v>0</v>
      </c>
      <c r="CO102" s="177">
        <f t="shared" si="670"/>
        <v>0</v>
      </c>
      <c r="CP102" s="221">
        <f t="shared" ca="1" si="670"/>
        <v>0</v>
      </c>
      <c r="CQ102" s="193">
        <f t="shared" ca="1" si="475"/>
        <v>0</v>
      </c>
      <c r="CR102" s="177">
        <f t="shared" si="671"/>
        <v>0</v>
      </c>
      <c r="CS102" s="221">
        <f t="shared" ca="1" si="671"/>
        <v>0</v>
      </c>
      <c r="CT102" s="193">
        <f t="shared" ca="1" si="517"/>
        <v>0</v>
      </c>
      <c r="CU102" s="44">
        <f t="shared" si="310"/>
        <v>0</v>
      </c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672"/>
        <v>0</v>
      </c>
      <c r="CZ102" s="276">
        <f>IFERROR(VLOOKUP(Brand&amp;Channel&amp;Country&amp;$C102,tblDiscount,6,FALSE),0)</f>
        <v>0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478</v>
      </c>
      <c r="B103" s="44">
        <v>2019</v>
      </c>
      <c r="C103" s="88">
        <f>C102+1</f>
        <v>19</v>
      </c>
      <c r="D103" s="51">
        <f t="shared" ref="D103:D106" si="707">G103*H103</f>
        <v>0</v>
      </c>
      <c r="E103" s="201">
        <f t="shared" ref="E103:E106" si="708">IFERROR(D103*F103,0)</f>
        <v>0</v>
      </c>
      <c r="F103" s="181">
        <f t="shared" si="481"/>
        <v>0</v>
      </c>
      <c r="G103" s="175">
        <f t="shared" si="689"/>
        <v>0</v>
      </c>
      <c r="H103" s="202">
        <f t="shared" si="689"/>
        <v>0</v>
      </c>
      <c r="I103" s="202">
        <f t="shared" si="689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690"/>
        <v>0</v>
      </c>
      <c r="N103" s="46">
        <f t="shared" si="690"/>
        <v>0</v>
      </c>
      <c r="O103" s="46">
        <f t="shared" ca="1" si="690"/>
        <v>0</v>
      </c>
      <c r="P103" s="47">
        <f t="shared" ca="1" si="476"/>
        <v>0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691"/>
        <v>0</v>
      </c>
      <c r="T103" s="238">
        <f ca="1">SUMIFS(OFFSET(tblForecast,,T$2,,1),OFFSET(tblForecast,,,,1),$B103-IF(CompareVer="LY",1,0)&amp; $C103 &amp;T$4)</f>
        <v>0</v>
      </c>
      <c r="U103" s="91">
        <f t="shared" ca="1" si="467"/>
        <v>0</v>
      </c>
      <c r="V103" s="247">
        <f t="shared" ref="V103:V106" ca="1" si="709">IFERROR(IF(Q102&lt;&gt;0,Q103/Q102,0),0)</f>
        <v>0</v>
      </c>
      <c r="W103" s="327">
        <f ca="1">IFERROR(IF(R102&lt;&gt;0,R103/R102,X103),0)</f>
        <v>0</v>
      </c>
      <c r="X103" s="248">
        <f t="shared" ref="X103:X106" ca="1" si="710">IFERROR(IF(T102&lt;&gt;0,T103/T102,0),0)</f>
        <v>0</v>
      </c>
      <c r="Y103" s="51">
        <f t="shared" ca="1" si="692"/>
        <v>0</v>
      </c>
      <c r="Z103" s="46">
        <f t="shared" si="692"/>
        <v>0</v>
      </c>
      <c r="AA103" s="46">
        <f t="shared" si="692"/>
        <v>0</v>
      </c>
      <c r="AB103" s="46">
        <f t="shared" ca="1" si="692"/>
        <v>0</v>
      </c>
      <c r="AC103" s="91">
        <f t="shared" ca="1" si="468"/>
        <v>0</v>
      </c>
      <c r="AD103" s="75">
        <f ca="1">IF(AM103&lt;&gt;0,1-AR103/AM103,0)</f>
        <v>0</v>
      </c>
      <c r="AE103" s="93">
        <f t="shared" si="693"/>
        <v>0</v>
      </c>
      <c r="AF103" s="93">
        <f t="shared" si="693"/>
        <v>0</v>
      </c>
      <c r="AG103" s="76">
        <f t="shared" ca="1" si="693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694"/>
        <v>0</v>
      </c>
      <c r="AJ103" s="94">
        <f t="shared" si="694"/>
        <v>0</v>
      </c>
      <c r="AK103" s="49">
        <f ca="1">IFERROR(CF103/BY103,0)</f>
        <v>0</v>
      </c>
      <c r="AL103" s="47">
        <f t="shared" ca="1" si="644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695"/>
        <v>0</v>
      </c>
      <c r="AO103" s="94">
        <f t="shared" si="695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469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696"/>
        <v>0</v>
      </c>
      <c r="AT103" s="94">
        <f t="shared" si="696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470"/>
        <v>0</v>
      </c>
      <c r="AW103" s="190">
        <f t="shared" ca="1" si="697"/>
        <v>0</v>
      </c>
      <c r="AX103" s="191">
        <f t="shared" si="697"/>
        <v>0</v>
      </c>
      <c r="AY103" s="191">
        <f t="shared" si="697"/>
        <v>0</v>
      </c>
      <c r="AZ103" s="191">
        <f t="shared" ca="1" si="697"/>
        <v>0</v>
      </c>
      <c r="BA103" s="233">
        <f ca="1">IF(BA102+BV103+BL103+BR103-Q103&lt;0,0,BA102+BV103+BL103+BR103-Q103)</f>
        <v>0</v>
      </c>
      <c r="BB103" s="229">
        <f ca="1">IF(IFERROR(VLOOKUP($B103 &amp; $C103&amp;BB$4,tblForecast,BB$2,FALSE),0)=0,BA103,IFERROR(VLOOKUP($B103 &amp; $C103&amp;BB$4,tblForecast,BB$2,FALSE),0))</f>
        <v>0</v>
      </c>
      <c r="BC103" s="229">
        <f ca="1">SUMIFS(OFFSET(tblForecast,,BC$2,,1),OFFSET(tblForecast,,,,1),$B103-IF(CompareVer="LY",1,0)&amp; $C103 &amp;BC$4)</f>
        <v>0</v>
      </c>
      <c r="BD103" s="229">
        <f t="shared" ca="1" si="698"/>
        <v>0</v>
      </c>
      <c r="BE103" s="193">
        <f t="shared" ca="1" si="471"/>
        <v>0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0</v>
      </c>
      <c r="BH103" s="178">
        <f ca="1">IF(Q103&lt;&gt;0,BA103/Q103,0)</f>
        <v>0</v>
      </c>
      <c r="BI103" s="182">
        <f ca="1">IF(T103&lt;&gt;0,BD103/T103,0)</f>
        <v>0</v>
      </c>
      <c r="BJ103" s="194">
        <f t="shared" ca="1" si="699"/>
        <v>0</v>
      </c>
      <c r="BK103" s="50">
        <f t="shared" ca="1" si="700"/>
        <v>0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0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0</v>
      </c>
      <c r="BR103" s="225">
        <f t="shared" si="617"/>
        <v>0</v>
      </c>
      <c r="BS103" s="229">
        <f t="shared" ca="1" si="617"/>
        <v>0</v>
      </c>
      <c r="BT103" s="232">
        <f t="shared" si="701"/>
        <v>0</v>
      </c>
      <c r="BU103" s="229">
        <f t="shared" si="701"/>
        <v>0</v>
      </c>
      <c r="BV103" s="229">
        <f>IF($A103="a",IFERROR(VLOOKUP($B103 &amp; $C103&amp;BV$4,tblForecast,BV$2,FALSE),0),BT103+BU103)</f>
        <v>0</v>
      </c>
      <c r="BW103" s="229">
        <f t="shared" si="702"/>
        <v>0</v>
      </c>
      <c r="BX103" s="229">
        <f t="shared" si="702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472"/>
        <v>0</v>
      </c>
      <c r="CA103" s="330">
        <f t="shared" si="703"/>
        <v>0</v>
      </c>
      <c r="CB103" s="46">
        <f t="shared" si="703"/>
        <v>0</v>
      </c>
      <c r="CC103" s="46">
        <f>IF($A103="a",IFERROR(VLOOKUP($B103 &amp; $C103&amp;CC$4,tblForecast,CC$2,FALSE),0),CA103+CB103)</f>
        <v>0</v>
      </c>
      <c r="CD103" s="46">
        <f t="shared" si="704"/>
        <v>0</v>
      </c>
      <c r="CE103" s="46">
        <f t="shared" si="704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473"/>
        <v>0</v>
      </c>
      <c r="CH103" s="330">
        <f t="shared" si="705"/>
        <v>0</v>
      </c>
      <c r="CI103" s="46">
        <f t="shared" si="705"/>
        <v>0</v>
      </c>
      <c r="CJ103" s="46">
        <f>IF($A103="a",IFERROR(VLOOKUP($B103 &amp; $C103&amp;CJ$4,tblForecast,CJ$2,FALSE),0),CH103+CI103)</f>
        <v>0</v>
      </c>
      <c r="CK103" s="46">
        <f t="shared" si="706"/>
        <v>0</v>
      </c>
      <c r="CL103" s="46">
        <f t="shared" si="706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474"/>
        <v>0</v>
      </c>
      <c r="CO103" s="177">
        <f t="shared" si="670"/>
        <v>0</v>
      </c>
      <c r="CP103" s="221">
        <f t="shared" ca="1" si="670"/>
        <v>0</v>
      </c>
      <c r="CQ103" s="193">
        <f t="shared" ca="1" si="475"/>
        <v>0</v>
      </c>
      <c r="CR103" s="177">
        <f t="shared" si="671"/>
        <v>0</v>
      </c>
      <c r="CS103" s="221">
        <f t="shared" ca="1" si="671"/>
        <v>0</v>
      </c>
      <c r="CT103" s="193">
        <f t="shared" ca="1" si="517"/>
        <v>0</v>
      </c>
      <c r="CU103" s="44">
        <f t="shared" si="310"/>
        <v>0</v>
      </c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672"/>
        <v>0</v>
      </c>
      <c r="CZ103" s="276">
        <f>IFERROR(VLOOKUP(Brand&amp;Channel&amp;Country&amp;$C103,tblDiscount,6,FALSE),0)</f>
        <v>0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478</v>
      </c>
      <c r="B104" s="44">
        <v>2019</v>
      </c>
      <c r="C104" s="88">
        <f t="shared" ref="C104:C106" si="711">C103+1</f>
        <v>20</v>
      </c>
      <c r="D104" s="51">
        <f t="shared" si="707"/>
        <v>0</v>
      </c>
      <c r="E104" s="201">
        <f t="shared" si="708"/>
        <v>0</v>
      </c>
      <c r="F104" s="181">
        <f t="shared" si="481"/>
        <v>0</v>
      </c>
      <c r="G104" s="175">
        <f t="shared" si="689"/>
        <v>0</v>
      </c>
      <c r="H104" s="202">
        <f t="shared" si="689"/>
        <v>0</v>
      </c>
      <c r="I104" s="202">
        <f t="shared" si="689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690"/>
        <v>0</v>
      </c>
      <c r="N104" s="46">
        <f t="shared" si="690"/>
        <v>0</v>
      </c>
      <c r="O104" s="46">
        <f t="shared" ca="1" si="690"/>
        <v>0</v>
      </c>
      <c r="P104" s="47">
        <f t="shared" ca="1" si="476"/>
        <v>0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691"/>
        <v>0</v>
      </c>
      <c r="T104" s="238">
        <f ca="1">SUMIFS(OFFSET(tblForecast,,T$2,,1),OFFSET(tblForecast,,,,1),$B104-IF(CompareVer="LY",1,0)&amp; $C104 &amp;T$4)</f>
        <v>0</v>
      </c>
      <c r="U104" s="91">
        <f t="shared" ca="1" si="467"/>
        <v>0</v>
      </c>
      <c r="V104" s="247">
        <f t="shared" ca="1" si="709"/>
        <v>0</v>
      </c>
      <c r="W104" s="327">
        <f ca="1">IFERROR(IF(R103&lt;&gt;0,R104/R103,X104),0)</f>
        <v>0</v>
      </c>
      <c r="X104" s="248">
        <f t="shared" ca="1" si="710"/>
        <v>0</v>
      </c>
      <c r="Y104" s="51">
        <f t="shared" ca="1" si="692"/>
        <v>0</v>
      </c>
      <c r="Z104" s="46">
        <f t="shared" si="692"/>
        <v>0</v>
      </c>
      <c r="AA104" s="46">
        <f t="shared" si="692"/>
        <v>0</v>
      </c>
      <c r="AB104" s="46">
        <f t="shared" ca="1" si="692"/>
        <v>0</v>
      </c>
      <c r="AC104" s="91">
        <f t="shared" ca="1" si="468"/>
        <v>0</v>
      </c>
      <c r="AD104" s="75">
        <f ca="1">IF(AM104&lt;&gt;0,1-AR104/AM104,0)</f>
        <v>0</v>
      </c>
      <c r="AE104" s="93">
        <f t="shared" si="693"/>
        <v>0</v>
      </c>
      <c r="AF104" s="93">
        <f t="shared" si="693"/>
        <v>0</v>
      </c>
      <c r="AG104" s="76">
        <f t="shared" ca="1" si="693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694"/>
        <v>0</v>
      </c>
      <c r="AJ104" s="94">
        <f t="shared" si="694"/>
        <v>0</v>
      </c>
      <c r="AK104" s="49">
        <f ca="1">IFERROR(CF104/BY104,0)</f>
        <v>0</v>
      </c>
      <c r="AL104" s="47">
        <f t="shared" ca="1" si="644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695"/>
        <v>0</v>
      </c>
      <c r="AO104" s="94">
        <f t="shared" si="695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469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696"/>
        <v>0</v>
      </c>
      <c r="AT104" s="94">
        <f t="shared" si="696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470"/>
        <v>0</v>
      </c>
      <c r="AW104" s="190">
        <f t="shared" ca="1" si="697"/>
        <v>0</v>
      </c>
      <c r="AX104" s="191">
        <f t="shared" si="697"/>
        <v>0</v>
      </c>
      <c r="AY104" s="191">
        <f t="shared" si="697"/>
        <v>0</v>
      </c>
      <c r="AZ104" s="191">
        <f t="shared" ca="1" si="697"/>
        <v>0</v>
      </c>
      <c r="BA104" s="233">
        <f ca="1">IF(BA103+BV104+BL104+BR104-Q104&lt;0,0,BA103+BV104+BL104+BR104-Q104)</f>
        <v>0</v>
      </c>
      <c r="BB104" s="229">
        <f ca="1">IF(IFERROR(VLOOKUP($B104 &amp; $C104&amp;BB$4,tblForecast,BB$2,FALSE),0)=0,BA104,IFERROR(VLOOKUP($B104 &amp; $C104&amp;BB$4,tblForecast,BB$2,FALSE),0))</f>
        <v>0</v>
      </c>
      <c r="BC104" s="229">
        <f ca="1">SUMIFS(OFFSET(tblForecast,,BC$2,,1),OFFSET(tblForecast,,,,1),$B104-IF(CompareVer="LY",1,0)&amp; $C104 &amp;BC$4)</f>
        <v>0</v>
      </c>
      <c r="BD104" s="229">
        <f t="shared" ca="1" si="698"/>
        <v>0</v>
      </c>
      <c r="BE104" s="193">
        <f t="shared" ca="1" si="471"/>
        <v>0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0</v>
      </c>
      <c r="BH104" s="178">
        <f ca="1">IF(Q104&lt;&gt;0,BA104/Q104,0)</f>
        <v>0</v>
      </c>
      <c r="BI104" s="182">
        <f ca="1">IF(T104&lt;&gt;0,BD104/T104,0)</f>
        <v>0</v>
      </c>
      <c r="BJ104" s="194">
        <f t="shared" ca="1" si="699"/>
        <v>0</v>
      </c>
      <c r="BK104" s="50">
        <f t="shared" ca="1" si="700"/>
        <v>0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0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0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0</v>
      </c>
      <c r="BR104" s="225">
        <f t="shared" si="617"/>
        <v>0</v>
      </c>
      <c r="BS104" s="229">
        <f t="shared" ca="1" si="617"/>
        <v>0</v>
      </c>
      <c r="BT104" s="232">
        <f t="shared" si="701"/>
        <v>0</v>
      </c>
      <c r="BU104" s="229">
        <f t="shared" si="701"/>
        <v>0</v>
      </c>
      <c r="BV104" s="229">
        <f>IF($A104="a",IFERROR(VLOOKUP($B104 &amp; $C104&amp;BV$4,tblForecast,BV$2,FALSE),0),BT104+BU104)</f>
        <v>0</v>
      </c>
      <c r="BW104" s="229">
        <f t="shared" si="702"/>
        <v>0</v>
      </c>
      <c r="BX104" s="229">
        <f t="shared" si="702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472"/>
        <v>0</v>
      </c>
      <c r="CA104" s="330">
        <f t="shared" si="703"/>
        <v>0</v>
      </c>
      <c r="CB104" s="46">
        <f t="shared" si="703"/>
        <v>0</v>
      </c>
      <c r="CC104" s="46">
        <f>IF($A104="a",IFERROR(VLOOKUP($B104 &amp; $C104&amp;CC$4,tblForecast,CC$2,FALSE),0),CA104+CB104)</f>
        <v>0</v>
      </c>
      <c r="CD104" s="46">
        <f t="shared" si="704"/>
        <v>0</v>
      </c>
      <c r="CE104" s="46">
        <f t="shared" si="704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473"/>
        <v>0</v>
      </c>
      <c r="CH104" s="330">
        <f t="shared" si="705"/>
        <v>0</v>
      </c>
      <c r="CI104" s="46">
        <f t="shared" si="705"/>
        <v>0</v>
      </c>
      <c r="CJ104" s="46">
        <f>IF($A104="a",IFERROR(VLOOKUP($B104 &amp; $C104&amp;CJ$4,tblForecast,CJ$2,FALSE),0),CH104+CI104)</f>
        <v>0</v>
      </c>
      <c r="CK104" s="46">
        <f t="shared" si="706"/>
        <v>0</v>
      </c>
      <c r="CL104" s="46">
        <f t="shared" si="706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474"/>
        <v>0</v>
      </c>
      <c r="CO104" s="177">
        <f t="shared" si="670"/>
        <v>0</v>
      </c>
      <c r="CP104" s="221">
        <f t="shared" ca="1" si="670"/>
        <v>0</v>
      </c>
      <c r="CQ104" s="193">
        <f t="shared" ca="1" si="475"/>
        <v>0</v>
      </c>
      <c r="CR104" s="177">
        <f t="shared" si="671"/>
        <v>0</v>
      </c>
      <c r="CS104" s="221">
        <f t="shared" ca="1" si="671"/>
        <v>0</v>
      </c>
      <c r="CT104" s="193">
        <f t="shared" ca="1" si="517"/>
        <v>0</v>
      </c>
      <c r="CU104" s="44">
        <f t="shared" si="310"/>
        <v>0</v>
      </c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672"/>
        <v>0</v>
      </c>
      <c r="CZ104" s="276">
        <f>IFERROR(VLOOKUP(Brand&amp;Channel&amp;Country&amp;$C104,tblDiscount,6,FALSE),0)</f>
        <v>0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478</v>
      </c>
      <c r="B105" s="44">
        <v>2019</v>
      </c>
      <c r="C105" s="88">
        <f t="shared" si="711"/>
        <v>21</v>
      </c>
      <c r="D105" s="51">
        <f t="shared" si="707"/>
        <v>0</v>
      </c>
      <c r="E105" s="201">
        <f t="shared" si="708"/>
        <v>0</v>
      </c>
      <c r="F105" s="181">
        <f t="shared" si="481"/>
        <v>0</v>
      </c>
      <c r="G105" s="175">
        <f t="shared" si="689"/>
        <v>0</v>
      </c>
      <c r="H105" s="202">
        <f t="shared" si="689"/>
        <v>0</v>
      </c>
      <c r="I105" s="202">
        <f t="shared" si="689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690"/>
        <v>0</v>
      </c>
      <c r="N105" s="46">
        <f t="shared" si="690"/>
        <v>0</v>
      </c>
      <c r="O105" s="46">
        <f t="shared" ca="1" si="690"/>
        <v>0</v>
      </c>
      <c r="P105" s="47">
        <f t="shared" ca="1" si="476"/>
        <v>0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691"/>
        <v>0</v>
      </c>
      <c r="T105" s="238">
        <f ca="1">SUMIFS(OFFSET(tblForecast,,T$2,,1),OFFSET(tblForecast,,,,1),$B105-IF(CompareVer="LY",1,0)&amp; $C105 &amp;T$4)</f>
        <v>0</v>
      </c>
      <c r="U105" s="91">
        <f t="shared" ca="1" si="467"/>
        <v>0</v>
      </c>
      <c r="V105" s="247">
        <f t="shared" ca="1" si="709"/>
        <v>0</v>
      </c>
      <c r="W105" s="327">
        <f ca="1">IFERROR(IF(R104&lt;&gt;0,R105/R104,X105),0)</f>
        <v>0</v>
      </c>
      <c r="X105" s="248">
        <f t="shared" ca="1" si="710"/>
        <v>0</v>
      </c>
      <c r="Y105" s="51">
        <f t="shared" ca="1" si="692"/>
        <v>0</v>
      </c>
      <c r="Z105" s="46">
        <f t="shared" si="692"/>
        <v>0</v>
      </c>
      <c r="AA105" s="46">
        <f t="shared" si="692"/>
        <v>0</v>
      </c>
      <c r="AB105" s="46">
        <f t="shared" ca="1" si="692"/>
        <v>0</v>
      </c>
      <c r="AC105" s="91">
        <f t="shared" ca="1" si="468"/>
        <v>0</v>
      </c>
      <c r="AD105" s="75">
        <f ca="1">IF(AM105&lt;&gt;0,1-AR105/AM105,0)</f>
        <v>0</v>
      </c>
      <c r="AE105" s="93">
        <f t="shared" si="693"/>
        <v>0</v>
      </c>
      <c r="AF105" s="93">
        <f t="shared" si="693"/>
        <v>0</v>
      </c>
      <c r="AG105" s="76">
        <f t="shared" ca="1" si="693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694"/>
        <v>0</v>
      </c>
      <c r="AJ105" s="94">
        <f t="shared" si="694"/>
        <v>0</v>
      </c>
      <c r="AK105" s="49">
        <f ca="1">IFERROR(CF105/BY105,0)</f>
        <v>0</v>
      </c>
      <c r="AL105" s="47">
        <f t="shared" ca="1" si="644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695"/>
        <v>0</v>
      </c>
      <c r="AO105" s="94">
        <f t="shared" si="695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469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696"/>
        <v>0</v>
      </c>
      <c r="AT105" s="94">
        <f t="shared" si="696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470"/>
        <v>0</v>
      </c>
      <c r="AW105" s="190">
        <f t="shared" ca="1" si="697"/>
        <v>0</v>
      </c>
      <c r="AX105" s="191">
        <f t="shared" si="697"/>
        <v>0</v>
      </c>
      <c r="AY105" s="191">
        <f t="shared" si="697"/>
        <v>0</v>
      </c>
      <c r="AZ105" s="191">
        <f t="shared" ca="1" si="697"/>
        <v>0</v>
      </c>
      <c r="BA105" s="233">
        <f ca="1">IF(BA104+BV105+BL105+BR105-Q105&lt;0,0,BA104+BV105+BL105+BR105-Q105)</f>
        <v>0</v>
      </c>
      <c r="BB105" s="229">
        <f ca="1">IF(IFERROR(VLOOKUP($B105 &amp; $C105&amp;BB$4,tblForecast,BB$2,FALSE),0)=0,BA105,IFERROR(VLOOKUP($B105 &amp; $C105&amp;BB$4,tblForecast,BB$2,FALSE),0))</f>
        <v>0</v>
      </c>
      <c r="BC105" s="229">
        <f ca="1">SUMIFS(OFFSET(tblForecast,,BC$2,,1),OFFSET(tblForecast,,,,1),$B105-IF(CompareVer="LY",1,0)&amp; $C105 &amp;BC$4)</f>
        <v>0</v>
      </c>
      <c r="BD105" s="229">
        <f t="shared" ca="1" si="698"/>
        <v>0</v>
      </c>
      <c r="BE105" s="193">
        <f t="shared" ca="1" si="471"/>
        <v>0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0</v>
      </c>
      <c r="BH105" s="178">
        <f ca="1">IF(Q105&lt;&gt;0,BA105/Q105,0)</f>
        <v>0</v>
      </c>
      <c r="BI105" s="182">
        <f ca="1">IF(T105&lt;&gt;0,BD105/T105,0)</f>
        <v>0</v>
      </c>
      <c r="BJ105" s="194">
        <f t="shared" ca="1" si="699"/>
        <v>0</v>
      </c>
      <c r="BK105" s="50">
        <f t="shared" ca="1" si="700"/>
        <v>0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0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0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0</v>
      </c>
      <c r="BR105" s="225">
        <f t="shared" si="617"/>
        <v>0</v>
      </c>
      <c r="BS105" s="229">
        <f t="shared" ca="1" si="617"/>
        <v>0</v>
      </c>
      <c r="BT105" s="232">
        <f t="shared" si="701"/>
        <v>0</v>
      </c>
      <c r="BU105" s="229">
        <f t="shared" si="701"/>
        <v>0</v>
      </c>
      <c r="BV105" s="229">
        <f>IF($A105="a",IFERROR(VLOOKUP($B105 &amp; $C105&amp;BV$4,tblForecast,BV$2,FALSE),0),BT105+BU105)</f>
        <v>0</v>
      </c>
      <c r="BW105" s="229">
        <f t="shared" si="702"/>
        <v>0</v>
      </c>
      <c r="BX105" s="229">
        <f t="shared" si="702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472"/>
        <v>0</v>
      </c>
      <c r="CA105" s="330">
        <f t="shared" si="703"/>
        <v>0</v>
      </c>
      <c r="CB105" s="46">
        <f t="shared" si="703"/>
        <v>0</v>
      </c>
      <c r="CC105" s="46">
        <f>IF($A105="a",IFERROR(VLOOKUP($B105 &amp; $C105&amp;CC$4,tblForecast,CC$2,FALSE),0),CA105+CB105)</f>
        <v>0</v>
      </c>
      <c r="CD105" s="46">
        <f t="shared" si="704"/>
        <v>0</v>
      </c>
      <c r="CE105" s="46">
        <f t="shared" si="704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473"/>
        <v>0</v>
      </c>
      <c r="CH105" s="330">
        <f t="shared" si="705"/>
        <v>0</v>
      </c>
      <c r="CI105" s="46">
        <f t="shared" si="705"/>
        <v>0</v>
      </c>
      <c r="CJ105" s="46">
        <f>IF($A105="a",IFERROR(VLOOKUP($B105 &amp; $C105&amp;CJ$4,tblForecast,CJ$2,FALSE),0),CH105+CI105)</f>
        <v>0</v>
      </c>
      <c r="CK105" s="46">
        <f t="shared" si="706"/>
        <v>0</v>
      </c>
      <c r="CL105" s="46">
        <f t="shared" si="706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474"/>
        <v>0</v>
      </c>
      <c r="CO105" s="177">
        <f t="shared" si="670"/>
        <v>0</v>
      </c>
      <c r="CP105" s="221">
        <f t="shared" ca="1" si="670"/>
        <v>0</v>
      </c>
      <c r="CQ105" s="193">
        <f t="shared" ca="1" si="475"/>
        <v>0</v>
      </c>
      <c r="CR105" s="177">
        <f t="shared" si="671"/>
        <v>0</v>
      </c>
      <c r="CS105" s="221">
        <f t="shared" ca="1" si="671"/>
        <v>0</v>
      </c>
      <c r="CT105" s="193">
        <f t="shared" ca="1" si="517"/>
        <v>0</v>
      </c>
      <c r="CU105" s="44">
        <f t="shared" si="310"/>
        <v>0</v>
      </c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672"/>
        <v>0</v>
      </c>
      <c r="CZ105" s="276">
        <f>IFERROR(VLOOKUP(Brand&amp;Channel&amp;Country&amp;$C105,tblDiscount,6,FALSE),0)</f>
        <v>0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478</v>
      </c>
      <c r="B106" s="44">
        <v>2019</v>
      </c>
      <c r="C106" s="88">
        <f t="shared" si="711"/>
        <v>22</v>
      </c>
      <c r="D106" s="51">
        <f t="shared" si="707"/>
        <v>0</v>
      </c>
      <c r="E106" s="201">
        <f t="shared" si="708"/>
        <v>0</v>
      </c>
      <c r="F106" s="181">
        <f t="shared" si="481"/>
        <v>0</v>
      </c>
      <c r="G106" s="175">
        <f t="shared" si="689"/>
        <v>0</v>
      </c>
      <c r="H106" s="202">
        <f t="shared" si="689"/>
        <v>0</v>
      </c>
      <c r="I106" s="202">
        <f t="shared" si="689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690"/>
        <v>0</v>
      </c>
      <c r="N106" s="46">
        <f t="shared" si="690"/>
        <v>0</v>
      </c>
      <c r="O106" s="46">
        <f t="shared" ca="1" si="690"/>
        <v>0</v>
      </c>
      <c r="P106" s="47">
        <f t="shared" ca="1" si="476"/>
        <v>0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691"/>
        <v>0</v>
      </c>
      <c r="T106" s="238">
        <f ca="1">SUMIFS(OFFSET(tblForecast,,T$2,,1),OFFSET(tblForecast,,,,1),$B106-IF(CompareVer="LY",1,0)&amp; $C106 &amp;T$4)</f>
        <v>0</v>
      </c>
      <c r="U106" s="91">
        <f t="shared" ca="1" si="467"/>
        <v>0</v>
      </c>
      <c r="V106" s="247">
        <f t="shared" ca="1" si="709"/>
        <v>0</v>
      </c>
      <c r="W106" s="327">
        <f ca="1">IFERROR(IF(R105&lt;&gt;0,R106/R105,X106),0)</f>
        <v>0</v>
      </c>
      <c r="X106" s="248">
        <f t="shared" ca="1" si="710"/>
        <v>0</v>
      </c>
      <c r="Y106" s="51">
        <f t="shared" ca="1" si="692"/>
        <v>0</v>
      </c>
      <c r="Z106" s="46">
        <f t="shared" si="692"/>
        <v>0</v>
      </c>
      <c r="AA106" s="46">
        <f t="shared" si="692"/>
        <v>0</v>
      </c>
      <c r="AB106" s="46">
        <f t="shared" ca="1" si="692"/>
        <v>0</v>
      </c>
      <c r="AC106" s="91">
        <f t="shared" ca="1" si="468"/>
        <v>0</v>
      </c>
      <c r="AD106" s="75">
        <f ca="1">IF(AM106&lt;&gt;0,1-AR106/AM106,0)</f>
        <v>0</v>
      </c>
      <c r="AE106" s="93">
        <f t="shared" si="693"/>
        <v>0</v>
      </c>
      <c r="AF106" s="93">
        <f t="shared" si="693"/>
        <v>0</v>
      </c>
      <c r="AG106" s="76">
        <f t="shared" ca="1" si="693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694"/>
        <v>0</v>
      </c>
      <c r="AJ106" s="94">
        <f t="shared" si="694"/>
        <v>0</v>
      </c>
      <c r="AK106" s="49">
        <f ca="1">IFERROR(CF106/BY106,0)</f>
        <v>0</v>
      </c>
      <c r="AL106" s="47">
        <f t="shared" ca="1" si="644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695"/>
        <v>0</v>
      </c>
      <c r="AO106" s="94">
        <f t="shared" si="695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469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696"/>
        <v>0</v>
      </c>
      <c r="AT106" s="94">
        <f t="shared" si="696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470"/>
        <v>0</v>
      </c>
      <c r="AW106" s="190">
        <f t="shared" ca="1" si="697"/>
        <v>0</v>
      </c>
      <c r="AX106" s="191">
        <f t="shared" si="697"/>
        <v>0</v>
      </c>
      <c r="AY106" s="191">
        <f t="shared" si="697"/>
        <v>0</v>
      </c>
      <c r="AZ106" s="191">
        <f t="shared" ca="1" si="697"/>
        <v>0</v>
      </c>
      <c r="BA106" s="233">
        <f ca="1">IF(BA105+BV106+BL106+BR106-Q106&lt;0,0,BA105+BV106+BL106+BR106-Q106)</f>
        <v>0</v>
      </c>
      <c r="BB106" s="229">
        <f ca="1">IF(IFERROR(VLOOKUP($B106 &amp; $C106&amp;BB$4,tblForecast,BB$2,FALSE),0)=0,BA106,IFERROR(VLOOKUP($B106 &amp; $C106&amp;BB$4,tblForecast,BB$2,FALSE),0))</f>
        <v>0</v>
      </c>
      <c r="BC106" s="229">
        <f ca="1">SUMIFS(OFFSET(tblForecast,,BC$2,,1),OFFSET(tblForecast,,,,1),$B106-IF(CompareVer="LY",1,0)&amp; $C106 &amp;BC$4)</f>
        <v>0</v>
      </c>
      <c r="BD106" s="229">
        <f t="shared" ca="1" si="698"/>
        <v>0</v>
      </c>
      <c r="BE106" s="193">
        <f t="shared" ca="1" si="471"/>
        <v>0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0</v>
      </c>
      <c r="BH106" s="178">
        <f ca="1">IF(Q106&lt;&gt;0,BA106/Q106,0)</f>
        <v>0</v>
      </c>
      <c r="BI106" s="182">
        <f ca="1">IF(T106&lt;&gt;0,BD106/T106,0)</f>
        <v>0</v>
      </c>
      <c r="BJ106" s="194">
        <f t="shared" ca="1" si="699"/>
        <v>0</v>
      </c>
      <c r="BK106" s="50">
        <f t="shared" ca="1" si="700"/>
        <v>0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0</v>
      </c>
      <c r="BR106" s="225">
        <f t="shared" si="617"/>
        <v>0</v>
      </c>
      <c r="BS106" s="229">
        <f t="shared" ca="1" si="617"/>
        <v>0</v>
      </c>
      <c r="BT106" s="232">
        <f t="shared" si="701"/>
        <v>0</v>
      </c>
      <c r="BU106" s="229">
        <f t="shared" si="701"/>
        <v>0</v>
      </c>
      <c r="BV106" s="229">
        <f>IF($A106="a",IFERROR(VLOOKUP($B106 &amp; $C106&amp;BV$4,tblForecast,BV$2,FALSE),0),BT106+BU106)</f>
        <v>0</v>
      </c>
      <c r="BW106" s="229">
        <f t="shared" si="702"/>
        <v>0</v>
      </c>
      <c r="BX106" s="229">
        <f t="shared" si="702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472"/>
        <v>0</v>
      </c>
      <c r="CA106" s="330">
        <f t="shared" si="703"/>
        <v>0</v>
      </c>
      <c r="CB106" s="46">
        <f t="shared" si="703"/>
        <v>0</v>
      </c>
      <c r="CC106" s="46">
        <f>IF($A106="a",IFERROR(VLOOKUP($B106 &amp; $C106&amp;CC$4,tblForecast,CC$2,FALSE),0),CA106+CB106)</f>
        <v>0</v>
      </c>
      <c r="CD106" s="46">
        <f t="shared" si="704"/>
        <v>0</v>
      </c>
      <c r="CE106" s="46">
        <f t="shared" si="704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473"/>
        <v>0</v>
      </c>
      <c r="CH106" s="330">
        <f t="shared" si="705"/>
        <v>0</v>
      </c>
      <c r="CI106" s="46">
        <f t="shared" si="705"/>
        <v>0</v>
      </c>
      <c r="CJ106" s="46">
        <f>IF($A106="a",IFERROR(VLOOKUP($B106 &amp; $C106&amp;CJ$4,tblForecast,CJ$2,FALSE),0),CH106+CI106)</f>
        <v>0</v>
      </c>
      <c r="CK106" s="46">
        <f t="shared" si="706"/>
        <v>0</v>
      </c>
      <c r="CL106" s="46">
        <f t="shared" si="706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474"/>
        <v>0</v>
      </c>
      <c r="CO106" s="177">
        <f t="shared" si="670"/>
        <v>0</v>
      </c>
      <c r="CP106" s="221">
        <f t="shared" ca="1" si="670"/>
        <v>0</v>
      </c>
      <c r="CQ106" s="193">
        <f t="shared" ca="1" si="475"/>
        <v>0</v>
      </c>
      <c r="CR106" s="177">
        <f t="shared" si="671"/>
        <v>0</v>
      </c>
      <c r="CS106" s="221">
        <f t="shared" ca="1" si="671"/>
        <v>0</v>
      </c>
      <c r="CT106" s="193">
        <f t="shared" ca="1" si="517"/>
        <v>0</v>
      </c>
      <c r="CU106" s="44">
        <f t="shared" si="310"/>
        <v>0</v>
      </c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672"/>
        <v>0</v>
      </c>
      <c r="CZ106" s="276">
        <f>IFERROR(VLOOKUP(Brand&amp;Channel&amp;Country&amp;$C106,tblDiscount,6,FALSE),0)</f>
        <v>0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7" t="s">
        <v>466</v>
      </c>
      <c r="D107" s="348">
        <f>SUM(D102:D106)</f>
        <v>0</v>
      </c>
      <c r="E107" s="349">
        <f>SUM(E102:E106)</f>
        <v>0</v>
      </c>
      <c r="F107" s="350">
        <f t="shared" si="481"/>
        <v>0</v>
      </c>
      <c r="G107" s="351">
        <f>SUM(G102:G106)</f>
        <v>0</v>
      </c>
      <c r="H107" s="352">
        <f>IFERROR(D107/G107,0)</f>
        <v>0</v>
      </c>
      <c r="I107" s="352">
        <f>IFERROR(SUMPRODUCT(I102:I106,G102:G106)/G107,0)</f>
        <v>0</v>
      </c>
      <c r="J107" s="351">
        <f>SUM(J102:J106)</f>
        <v>0</v>
      </c>
      <c r="K107" s="353">
        <f>SUM(K102:K106)</f>
        <v>0</v>
      </c>
      <c r="L107" s="354">
        <f ca="1">SUM(L102:L106)</f>
        <v>0</v>
      </c>
      <c r="M107" s="354">
        <f t="shared" ref="M107:O107" si="712">SUM(M102:M106)</f>
        <v>0</v>
      </c>
      <c r="N107" s="354">
        <f t="shared" si="712"/>
        <v>0</v>
      </c>
      <c r="O107" s="354">
        <f t="shared" ca="1" si="712"/>
        <v>0</v>
      </c>
      <c r="P107" s="355">
        <f t="shared" ca="1" si="476"/>
        <v>0</v>
      </c>
      <c r="Q107" s="356">
        <f t="shared" ref="Q107:S107" ca="1" si="713">SUM(Q102:Q106)</f>
        <v>0</v>
      </c>
      <c r="R107" s="356">
        <f t="shared" si="713"/>
        <v>0</v>
      </c>
      <c r="S107" s="356">
        <f t="shared" si="713"/>
        <v>0</v>
      </c>
      <c r="T107" s="356">
        <f ca="1">SUM(T102:T106)</f>
        <v>0</v>
      </c>
      <c r="U107" s="355">
        <f t="shared" ca="1" si="467"/>
        <v>0</v>
      </c>
      <c r="V107" s="357">
        <f ca="1">V106</f>
        <v>0</v>
      </c>
      <c r="W107" s="358">
        <f ca="1">W106</f>
        <v>0</v>
      </c>
      <c r="X107" s="359">
        <f ca="1">X106</f>
        <v>0</v>
      </c>
      <c r="Y107" s="348">
        <f ca="1">SUM(Y102:Y106)</f>
        <v>0</v>
      </c>
      <c r="Z107" s="354">
        <f t="shared" ref="Z107:AB107" si="714">SUM(Z102:Z106)</f>
        <v>0</v>
      </c>
      <c r="AA107" s="354">
        <f t="shared" si="714"/>
        <v>0</v>
      </c>
      <c r="AB107" s="354">
        <f t="shared" ca="1" si="714"/>
        <v>0</v>
      </c>
      <c r="AC107" s="355">
        <f t="shared" ca="1" si="468"/>
        <v>0</v>
      </c>
      <c r="AD107" s="360">
        <f ca="1">IFERROR(Y107/L107,0)</f>
        <v>0</v>
      </c>
      <c r="AE107" s="361">
        <f>IFERROR(Z107/M107,0)</f>
        <v>0</v>
      </c>
      <c r="AF107" s="361">
        <f>IFERROR(AA107/N107,0)</f>
        <v>0</v>
      </c>
      <c r="AG107" s="361">
        <f ca="1">IFERROR(AB107/O107,0)</f>
        <v>0</v>
      </c>
      <c r="AH107" s="362">
        <f ca="1">IFERROR(SUMPRODUCT(AH102:AH106,Q102:Q106)/Q107,0)</f>
        <v>0</v>
      </c>
      <c r="AI107" s="363">
        <f>IFERROR(SUMPRODUCT(AI102:AI106,R102:R106)/R107,0)</f>
        <v>0</v>
      </c>
      <c r="AJ107" s="363">
        <f>IFERROR(SUMPRODUCT(AJ102:AJ106,S102:S106)/S107,0)</f>
        <v>0</v>
      </c>
      <c r="AK107" s="363">
        <f ca="1">IFERROR(SUMPRODUCT(AK102:AK106,T102:T106)/T107,0)</f>
        <v>0</v>
      </c>
      <c r="AL107" s="355">
        <f t="shared" ca="1" si="644"/>
        <v>0</v>
      </c>
      <c r="AM107" s="362">
        <f ca="1">IF(Q107&lt;&gt;0,L107/Q107,0)</f>
        <v>0</v>
      </c>
      <c r="AN107" s="363">
        <f>IF(R107&lt;&gt;0,M107/R107,0)</f>
        <v>0</v>
      </c>
      <c r="AO107" s="363">
        <f>IF(S107&lt;&gt;0,N107/S107,0)</f>
        <v>0</v>
      </c>
      <c r="AP107" s="363">
        <f ca="1">IF(T107&lt;&gt;0,O107/T107,0)</f>
        <v>0</v>
      </c>
      <c r="AQ107" s="355">
        <f t="shared" ca="1" si="469"/>
        <v>0</v>
      </c>
      <c r="AR107" s="362">
        <f ca="1">IFERROR((L107*(1-AD107))/Q107,0)</f>
        <v>0</v>
      </c>
      <c r="AS107" s="363">
        <f>IFERROR((M107*(1-AE107))/R107,0)</f>
        <v>0</v>
      </c>
      <c r="AT107" s="363">
        <f>IFERROR((N107*(1-AF107))/S107,0)</f>
        <v>0</v>
      </c>
      <c r="AU107" s="363">
        <f ca="1">IFERROR((O107*(1-AG107))/T107,0)</f>
        <v>0</v>
      </c>
      <c r="AV107" s="355">
        <f t="shared" ca="1" si="470"/>
        <v>0</v>
      </c>
      <c r="AW107" s="364">
        <f ca="1">IFERROR(SUMPRODUCT(AW102:AW106,V102:V106)/V107,0)</f>
        <v>0</v>
      </c>
      <c r="AX107" s="365">
        <f t="shared" ref="AX107:AZ107" ca="1" si="715">IFERROR(SUMPRODUCT(AX102:AX106,X102:X106)/X107,0)</f>
        <v>0</v>
      </c>
      <c r="AY107" s="365">
        <f t="shared" ca="1" si="715"/>
        <v>0</v>
      </c>
      <c r="AZ107" s="365">
        <f t="shared" ca="1" si="715"/>
        <v>0</v>
      </c>
      <c r="BA107" s="366">
        <f ca="1">BA106</f>
        <v>0</v>
      </c>
      <c r="BB107" s="356">
        <f t="shared" ref="BB107:BD107" ca="1" si="716">BB106</f>
        <v>0</v>
      </c>
      <c r="BC107" s="356">
        <f t="shared" ca="1" si="716"/>
        <v>0</v>
      </c>
      <c r="BD107" s="356">
        <f t="shared" ca="1" si="716"/>
        <v>0</v>
      </c>
      <c r="BE107" s="355">
        <f t="shared" ca="1" si="471"/>
        <v>0</v>
      </c>
      <c r="BF107" s="356">
        <f>BF106</f>
        <v>0</v>
      </c>
      <c r="BG107" s="356">
        <f ca="1">BG106</f>
        <v>0</v>
      </c>
      <c r="BH107" s="367">
        <f ca="1">IF(Q105&lt;&gt;0,(BA107/Q107),0)</f>
        <v>0</v>
      </c>
      <c r="BI107" s="368">
        <f ca="1">IF(T105&lt;&gt;0,(BD107/T105),0)</f>
        <v>0</v>
      </c>
      <c r="BJ107" s="369">
        <f ca="1">IFERROR((Q107/COUNTIF(BJ102:BJ106,"&lt;&gt;0"))/BA107,0)</f>
        <v>0</v>
      </c>
      <c r="BK107" s="370">
        <f ca="1">IF(BD107&lt;&gt;0,(T107/COUNTIF(BK102:BK106,"&lt;&gt;0"))/BD107,0)</f>
        <v>0</v>
      </c>
      <c r="BL107" s="366">
        <f t="shared" ref="BL107" si="717">SUM(BL102:BL106)</f>
        <v>0</v>
      </c>
      <c r="BM107" s="356">
        <f ca="1">SUM(BM102:BM106)</f>
        <v>0</v>
      </c>
      <c r="BN107" s="366">
        <f t="shared" ref="BN107:BQ107" si="718">SUM(BN102:BN106)</f>
        <v>0</v>
      </c>
      <c r="BO107" s="356">
        <f t="shared" ca="1" si="718"/>
        <v>0</v>
      </c>
      <c r="BP107" s="366">
        <f t="shared" si="718"/>
        <v>0</v>
      </c>
      <c r="BQ107" s="356">
        <f t="shared" ca="1" si="718"/>
        <v>0</v>
      </c>
      <c r="BR107" s="366">
        <f t="shared" si="617"/>
        <v>0</v>
      </c>
      <c r="BS107" s="356">
        <f t="shared" ca="1" si="617"/>
        <v>0</v>
      </c>
      <c r="BT107" s="366">
        <f t="shared" ref="BT107:BY107" si="719">SUM(BT102:BT106)</f>
        <v>0</v>
      </c>
      <c r="BU107" s="356">
        <f t="shared" si="719"/>
        <v>0</v>
      </c>
      <c r="BV107" s="356">
        <f t="shared" si="719"/>
        <v>0</v>
      </c>
      <c r="BW107" s="356">
        <f t="shared" si="719"/>
        <v>0</v>
      </c>
      <c r="BX107" s="356">
        <f t="shared" si="719"/>
        <v>0</v>
      </c>
      <c r="BY107" s="371">
        <f t="shared" ca="1" si="719"/>
        <v>0</v>
      </c>
      <c r="BZ107" s="355">
        <f t="shared" ca="1" si="472"/>
        <v>0</v>
      </c>
      <c r="CA107" s="372">
        <f t="shared" ref="CA107:CF107" si="720">SUM(CA102:CA106)</f>
        <v>0</v>
      </c>
      <c r="CB107" s="354">
        <f t="shared" si="720"/>
        <v>0</v>
      </c>
      <c r="CC107" s="354">
        <f t="shared" si="720"/>
        <v>0</v>
      </c>
      <c r="CD107" s="354">
        <f t="shared" si="720"/>
        <v>0</v>
      </c>
      <c r="CE107" s="354">
        <f t="shared" si="720"/>
        <v>0</v>
      </c>
      <c r="CF107" s="354">
        <f t="shared" ca="1" si="720"/>
        <v>0</v>
      </c>
      <c r="CG107" s="355">
        <f t="shared" ca="1" si="473"/>
        <v>0</v>
      </c>
      <c r="CH107" s="372">
        <f t="shared" ref="CH107:CM107" si="721">SUM(CH102:CH106)</f>
        <v>0</v>
      </c>
      <c r="CI107" s="354">
        <f t="shared" si="721"/>
        <v>0</v>
      </c>
      <c r="CJ107" s="354">
        <f t="shared" si="721"/>
        <v>0</v>
      </c>
      <c r="CK107" s="354">
        <f t="shared" si="721"/>
        <v>0</v>
      </c>
      <c r="CL107" s="354">
        <f t="shared" si="721"/>
        <v>0</v>
      </c>
      <c r="CM107" s="354">
        <f t="shared" ca="1" si="721"/>
        <v>0</v>
      </c>
      <c r="CN107" s="355">
        <f t="shared" ca="1" si="474"/>
        <v>0</v>
      </c>
      <c r="CO107" s="373">
        <f t="shared" si="670"/>
        <v>0</v>
      </c>
      <c r="CP107" s="374">
        <f t="shared" ca="1" si="670"/>
        <v>0</v>
      </c>
      <c r="CQ107" s="355">
        <f t="shared" ca="1" si="475"/>
        <v>0</v>
      </c>
      <c r="CR107" s="373">
        <f t="shared" si="671"/>
        <v>0</v>
      </c>
      <c r="CS107" s="374">
        <f t="shared" ca="1" si="671"/>
        <v>0</v>
      </c>
      <c r="CT107" s="355">
        <f t="shared" ca="1" si="517"/>
        <v>0</v>
      </c>
      <c r="CU107" s="44">
        <f t="shared" si="310"/>
        <v>0</v>
      </c>
      <c r="CW107" s="100">
        <f>CW106</f>
        <v>0</v>
      </c>
      <c r="CX107" s="101">
        <f ca="1">CX106</f>
        <v>0</v>
      </c>
      <c r="CY107" s="99">
        <f t="shared" ca="1" si="672"/>
        <v>0</v>
      </c>
      <c r="CZ107" s="276"/>
      <c r="DA107" s="277"/>
      <c r="DB107" s="277"/>
      <c r="DC107" s="278"/>
    </row>
    <row r="108" spans="1:107" x14ac:dyDescent="0.25">
      <c r="A108" s="44" t="s">
        <v>478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481"/>
        <v>0</v>
      </c>
      <c r="G108" s="175">
        <f t="shared" ref="G108:I111" si="722">IFERROR(VLOOKUP($B108 &amp; $C108&amp;G$4&amp;$A108,tblForecast,G$2,FALSE),0)</f>
        <v>0</v>
      </c>
      <c r="H108" s="202">
        <f t="shared" si="722"/>
        <v>0</v>
      </c>
      <c r="I108" s="202">
        <f t="shared" si="722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O111" si="723">R108*AN108</f>
        <v>0</v>
      </c>
      <c r="N108" s="46">
        <f t="shared" si="723"/>
        <v>0</v>
      </c>
      <c r="O108" s="46">
        <f t="shared" ca="1" si="723"/>
        <v>0</v>
      </c>
      <c r="P108" s="47">
        <f t="shared" ca="1" si="476"/>
        <v>0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724">IFERROR(VLOOKUP($B108 &amp; $C108&amp;S$4,tblForecast,S$2,FALSE),0)</f>
        <v>0</v>
      </c>
      <c r="T108" s="238">
        <f ca="1">SUMIFS(OFFSET(tblForecast,,T$2,,1),OFFSET(tblForecast,,,,1),$B108-IF(CompareVer="LY",1,0)&amp; $C108 &amp;T$4)</f>
        <v>0</v>
      </c>
      <c r="U108" s="91">
        <f t="shared" ca="1" si="467"/>
        <v>0</v>
      </c>
      <c r="V108" s="247">
        <f ca="1">IFERROR(IF(Q106&gt;0,Q108/Q106,0),0)</f>
        <v>0</v>
      </c>
      <c r="W108" s="327">
        <f ca="1">IFERROR(IF(R106&gt;0,R108/R106,X108),0)</f>
        <v>0</v>
      </c>
      <c r="X108" s="248">
        <f ca="1">IFERROR(IF(T106&gt;0,T108/T106,0),0)</f>
        <v>0</v>
      </c>
      <c r="Y108" s="51">
        <f t="shared" ref="Y108:AB111" ca="1" si="725">IFERROR(L108*AD108,0)</f>
        <v>0</v>
      </c>
      <c r="Z108" s="46">
        <f t="shared" si="725"/>
        <v>0</v>
      </c>
      <c r="AA108" s="46">
        <f t="shared" si="725"/>
        <v>0</v>
      </c>
      <c r="AB108" s="46">
        <f t="shared" ca="1" si="725"/>
        <v>0</v>
      </c>
      <c r="AC108" s="91">
        <f t="shared" ca="1" si="468"/>
        <v>0</v>
      </c>
      <c r="AD108" s="75">
        <f ca="1">IF(AM108&lt;&gt;0,1-AR108/AM108,0)</f>
        <v>0</v>
      </c>
      <c r="AE108" s="93">
        <f t="shared" ref="AE108:AG111" si="726">IF(AN108&lt;&gt;0,1-AS108/AN108,0)</f>
        <v>0</v>
      </c>
      <c r="AF108" s="93">
        <f t="shared" si="726"/>
        <v>0</v>
      </c>
      <c r="AG108" s="76">
        <f t="shared" ca="1" si="726"/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727">IFERROR(VLOOKUP($B108 &amp; $C108&amp;AI$4,tblForecast,AI$2,FALSE),0)</f>
        <v>0</v>
      </c>
      <c r="AJ108" s="94">
        <f t="shared" si="727"/>
        <v>0</v>
      </c>
      <c r="AK108" s="49">
        <f ca="1">IFERROR(CF108/BY108,0)</f>
        <v>0</v>
      </c>
      <c r="AL108" s="47">
        <f t="shared" ca="1" si="644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728">IFERROR(VLOOKUP($B108 &amp; $C108&amp;AN$4,tblForecast,AN$2,FALSE),0)</f>
        <v>0</v>
      </c>
      <c r="AO108" s="94">
        <f t="shared" si="728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469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729">IFERROR(VLOOKUP($B108 &amp; $C108&amp;AS$4,tblForecast,AS$2,FALSE),0)</f>
        <v>0</v>
      </c>
      <c r="AT108" s="94">
        <f t="shared" si="729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470"/>
        <v>0</v>
      </c>
      <c r="AW108" s="190">
        <f t="shared" ref="AW108:AZ111" ca="1" si="730">IFERROR((AM108/AH108-1)*-1,0)</f>
        <v>0</v>
      </c>
      <c r="AX108" s="191">
        <f t="shared" si="730"/>
        <v>0</v>
      </c>
      <c r="AY108" s="191">
        <f t="shared" si="730"/>
        <v>0</v>
      </c>
      <c r="AZ108" s="191">
        <f t="shared" ca="1" si="730"/>
        <v>0</v>
      </c>
      <c r="BA108" s="233">
        <f ca="1">IF(BA107+BV108+BL108+BR108-Q108&lt;0,0,BA107+BV108+BL108+BR108-Q108)</f>
        <v>0</v>
      </c>
      <c r="BB108" s="229">
        <f ca="1">IF(IFERROR(VLOOKUP($B108 &amp; $C108&amp;BB$4,tblForecast,BB$2,FALSE),0)=0,BA108,IFERROR(VLOOKUP($B108 &amp; $C108&amp;BB$4,tblForecast,BB$2,FALSE),0))</f>
        <v>0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731">CX108+BG108</f>
        <v>0</v>
      </c>
      <c r="BE108" s="193">
        <f t="shared" ca="1" si="471"/>
        <v>0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0</v>
      </c>
      <c r="BH108" s="178">
        <f ca="1">IF(Q108&lt;&gt;0,BA108/Q108,0)</f>
        <v>0</v>
      </c>
      <c r="BI108" s="182">
        <f ca="1">IF(T108&lt;&gt;0,BD108/T108,0)</f>
        <v>0</v>
      </c>
      <c r="BJ108" s="194">
        <f t="shared" ref="BJ108:BJ111" ca="1" si="732">IF(BA108&lt;&gt;0,Q108/BA108,0)</f>
        <v>0</v>
      </c>
      <c r="BK108" s="50">
        <f t="shared" ref="BK108:BK111" ca="1" si="733">IF(BD108&lt;&gt;0,T108/BD108,0)</f>
        <v>0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0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S113" si="734">BN108-BP108</f>
        <v>0</v>
      </c>
      <c r="BS108" s="229">
        <f t="shared" ca="1" si="734"/>
        <v>0</v>
      </c>
      <c r="BT108" s="232">
        <f t="shared" ref="BT108:BU111" si="735">IFERROR(VLOOKUP($B108 &amp; $C108&amp;BT$4,tblForecast,BT$2,FALSE),0)</f>
        <v>0</v>
      </c>
      <c r="BU108" s="229">
        <f t="shared" si="735"/>
        <v>0</v>
      </c>
      <c r="BV108" s="229">
        <f>IF($A108="a",IFERROR(VLOOKUP($B108 &amp; $C108&amp;BV$4,tblForecast,BV$2,FALSE),0),BT108+BU108)</f>
        <v>0</v>
      </c>
      <c r="BW108" s="229">
        <f t="shared" ref="BW108:BX111" si="736">IFERROR(VLOOKUP($B108 &amp; $C108&amp;BW$4,tblForecast,BW$2,FALSE),0)</f>
        <v>0</v>
      </c>
      <c r="BX108" s="229">
        <f t="shared" si="736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472"/>
        <v>0</v>
      </c>
      <c r="CA108" s="330">
        <f t="shared" ref="CA108:CB111" si="737">IFERROR(VLOOKUP($B108 &amp; $C108&amp;CA$4,tblForecast,CA$2,FALSE),0)</f>
        <v>0</v>
      </c>
      <c r="CB108" s="46">
        <f t="shared" si="737"/>
        <v>0</v>
      </c>
      <c r="CC108" s="46">
        <f>IF($A108="a",IFERROR(VLOOKUP($B108 &amp; $C108&amp;CC$4,tblForecast,CC$2,FALSE),0),CA108+CB108)</f>
        <v>0</v>
      </c>
      <c r="CD108" s="46">
        <f t="shared" ref="CD108:CE111" si="738">IFERROR(VLOOKUP($B108 &amp; $C108&amp;CD$4,tblForecast,CD$2,FALSE),0)</f>
        <v>0</v>
      </c>
      <c r="CE108" s="46">
        <f t="shared" si="738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473"/>
        <v>0</v>
      </c>
      <c r="CH108" s="330">
        <f t="shared" ref="CH108:CI111" si="739">IFERROR(VLOOKUP($B108 &amp; $C108&amp;CH$4,tblForecast,CH$2,FALSE),0)</f>
        <v>0</v>
      </c>
      <c r="CI108" s="46">
        <f t="shared" si="739"/>
        <v>0</v>
      </c>
      <c r="CJ108" s="46">
        <f>IF($A108="a",IFERROR(VLOOKUP($B108 &amp; $C108&amp;CJ$4,tblForecast,CJ$2,FALSE),0),CH108+CI108)</f>
        <v>0</v>
      </c>
      <c r="CK108" s="46">
        <f t="shared" ref="CK108:CL111" si="740">IFERROR(VLOOKUP($B108 &amp; $C108&amp;CK$4,tblForecast,CK$2,FALSE),0)</f>
        <v>0</v>
      </c>
      <c r="CL108" s="46">
        <f t="shared" si="740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474"/>
        <v>0</v>
      </c>
      <c r="CO108" s="177">
        <f t="shared" si="670"/>
        <v>0</v>
      </c>
      <c r="CP108" s="221">
        <f t="shared" ca="1" si="670"/>
        <v>0</v>
      </c>
      <c r="CQ108" s="193">
        <f t="shared" ca="1" si="475"/>
        <v>0</v>
      </c>
      <c r="CR108" s="177">
        <f t="shared" si="671"/>
        <v>0</v>
      </c>
      <c r="CS108" s="221">
        <f t="shared" ca="1" si="671"/>
        <v>0</v>
      </c>
      <c r="CT108" s="193">
        <f t="shared" ca="1" si="517"/>
        <v>0</v>
      </c>
      <c r="CU108" s="44">
        <f t="shared" si="310"/>
        <v>0</v>
      </c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672"/>
        <v>0</v>
      </c>
      <c r="CZ108" s="276">
        <f>IFERROR(VLOOKUP(Brand&amp;Channel&amp;Country&amp;$C108,tblDiscount,6,FALSE),0)</f>
        <v>0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478</v>
      </c>
      <c r="B109" s="44">
        <v>2019</v>
      </c>
      <c r="C109" s="88">
        <f>C108+1</f>
        <v>24</v>
      </c>
      <c r="D109" s="51">
        <f t="shared" ref="D109:D111" si="741">G109*H109</f>
        <v>0</v>
      </c>
      <c r="E109" s="201">
        <f t="shared" ref="E109:E111" si="742">IFERROR(D109*F109,0)</f>
        <v>0</v>
      </c>
      <c r="F109" s="181">
        <f t="shared" si="481"/>
        <v>0</v>
      </c>
      <c r="G109" s="175">
        <f t="shared" si="722"/>
        <v>0</v>
      </c>
      <c r="H109" s="202">
        <f t="shared" si="722"/>
        <v>0</v>
      </c>
      <c r="I109" s="202">
        <f t="shared" si="722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723"/>
        <v>0</v>
      </c>
      <c r="N109" s="46">
        <f t="shared" si="723"/>
        <v>0</v>
      </c>
      <c r="O109" s="46">
        <f t="shared" ca="1" si="723"/>
        <v>0</v>
      </c>
      <c r="P109" s="47">
        <f t="shared" ca="1" si="476"/>
        <v>0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724"/>
        <v>0</v>
      </c>
      <c r="T109" s="238">
        <f ca="1">SUMIFS(OFFSET(tblForecast,,T$2,,1),OFFSET(tblForecast,,,,1),$B109-IF(CompareVer="LY",1,0)&amp; $C109 &amp;T$4)</f>
        <v>0</v>
      </c>
      <c r="U109" s="91">
        <f t="shared" ca="1" si="467"/>
        <v>0</v>
      </c>
      <c r="V109" s="247">
        <f t="shared" ref="V109:V111" ca="1" si="743">IFERROR(IF(Q108&lt;&gt;0,Q109/Q108,0),0)</f>
        <v>0</v>
      </c>
      <c r="W109" s="327">
        <f ca="1">IFERROR(IF(R108&lt;&gt;0,R109/R108,X109),0)</f>
        <v>0</v>
      </c>
      <c r="X109" s="248">
        <f t="shared" ref="X109:X111" ca="1" si="744">IFERROR(IF(T108&lt;&gt;0,T109/T108,0),0)</f>
        <v>0</v>
      </c>
      <c r="Y109" s="51">
        <f t="shared" ca="1" si="725"/>
        <v>0</v>
      </c>
      <c r="Z109" s="46">
        <f t="shared" si="725"/>
        <v>0</v>
      </c>
      <c r="AA109" s="46">
        <f t="shared" si="725"/>
        <v>0</v>
      </c>
      <c r="AB109" s="46">
        <f t="shared" ca="1" si="725"/>
        <v>0</v>
      </c>
      <c r="AC109" s="91">
        <f t="shared" ca="1" si="468"/>
        <v>0</v>
      </c>
      <c r="AD109" s="75">
        <f ca="1">IF(AM109&lt;&gt;0,1-AR109/AM109,0)</f>
        <v>0</v>
      </c>
      <c r="AE109" s="93">
        <f t="shared" si="726"/>
        <v>0</v>
      </c>
      <c r="AF109" s="93">
        <f t="shared" si="726"/>
        <v>0</v>
      </c>
      <c r="AG109" s="76">
        <f t="shared" ca="1" si="726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727"/>
        <v>0</v>
      </c>
      <c r="AJ109" s="94">
        <f t="shared" si="727"/>
        <v>0</v>
      </c>
      <c r="AK109" s="49">
        <f ca="1">IFERROR(CF109/BY109,0)</f>
        <v>0</v>
      </c>
      <c r="AL109" s="47">
        <f t="shared" ca="1" si="644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728"/>
        <v>0</v>
      </c>
      <c r="AO109" s="94">
        <f t="shared" si="728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469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729"/>
        <v>0</v>
      </c>
      <c r="AT109" s="94">
        <f t="shared" si="729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470"/>
        <v>0</v>
      </c>
      <c r="AW109" s="190">
        <f t="shared" ca="1" si="730"/>
        <v>0</v>
      </c>
      <c r="AX109" s="191">
        <f t="shared" si="730"/>
        <v>0</v>
      </c>
      <c r="AY109" s="191">
        <f t="shared" si="730"/>
        <v>0</v>
      </c>
      <c r="AZ109" s="191">
        <f t="shared" ca="1" si="730"/>
        <v>0</v>
      </c>
      <c r="BA109" s="233">
        <f ca="1">IF(BA108+BV109+BL109+BR109-Q109&lt;0,0,BA108+BV109+BL109+BR109-Q109)</f>
        <v>0</v>
      </c>
      <c r="BB109" s="229">
        <f ca="1">IF(IFERROR(VLOOKUP($B109 &amp; $C109&amp;BB$4,tblForecast,BB$2,FALSE),0)=0,BA109,IFERROR(VLOOKUP($B109 &amp; $C109&amp;BB$4,tblForecast,BB$2,FALSE),0))</f>
        <v>0</v>
      </c>
      <c r="BC109" s="229">
        <f ca="1">SUMIFS(OFFSET(tblForecast,,BC$2,,1),OFFSET(tblForecast,,,,1),$B109-IF(CompareVer="LY",1,0)&amp; $C109 &amp;BC$4)</f>
        <v>0</v>
      </c>
      <c r="BD109" s="229">
        <f t="shared" ca="1" si="731"/>
        <v>0</v>
      </c>
      <c r="BE109" s="193">
        <f t="shared" ca="1" si="471"/>
        <v>0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0</v>
      </c>
      <c r="BH109" s="178">
        <f ca="1">IF(Q109&lt;&gt;0,BA109/Q109,0)</f>
        <v>0</v>
      </c>
      <c r="BI109" s="182">
        <f ca="1">IF(T109&lt;&gt;0,BD109/T109,0)</f>
        <v>0</v>
      </c>
      <c r="BJ109" s="194">
        <f t="shared" ca="1" si="732"/>
        <v>0</v>
      </c>
      <c r="BK109" s="50">
        <f t="shared" ca="1" si="733"/>
        <v>0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0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734"/>
        <v>0</v>
      </c>
      <c r="BS109" s="229">
        <f t="shared" ca="1" si="734"/>
        <v>0</v>
      </c>
      <c r="BT109" s="232">
        <f t="shared" si="735"/>
        <v>0</v>
      </c>
      <c r="BU109" s="229">
        <f t="shared" si="735"/>
        <v>0</v>
      </c>
      <c r="BV109" s="229">
        <f>IF($A109="a",IFERROR(VLOOKUP($B109 &amp; $C109&amp;BV$4,tblForecast,BV$2,FALSE),0),BT109+BU109)</f>
        <v>0</v>
      </c>
      <c r="BW109" s="229">
        <f t="shared" si="736"/>
        <v>0</v>
      </c>
      <c r="BX109" s="229">
        <f t="shared" si="736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472"/>
        <v>0</v>
      </c>
      <c r="CA109" s="330">
        <f t="shared" si="737"/>
        <v>0</v>
      </c>
      <c r="CB109" s="46">
        <f t="shared" si="737"/>
        <v>0</v>
      </c>
      <c r="CC109" s="46">
        <f>IF($A109="a",IFERROR(VLOOKUP($B109 &amp; $C109&amp;CC$4,tblForecast,CC$2,FALSE),0),CA109+CB109)</f>
        <v>0</v>
      </c>
      <c r="CD109" s="46">
        <f t="shared" si="738"/>
        <v>0</v>
      </c>
      <c r="CE109" s="46">
        <f t="shared" si="738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473"/>
        <v>0</v>
      </c>
      <c r="CH109" s="330">
        <f t="shared" si="739"/>
        <v>0</v>
      </c>
      <c r="CI109" s="46">
        <f t="shared" si="739"/>
        <v>0</v>
      </c>
      <c r="CJ109" s="46">
        <f>IF($A109="a",IFERROR(VLOOKUP($B109 &amp; $C109&amp;CJ$4,tblForecast,CJ$2,FALSE),0),CH109+CI109)</f>
        <v>0</v>
      </c>
      <c r="CK109" s="46">
        <f t="shared" si="740"/>
        <v>0</v>
      </c>
      <c r="CL109" s="46">
        <f t="shared" si="740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474"/>
        <v>0</v>
      </c>
      <c r="CO109" s="177">
        <f t="shared" si="670"/>
        <v>0</v>
      </c>
      <c r="CP109" s="221">
        <f t="shared" ca="1" si="670"/>
        <v>0</v>
      </c>
      <c r="CQ109" s="193">
        <f t="shared" ca="1" si="475"/>
        <v>0</v>
      </c>
      <c r="CR109" s="177">
        <f t="shared" si="671"/>
        <v>0</v>
      </c>
      <c r="CS109" s="221">
        <f t="shared" ca="1" si="671"/>
        <v>0</v>
      </c>
      <c r="CT109" s="193">
        <f t="shared" ca="1" si="517"/>
        <v>0</v>
      </c>
      <c r="CU109" s="44">
        <f t="shared" si="310"/>
        <v>0</v>
      </c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672"/>
        <v>0</v>
      </c>
      <c r="CZ109" s="276">
        <f>IFERROR(VLOOKUP(Brand&amp;Channel&amp;Country&amp;$C109,tblDiscount,6,FALSE),0)</f>
        <v>0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478</v>
      </c>
      <c r="B110" s="44">
        <v>2019</v>
      </c>
      <c r="C110" s="88">
        <f t="shared" ref="C110:C111" si="745">C109+1</f>
        <v>25</v>
      </c>
      <c r="D110" s="51">
        <f t="shared" si="741"/>
        <v>0</v>
      </c>
      <c r="E110" s="201">
        <f t="shared" si="742"/>
        <v>0</v>
      </c>
      <c r="F110" s="181">
        <f t="shared" si="481"/>
        <v>0</v>
      </c>
      <c r="G110" s="175">
        <f t="shared" si="722"/>
        <v>0</v>
      </c>
      <c r="H110" s="202">
        <f t="shared" si="722"/>
        <v>0</v>
      </c>
      <c r="I110" s="202">
        <f t="shared" si="722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723"/>
        <v>0</v>
      </c>
      <c r="N110" s="46">
        <f t="shared" si="723"/>
        <v>0</v>
      </c>
      <c r="O110" s="46">
        <f t="shared" ca="1" si="723"/>
        <v>0</v>
      </c>
      <c r="P110" s="47">
        <f t="shared" ca="1" si="476"/>
        <v>0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724"/>
        <v>0</v>
      </c>
      <c r="T110" s="238">
        <f ca="1">SUMIFS(OFFSET(tblForecast,,T$2,,1),OFFSET(tblForecast,,,,1),$B110-IF(CompareVer="LY",1,0)&amp; $C110 &amp;T$4)</f>
        <v>0</v>
      </c>
      <c r="U110" s="91">
        <f t="shared" ca="1" si="467"/>
        <v>0</v>
      </c>
      <c r="V110" s="247">
        <f t="shared" ca="1" si="743"/>
        <v>0</v>
      </c>
      <c r="W110" s="327">
        <f ca="1">IFERROR(IF(R109&lt;&gt;0,R110/R109,X110),0)</f>
        <v>0</v>
      </c>
      <c r="X110" s="248">
        <f t="shared" ca="1" si="744"/>
        <v>0</v>
      </c>
      <c r="Y110" s="51">
        <f t="shared" ca="1" si="725"/>
        <v>0</v>
      </c>
      <c r="Z110" s="46">
        <f t="shared" si="725"/>
        <v>0</v>
      </c>
      <c r="AA110" s="46">
        <f t="shared" si="725"/>
        <v>0</v>
      </c>
      <c r="AB110" s="46">
        <f t="shared" ca="1" si="725"/>
        <v>0</v>
      </c>
      <c r="AC110" s="91">
        <f t="shared" ca="1" si="468"/>
        <v>0</v>
      </c>
      <c r="AD110" s="75">
        <f ca="1">IF(AM110&lt;&gt;0,1-AR110/AM110,0)</f>
        <v>0</v>
      </c>
      <c r="AE110" s="93">
        <f t="shared" si="726"/>
        <v>0</v>
      </c>
      <c r="AF110" s="93">
        <f t="shared" si="726"/>
        <v>0</v>
      </c>
      <c r="AG110" s="76">
        <f t="shared" ca="1" si="726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727"/>
        <v>0</v>
      </c>
      <c r="AJ110" s="94">
        <f t="shared" si="727"/>
        <v>0</v>
      </c>
      <c r="AK110" s="49">
        <f ca="1">IFERROR(CF110/BY110,0)</f>
        <v>0</v>
      </c>
      <c r="AL110" s="47">
        <f t="shared" ca="1" si="644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728"/>
        <v>0</v>
      </c>
      <c r="AO110" s="94">
        <f t="shared" si="728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469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729"/>
        <v>0</v>
      </c>
      <c r="AT110" s="94">
        <f t="shared" si="729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470"/>
        <v>0</v>
      </c>
      <c r="AW110" s="190">
        <f t="shared" ca="1" si="730"/>
        <v>0</v>
      </c>
      <c r="AX110" s="191">
        <f t="shared" si="730"/>
        <v>0</v>
      </c>
      <c r="AY110" s="191">
        <f t="shared" si="730"/>
        <v>0</v>
      </c>
      <c r="AZ110" s="191">
        <f t="shared" ca="1" si="730"/>
        <v>0</v>
      </c>
      <c r="BA110" s="233">
        <f ca="1">IF(BA109+BV110+BL110+BR110-Q110&lt;0,0,BA109+BV110+BL110+BR110-Q110)</f>
        <v>0</v>
      </c>
      <c r="BB110" s="229">
        <f ca="1">IF(IFERROR(VLOOKUP($B110 &amp; $C110&amp;BB$4,tblForecast,BB$2,FALSE),0)=0,BA110,IFERROR(VLOOKUP($B110 &amp; $C110&amp;BB$4,tblForecast,BB$2,FALSE),0))</f>
        <v>0</v>
      </c>
      <c r="BC110" s="229">
        <f ca="1">SUMIFS(OFFSET(tblForecast,,BC$2,,1),OFFSET(tblForecast,,,,1),$B110-IF(CompareVer="LY",1,0)&amp; $C110 &amp;BC$4)</f>
        <v>0</v>
      </c>
      <c r="BD110" s="229">
        <f t="shared" ca="1" si="731"/>
        <v>0</v>
      </c>
      <c r="BE110" s="193">
        <f t="shared" ca="1" si="471"/>
        <v>0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0</v>
      </c>
      <c r="BH110" s="178">
        <f ca="1">IF(Q110&lt;&gt;0,BA110/Q110,0)</f>
        <v>0</v>
      </c>
      <c r="BI110" s="182">
        <f ca="1">IF(T110&lt;&gt;0,BD110/T110,0)</f>
        <v>0</v>
      </c>
      <c r="BJ110" s="194">
        <f t="shared" ca="1" si="732"/>
        <v>0</v>
      </c>
      <c r="BK110" s="50">
        <f t="shared" ca="1" si="733"/>
        <v>0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0</v>
      </c>
      <c r="BR110" s="225">
        <f t="shared" si="734"/>
        <v>0</v>
      </c>
      <c r="BS110" s="229">
        <f t="shared" ca="1" si="734"/>
        <v>0</v>
      </c>
      <c r="BT110" s="232">
        <f t="shared" si="735"/>
        <v>0</v>
      </c>
      <c r="BU110" s="229">
        <f t="shared" si="735"/>
        <v>0</v>
      </c>
      <c r="BV110" s="229">
        <f>IF($A110="a",IFERROR(VLOOKUP($B110 &amp; $C110&amp;BV$4,tblForecast,BV$2,FALSE),0),BT110+BU110)</f>
        <v>0</v>
      </c>
      <c r="BW110" s="229">
        <f t="shared" si="736"/>
        <v>0</v>
      </c>
      <c r="BX110" s="229">
        <f t="shared" si="736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472"/>
        <v>0</v>
      </c>
      <c r="CA110" s="330">
        <f t="shared" si="737"/>
        <v>0</v>
      </c>
      <c r="CB110" s="46">
        <f t="shared" si="737"/>
        <v>0</v>
      </c>
      <c r="CC110" s="46">
        <f>IF($A110="a",IFERROR(VLOOKUP($B110 &amp; $C110&amp;CC$4,tblForecast,CC$2,FALSE),0),CA110+CB110)</f>
        <v>0</v>
      </c>
      <c r="CD110" s="46">
        <f t="shared" si="738"/>
        <v>0</v>
      </c>
      <c r="CE110" s="46">
        <f t="shared" si="738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473"/>
        <v>0</v>
      </c>
      <c r="CH110" s="330">
        <f t="shared" si="739"/>
        <v>0</v>
      </c>
      <c r="CI110" s="46">
        <f t="shared" si="739"/>
        <v>0</v>
      </c>
      <c r="CJ110" s="46">
        <f>IF($A110="a",IFERROR(VLOOKUP($B110 &amp; $C110&amp;CJ$4,tblForecast,CJ$2,FALSE),0),CH110+CI110)</f>
        <v>0</v>
      </c>
      <c r="CK110" s="46">
        <f t="shared" si="740"/>
        <v>0</v>
      </c>
      <c r="CL110" s="46">
        <f t="shared" si="740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474"/>
        <v>0</v>
      </c>
      <c r="CO110" s="177">
        <f t="shared" si="670"/>
        <v>0</v>
      </c>
      <c r="CP110" s="221">
        <f t="shared" ca="1" si="670"/>
        <v>0</v>
      </c>
      <c r="CQ110" s="193">
        <f t="shared" ca="1" si="475"/>
        <v>0</v>
      </c>
      <c r="CR110" s="177">
        <f t="shared" si="671"/>
        <v>0</v>
      </c>
      <c r="CS110" s="221">
        <f t="shared" ca="1" si="671"/>
        <v>0</v>
      </c>
      <c r="CT110" s="193">
        <f t="shared" ca="1" si="517"/>
        <v>0</v>
      </c>
      <c r="CU110" s="44">
        <f t="shared" si="310"/>
        <v>0</v>
      </c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6">
        <f>IFERROR(VLOOKUP(Brand&amp;Channel&amp;Country&amp;$C110,tblDiscount,6,FALSE),0)</f>
        <v>0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478</v>
      </c>
      <c r="B111" s="44">
        <v>2019</v>
      </c>
      <c r="C111" s="88">
        <f t="shared" si="745"/>
        <v>26</v>
      </c>
      <c r="D111" s="51">
        <f t="shared" si="741"/>
        <v>0</v>
      </c>
      <c r="E111" s="201">
        <f t="shared" si="742"/>
        <v>0</v>
      </c>
      <c r="F111" s="181">
        <f t="shared" si="481"/>
        <v>0</v>
      </c>
      <c r="G111" s="175">
        <f t="shared" si="722"/>
        <v>0</v>
      </c>
      <c r="H111" s="202">
        <f t="shared" si="722"/>
        <v>0</v>
      </c>
      <c r="I111" s="202">
        <f t="shared" si="722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723"/>
        <v>0</v>
      </c>
      <c r="N111" s="46">
        <f t="shared" si="723"/>
        <v>0</v>
      </c>
      <c r="O111" s="46">
        <f t="shared" ca="1" si="723"/>
        <v>0</v>
      </c>
      <c r="P111" s="47">
        <f t="shared" ca="1" si="476"/>
        <v>0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724"/>
        <v>0</v>
      </c>
      <c r="T111" s="238">
        <f ca="1">SUMIFS(OFFSET(tblForecast,,T$2,,1),OFFSET(tblForecast,,,,1),$B111-IF(CompareVer="LY",1,0)&amp; $C111 &amp;T$4)</f>
        <v>0</v>
      </c>
      <c r="U111" s="91">
        <f t="shared" ca="1" si="467"/>
        <v>0</v>
      </c>
      <c r="V111" s="247">
        <f t="shared" ca="1" si="743"/>
        <v>0</v>
      </c>
      <c r="W111" s="327">
        <f ca="1">IFERROR(IF(R110&lt;&gt;0,R111/R110,X111),0)</f>
        <v>0</v>
      </c>
      <c r="X111" s="248">
        <f t="shared" ca="1" si="744"/>
        <v>0</v>
      </c>
      <c r="Y111" s="51">
        <f t="shared" ca="1" si="725"/>
        <v>0</v>
      </c>
      <c r="Z111" s="46">
        <f t="shared" si="725"/>
        <v>0</v>
      </c>
      <c r="AA111" s="46">
        <f t="shared" si="725"/>
        <v>0</v>
      </c>
      <c r="AB111" s="46">
        <f t="shared" ca="1" si="725"/>
        <v>0</v>
      </c>
      <c r="AC111" s="91">
        <f t="shared" ca="1" si="468"/>
        <v>0</v>
      </c>
      <c r="AD111" s="75">
        <f ca="1">IF(AM111&lt;&gt;0,1-AR111/AM111,0)</f>
        <v>0</v>
      </c>
      <c r="AE111" s="93">
        <f t="shared" si="726"/>
        <v>0</v>
      </c>
      <c r="AF111" s="93">
        <f t="shared" si="726"/>
        <v>0</v>
      </c>
      <c r="AG111" s="76">
        <f t="shared" ca="1" si="726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727"/>
        <v>0</v>
      </c>
      <c r="AJ111" s="94">
        <f t="shared" si="727"/>
        <v>0</v>
      </c>
      <c r="AK111" s="49">
        <f ca="1">IFERROR(CF111/BY111,0)</f>
        <v>0</v>
      </c>
      <c r="AL111" s="47">
        <f t="shared" ca="1" si="644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728"/>
        <v>0</v>
      </c>
      <c r="AO111" s="94">
        <f t="shared" si="728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469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729"/>
        <v>0</v>
      </c>
      <c r="AT111" s="94">
        <f t="shared" si="729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470"/>
        <v>0</v>
      </c>
      <c r="AW111" s="190">
        <f t="shared" ca="1" si="730"/>
        <v>0</v>
      </c>
      <c r="AX111" s="191">
        <f t="shared" si="730"/>
        <v>0</v>
      </c>
      <c r="AY111" s="191">
        <f t="shared" si="730"/>
        <v>0</v>
      </c>
      <c r="AZ111" s="191">
        <f t="shared" ca="1" si="730"/>
        <v>0</v>
      </c>
      <c r="BA111" s="233">
        <f ca="1">IF(BA110+BV111+BL111+BR111-Q111&lt;0,0,BA110+BV111+BL111+BR111-Q111)</f>
        <v>0</v>
      </c>
      <c r="BB111" s="229">
        <f ca="1">IF(IFERROR(VLOOKUP($B111 &amp; $C111&amp;BB$4,tblForecast,BB$2,FALSE),0)=0,BA111,IFERROR(VLOOKUP($B111 &amp; $C111&amp;BB$4,tblForecast,BB$2,FALSE),0))</f>
        <v>0</v>
      </c>
      <c r="BC111" s="229">
        <f ca="1">SUMIFS(OFFSET(tblForecast,,BC$2,,1),OFFSET(tblForecast,,,,1),$B111-IF(CompareVer="LY",1,0)&amp; $C111 &amp;BC$4)</f>
        <v>0</v>
      </c>
      <c r="BD111" s="229">
        <f t="shared" ca="1" si="731"/>
        <v>0</v>
      </c>
      <c r="BE111" s="193">
        <f t="shared" ca="1" si="471"/>
        <v>0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0</v>
      </c>
      <c r="BH111" s="178">
        <f ca="1">IF(Q111&lt;&gt;0,BA111/Q111,0)</f>
        <v>0</v>
      </c>
      <c r="BI111" s="182">
        <f ca="1">IF(T111&lt;&gt;0,BD111/T111,0)</f>
        <v>0</v>
      </c>
      <c r="BJ111" s="194">
        <f t="shared" ca="1" si="732"/>
        <v>0</v>
      </c>
      <c r="BK111" s="50">
        <f t="shared" ca="1" si="733"/>
        <v>0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0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0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0</v>
      </c>
      <c r="BR111" s="225">
        <f t="shared" si="734"/>
        <v>0</v>
      </c>
      <c r="BS111" s="229">
        <f t="shared" ca="1" si="734"/>
        <v>0</v>
      </c>
      <c r="BT111" s="232">
        <f t="shared" si="735"/>
        <v>0</v>
      </c>
      <c r="BU111" s="229">
        <f t="shared" si="735"/>
        <v>0</v>
      </c>
      <c r="BV111" s="229">
        <f>IF($A111="a",IFERROR(VLOOKUP($B111 &amp; $C111&amp;BV$4,tblForecast,BV$2,FALSE),0),BT111+BU111)</f>
        <v>0</v>
      </c>
      <c r="BW111" s="229">
        <f t="shared" si="736"/>
        <v>0</v>
      </c>
      <c r="BX111" s="229">
        <f t="shared" si="736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472"/>
        <v>0</v>
      </c>
      <c r="CA111" s="330">
        <f t="shared" si="737"/>
        <v>0</v>
      </c>
      <c r="CB111" s="46">
        <f t="shared" si="737"/>
        <v>0</v>
      </c>
      <c r="CC111" s="46">
        <f>IF($A111="a",IFERROR(VLOOKUP($B111 &amp; $C111&amp;CC$4,tblForecast,CC$2,FALSE),0),CA111+CB111)</f>
        <v>0</v>
      </c>
      <c r="CD111" s="46">
        <f t="shared" si="738"/>
        <v>0</v>
      </c>
      <c r="CE111" s="46">
        <f t="shared" si="738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473"/>
        <v>0</v>
      </c>
      <c r="CH111" s="330">
        <f t="shared" si="739"/>
        <v>0</v>
      </c>
      <c r="CI111" s="46">
        <f t="shared" si="739"/>
        <v>0</v>
      </c>
      <c r="CJ111" s="46">
        <f>IF($A111="a",IFERROR(VLOOKUP($B111 &amp; $C111&amp;CJ$4,tblForecast,CJ$2,FALSE),0),CH111+CI111)</f>
        <v>0</v>
      </c>
      <c r="CK111" s="46">
        <f t="shared" si="740"/>
        <v>0</v>
      </c>
      <c r="CL111" s="46">
        <f t="shared" si="740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474"/>
        <v>0</v>
      </c>
      <c r="CO111" s="177">
        <f t="shared" si="670"/>
        <v>0</v>
      </c>
      <c r="CP111" s="221">
        <f t="shared" ca="1" si="670"/>
        <v>0</v>
      </c>
      <c r="CQ111" s="193">
        <f t="shared" ca="1" si="475"/>
        <v>0</v>
      </c>
      <c r="CR111" s="177">
        <f t="shared" si="671"/>
        <v>0</v>
      </c>
      <c r="CS111" s="221">
        <f t="shared" ca="1" si="671"/>
        <v>0</v>
      </c>
      <c r="CT111" s="193">
        <f t="shared" ca="1" si="517"/>
        <v>0</v>
      </c>
      <c r="CU111" s="44">
        <f t="shared" si="310"/>
        <v>0</v>
      </c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6">
        <f>IFERROR(VLOOKUP(Brand&amp;Channel&amp;Country&amp;$C111,tblDiscount,6,FALSE),0)</f>
        <v>0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7" t="s">
        <v>467</v>
      </c>
      <c r="D112" s="348">
        <f t="shared" ref="D112" si="746">SUM(D108:D111)</f>
        <v>0</v>
      </c>
      <c r="E112" s="349">
        <f t="shared" ref="E112" si="747">SUM(E108:E111)</f>
        <v>0</v>
      </c>
      <c r="F112" s="350">
        <f t="shared" si="481"/>
        <v>0</v>
      </c>
      <c r="G112" s="351">
        <f>SUM(G108:G111)</f>
        <v>0</v>
      </c>
      <c r="H112" s="352">
        <f>IFERROR(D112/G112,0)</f>
        <v>0</v>
      </c>
      <c r="I112" s="352">
        <f>IFERROR(SUMPRODUCT(I108:I111,G108:G111)/G112,0)</f>
        <v>0</v>
      </c>
      <c r="J112" s="351">
        <f>SUM(J108:J111)</f>
        <v>0</v>
      </c>
      <c r="K112" s="353">
        <f>IFERROR(VLOOKUP($B112 &amp; $C112&amp;K$4&amp;$A112,tblForecast,K$2,FALSE),0)+IFERROR(VLOOKUP($B112 &amp; $C112&amp;K$4&amp;$A112,tblForecast,K$2+1,FALSE),0)</f>
        <v>0</v>
      </c>
      <c r="L112" s="354">
        <f ca="1">SUM(L108:L111)</f>
        <v>0</v>
      </c>
      <c r="M112" s="354">
        <f t="shared" ref="M112:O112" si="748">SUM(M108:M111)</f>
        <v>0</v>
      </c>
      <c r="N112" s="354">
        <f t="shared" si="748"/>
        <v>0</v>
      </c>
      <c r="O112" s="354">
        <f t="shared" ca="1" si="748"/>
        <v>0</v>
      </c>
      <c r="P112" s="355">
        <f t="shared" ca="1" si="476"/>
        <v>0</v>
      </c>
      <c r="Q112" s="356">
        <f t="shared" ref="Q112:S112" ca="1" si="749">SUM(Q108:Q111)</f>
        <v>0</v>
      </c>
      <c r="R112" s="356">
        <f t="shared" si="749"/>
        <v>0</v>
      </c>
      <c r="S112" s="356">
        <f t="shared" si="749"/>
        <v>0</v>
      </c>
      <c r="T112" s="356">
        <f ca="1">SUM(T108:T111)</f>
        <v>0</v>
      </c>
      <c r="U112" s="355">
        <f t="shared" ca="1" si="467"/>
        <v>0</v>
      </c>
      <c r="V112" s="357">
        <f t="shared" ref="V112:X113" ca="1" si="750">V111</f>
        <v>0</v>
      </c>
      <c r="W112" s="358">
        <f t="shared" ca="1" si="750"/>
        <v>0</v>
      </c>
      <c r="X112" s="359">
        <f t="shared" ca="1" si="750"/>
        <v>0</v>
      </c>
      <c r="Y112" s="348">
        <f ca="1">SUM(Y108:Y111)</f>
        <v>0</v>
      </c>
      <c r="Z112" s="354">
        <f t="shared" ref="Z112:AB112" si="751">SUM(Z108:Z111)</f>
        <v>0</v>
      </c>
      <c r="AA112" s="354">
        <f t="shared" si="751"/>
        <v>0</v>
      </c>
      <c r="AB112" s="354">
        <f t="shared" ca="1" si="751"/>
        <v>0</v>
      </c>
      <c r="AC112" s="355">
        <f t="shared" ca="1" si="468"/>
        <v>0</v>
      </c>
      <c r="AD112" s="360">
        <f t="shared" ref="AD112:AG113" ca="1" si="752">IFERROR(Y112/L112,0)</f>
        <v>0</v>
      </c>
      <c r="AE112" s="361">
        <f t="shared" si="752"/>
        <v>0</v>
      </c>
      <c r="AF112" s="361">
        <f t="shared" si="752"/>
        <v>0</v>
      </c>
      <c r="AG112" s="361">
        <f t="shared" ca="1" si="752"/>
        <v>0</v>
      </c>
      <c r="AH112" s="362">
        <f ca="1">IFERROR(SUMPRODUCT(AH108:AH111,Q108:Q111)/Q112,0)</f>
        <v>0</v>
      </c>
      <c r="AI112" s="363">
        <f>IFERROR(SUMPRODUCT(AI108:AI111,R108:R111)/R112,0)</f>
        <v>0</v>
      </c>
      <c r="AJ112" s="363">
        <f t="shared" ref="AJ112:AK112" si="753">IFERROR(SUMPRODUCT(AJ108:AJ111,S108:S111)/S112,0)</f>
        <v>0</v>
      </c>
      <c r="AK112" s="363">
        <f t="shared" ca="1" si="753"/>
        <v>0</v>
      </c>
      <c r="AL112" s="355">
        <f t="shared" ref="AL112" ca="1" si="754">IFERROR((AL100*U100+AL106*U106+AL111*U111)/U112,0)</f>
        <v>0</v>
      </c>
      <c r="AM112" s="362">
        <f t="shared" ref="AM112:AP113" ca="1" si="755">IF(Q112&lt;&gt;0,L112/Q112,0)</f>
        <v>0</v>
      </c>
      <c r="AN112" s="363">
        <f t="shared" si="755"/>
        <v>0</v>
      </c>
      <c r="AO112" s="363">
        <f t="shared" si="755"/>
        <v>0</v>
      </c>
      <c r="AP112" s="363">
        <f t="shared" ca="1" si="755"/>
        <v>0</v>
      </c>
      <c r="AQ112" s="355">
        <f t="shared" ca="1" si="469"/>
        <v>0</v>
      </c>
      <c r="AR112" s="362">
        <f t="shared" ref="AR112:AU113" ca="1" si="756">IFERROR((L112*(1-AD112))/Q112,0)</f>
        <v>0</v>
      </c>
      <c r="AS112" s="363">
        <f t="shared" si="756"/>
        <v>0</v>
      </c>
      <c r="AT112" s="363">
        <f t="shared" si="756"/>
        <v>0</v>
      </c>
      <c r="AU112" s="363">
        <f t="shared" ca="1" si="756"/>
        <v>0</v>
      </c>
      <c r="AV112" s="355">
        <f t="shared" ca="1" si="470"/>
        <v>0</v>
      </c>
      <c r="AW112" s="364">
        <f ca="1">IFERROR(SUMPRODUCT(AW108:AW111,V108:V111)/V112,0)</f>
        <v>0</v>
      </c>
      <c r="AX112" s="365">
        <f t="shared" ref="AX112:AZ112" ca="1" si="757">IFERROR(SUMPRODUCT(AX108:AX111,X108:X111)/X112,0)</f>
        <v>0</v>
      </c>
      <c r="AY112" s="365">
        <f t="shared" ca="1" si="757"/>
        <v>0</v>
      </c>
      <c r="AZ112" s="365">
        <f t="shared" ca="1" si="757"/>
        <v>0</v>
      </c>
      <c r="BA112" s="366">
        <f ca="1">BA111</f>
        <v>0</v>
      </c>
      <c r="BB112" s="356">
        <f t="shared" ref="BB112:BD113" ca="1" si="758">BB111</f>
        <v>0</v>
      </c>
      <c r="BC112" s="356">
        <f t="shared" ca="1" si="758"/>
        <v>0</v>
      </c>
      <c r="BD112" s="356">
        <f t="shared" ca="1" si="758"/>
        <v>0</v>
      </c>
      <c r="BE112" s="355">
        <f t="shared" ca="1" si="471"/>
        <v>0</v>
      </c>
      <c r="BF112" s="356">
        <f>BF111</f>
        <v>0</v>
      </c>
      <c r="BG112" s="356">
        <f ca="1">BG111</f>
        <v>0</v>
      </c>
      <c r="BH112" s="367">
        <f ca="1">IF(Q112&lt;&gt;0,(BA112*COUNTIF(BH108:BH111,"&lt;&gt;0")/Q112),0)</f>
        <v>0</v>
      </c>
      <c r="BI112" s="368">
        <f ca="1">IF(T112&lt;&gt;0,(BD112*COUNTIF(BI108:BI111,"&lt;&gt;0")/T112),0)</f>
        <v>0</v>
      </c>
      <c r="BJ112" s="369">
        <f ca="1">IFERROR((Q112/COUNTIF(BJ108:BJ111,"&lt;&gt;0"))/BA112,0)</f>
        <v>0</v>
      </c>
      <c r="BK112" s="370">
        <f ca="1">IF(BD112&lt;&gt;0,(T112/COUNTIF(BK108:BK111,"&lt;&gt;0"))/BD112,0)</f>
        <v>0</v>
      </c>
      <c r="BL112" s="366">
        <f>SUM(BL108:BL111)</f>
        <v>0</v>
      </c>
      <c r="BM112" s="356">
        <f ca="1">SUM(BM108:BM111)</f>
        <v>0</v>
      </c>
      <c r="BN112" s="366">
        <f>SUM(BN108:BN111)</f>
        <v>0</v>
      </c>
      <c r="BO112" s="356">
        <f t="shared" ref="BO112" ca="1" si="759">SUM(BO108:BO111)</f>
        <v>0</v>
      </c>
      <c r="BP112" s="366">
        <f>SUM(BP108:BP111)</f>
        <v>0</v>
      </c>
      <c r="BQ112" s="356">
        <f t="shared" ref="BQ112" ca="1" si="760">SUM(BQ108:BQ111)</f>
        <v>0</v>
      </c>
      <c r="BR112" s="366">
        <f t="shared" si="734"/>
        <v>0</v>
      </c>
      <c r="BS112" s="356">
        <f t="shared" ca="1" si="734"/>
        <v>0</v>
      </c>
      <c r="BT112" s="366">
        <f>SUM(BT109:BT111)</f>
        <v>0</v>
      </c>
      <c r="BU112" s="356">
        <f>SUM(BU109:BU111)</f>
        <v>0</v>
      </c>
      <c r="BV112" s="356">
        <f>SUM(BV108:BV111)</f>
        <v>0</v>
      </c>
      <c r="BW112" s="356">
        <f t="shared" ref="BW112:BX112" si="761">SUM(BW108:BW111)</f>
        <v>0</v>
      </c>
      <c r="BX112" s="356">
        <f t="shared" si="761"/>
        <v>0</v>
      </c>
      <c r="BY112" s="371">
        <f ca="1">SUM(BY108:BY111)</f>
        <v>0</v>
      </c>
      <c r="BZ112" s="355">
        <f t="shared" ca="1" si="472"/>
        <v>0</v>
      </c>
      <c r="CA112" s="372">
        <f>SUM(CA109:CA111)</f>
        <v>0</v>
      </c>
      <c r="CB112" s="354">
        <f t="shared" ref="CB112" si="762">SUM(CB109:CB111)</f>
        <v>0</v>
      </c>
      <c r="CC112" s="354">
        <f t="shared" ref="CC112:CF112" si="763">SUM(CC108:CC111)</f>
        <v>0</v>
      </c>
      <c r="CD112" s="354">
        <f t="shared" si="763"/>
        <v>0</v>
      </c>
      <c r="CE112" s="354">
        <f t="shared" si="763"/>
        <v>0</v>
      </c>
      <c r="CF112" s="354">
        <f t="shared" ca="1" si="763"/>
        <v>0</v>
      </c>
      <c r="CG112" s="355">
        <f t="shared" ca="1" si="473"/>
        <v>0</v>
      </c>
      <c r="CH112" s="372">
        <f>SUM(CH109:CH111)</f>
        <v>0</v>
      </c>
      <c r="CI112" s="354">
        <f t="shared" ref="CI112" si="764">SUM(CI109:CI111)</f>
        <v>0</v>
      </c>
      <c r="CJ112" s="354">
        <f t="shared" ref="CJ112:CM112" si="765">SUM(CJ108:CJ111)</f>
        <v>0</v>
      </c>
      <c r="CK112" s="354">
        <f t="shared" si="765"/>
        <v>0</v>
      </c>
      <c r="CL112" s="354">
        <f t="shared" si="765"/>
        <v>0</v>
      </c>
      <c r="CM112" s="354">
        <f t="shared" ca="1" si="765"/>
        <v>0</v>
      </c>
      <c r="CN112" s="355">
        <f t="shared" ca="1" si="474"/>
        <v>0</v>
      </c>
      <c r="CO112" s="373">
        <f t="shared" si="670"/>
        <v>0</v>
      </c>
      <c r="CP112" s="374">
        <f t="shared" ca="1" si="670"/>
        <v>0</v>
      </c>
      <c r="CQ112" s="355">
        <f t="shared" ca="1" si="475"/>
        <v>0</v>
      </c>
      <c r="CR112" s="373">
        <f t="shared" si="671"/>
        <v>0</v>
      </c>
      <c r="CS112" s="374">
        <f t="shared" ca="1" si="671"/>
        <v>0</v>
      </c>
      <c r="CT112" s="355">
        <f t="shared" ca="1" si="517"/>
        <v>0</v>
      </c>
      <c r="CU112" s="44">
        <f t="shared" si="310"/>
        <v>0</v>
      </c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6"/>
      <c r="DA112" s="277"/>
      <c r="DB112" s="277"/>
      <c r="DC112" s="278"/>
    </row>
    <row r="113" spans="3:107" ht="16.5" thickBot="1" x14ac:dyDescent="0.3">
      <c r="C113" s="105" t="s">
        <v>278</v>
      </c>
      <c r="D113" s="52">
        <f t="shared" ref="D113:E113" si="766">D101+D107+D112</f>
        <v>0</v>
      </c>
      <c r="E113" s="204">
        <f t="shared" si="766"/>
        <v>0</v>
      </c>
      <c r="F113" s="205">
        <f t="shared" si="481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767">J101+J107+J112</f>
        <v>0</v>
      </c>
      <c r="K113" s="298">
        <f t="shared" si="767"/>
        <v>0</v>
      </c>
      <c r="L113" s="53">
        <f ca="1">L101+L107+L112</f>
        <v>0</v>
      </c>
      <c r="M113" s="53">
        <f t="shared" ref="M113:O113" si="768">M101+M107+M112</f>
        <v>0</v>
      </c>
      <c r="N113" s="53">
        <f t="shared" si="768"/>
        <v>0</v>
      </c>
      <c r="O113" s="53">
        <f t="shared" ca="1" si="768"/>
        <v>0</v>
      </c>
      <c r="P113" s="54">
        <f t="shared" ca="1" si="476"/>
        <v>0</v>
      </c>
      <c r="Q113" s="227">
        <f t="shared" ref="Q113:S113" ca="1" si="769">Q101+Q107+Q112</f>
        <v>0</v>
      </c>
      <c r="R113" s="228">
        <f t="shared" si="769"/>
        <v>0</v>
      </c>
      <c r="S113" s="228">
        <f t="shared" si="769"/>
        <v>0</v>
      </c>
      <c r="T113" s="228">
        <f ca="1">T101+T107+T112</f>
        <v>0</v>
      </c>
      <c r="U113" s="54">
        <f t="shared" ca="1" si="467"/>
        <v>0</v>
      </c>
      <c r="V113" s="245">
        <f t="shared" ca="1" si="750"/>
        <v>0</v>
      </c>
      <c r="W113" s="326">
        <f t="shared" ca="1" si="750"/>
        <v>0</v>
      </c>
      <c r="X113" s="246">
        <f t="shared" ca="1" si="750"/>
        <v>0</v>
      </c>
      <c r="Y113" s="52">
        <f ca="1">Y101+Y107+Y112</f>
        <v>0</v>
      </c>
      <c r="Z113" s="53">
        <f t="shared" ref="Z113:AB113" si="770">Z101+Z107+Z112</f>
        <v>0</v>
      </c>
      <c r="AA113" s="53">
        <f t="shared" si="770"/>
        <v>0</v>
      </c>
      <c r="AB113" s="53">
        <f t="shared" ca="1" si="770"/>
        <v>0</v>
      </c>
      <c r="AC113" s="54">
        <f t="shared" ca="1" si="468"/>
        <v>0</v>
      </c>
      <c r="AD113" s="77">
        <f t="shared" ca="1" si="752"/>
        <v>0</v>
      </c>
      <c r="AE113" s="78">
        <f t="shared" si="752"/>
        <v>0</v>
      </c>
      <c r="AF113" s="78">
        <f t="shared" si="752"/>
        <v>0</v>
      </c>
      <c r="AG113" s="78">
        <f t="shared" ca="1" si="752"/>
        <v>0</v>
      </c>
      <c r="AH113" s="57">
        <f ca="1">IFERROR((AH101*Q101+AH107*Q107+AH112*Q112)/Q113,0)</f>
        <v>0</v>
      </c>
      <c r="AI113" s="58">
        <f t="shared" ref="AI113:AK113" si="771">IFERROR((AI101*R101+AI107*R107+AI112*R112)/R113,0)</f>
        <v>0</v>
      </c>
      <c r="AJ113" s="58">
        <f t="shared" si="771"/>
        <v>0</v>
      </c>
      <c r="AK113" s="58">
        <f t="shared" ca="1" si="771"/>
        <v>0</v>
      </c>
      <c r="AL113" s="54">
        <f t="shared" ref="AL113" ca="1" si="772">IFERROR(AH113/AK113-1,)</f>
        <v>0</v>
      </c>
      <c r="AM113" s="57">
        <f t="shared" ca="1" si="755"/>
        <v>0</v>
      </c>
      <c r="AN113" s="58">
        <f t="shared" si="755"/>
        <v>0</v>
      </c>
      <c r="AO113" s="58">
        <f t="shared" si="755"/>
        <v>0</v>
      </c>
      <c r="AP113" s="58">
        <f t="shared" ca="1" si="755"/>
        <v>0</v>
      </c>
      <c r="AQ113" s="54">
        <f t="shared" ca="1" si="469"/>
        <v>0</v>
      </c>
      <c r="AR113" s="57">
        <f t="shared" ca="1" si="756"/>
        <v>0</v>
      </c>
      <c r="AS113" s="58">
        <f t="shared" si="756"/>
        <v>0</v>
      </c>
      <c r="AT113" s="58">
        <f t="shared" si="756"/>
        <v>0</v>
      </c>
      <c r="AU113" s="58">
        <f t="shared" ca="1" si="756"/>
        <v>0</v>
      </c>
      <c r="AV113" s="54">
        <f t="shared" ca="1" si="470"/>
        <v>0</v>
      </c>
      <c r="AW113" s="59">
        <f ca="1">IFERROR((AW101*V101+AW107*V107+AW112*V112)/V113,0)</f>
        <v>0</v>
      </c>
      <c r="AX113" s="60">
        <f t="shared" ref="AX113:AZ113" ca="1" si="773">IFERROR((AX101*X101+AX107*X107+AX112*X112)/X113,0)</f>
        <v>0</v>
      </c>
      <c r="AY113" s="60">
        <f t="shared" ca="1" si="773"/>
        <v>0</v>
      </c>
      <c r="AZ113" s="60">
        <f t="shared" ca="1" si="773"/>
        <v>0</v>
      </c>
      <c r="BA113" s="234">
        <f ca="1">BA112</f>
        <v>0</v>
      </c>
      <c r="BB113" s="228">
        <f t="shared" ca="1" si="758"/>
        <v>0</v>
      </c>
      <c r="BC113" s="228">
        <f t="shared" ca="1" si="758"/>
        <v>0</v>
      </c>
      <c r="BD113" s="228">
        <f t="shared" ca="1" si="758"/>
        <v>0</v>
      </c>
      <c r="BE113" s="54">
        <f t="shared" ca="1" si="471"/>
        <v>0</v>
      </c>
      <c r="BF113" s="228">
        <f>BF112</f>
        <v>0</v>
      </c>
      <c r="BG113" s="228">
        <f ca="1">BG112</f>
        <v>0</v>
      </c>
      <c r="BH113" s="62">
        <f ca="1">IF(Q111&lt;&gt;0,(BA113/(Q113/13)),0)</f>
        <v>0</v>
      </c>
      <c r="BI113" s="132">
        <f ca="1">IF(T111&lt;&gt;0,(BD113/(T113/13)),0)</f>
        <v>0</v>
      </c>
      <c r="BJ113" s="189">
        <f ca="1">IF(BA113&lt;&gt;0,(Q113/13)/BA113,0)</f>
        <v>0</v>
      </c>
      <c r="BK113" s="61">
        <f ca="1">IF(BD113&lt;&gt;0,(T113/13)/BD113,0)</f>
        <v>0</v>
      </c>
      <c r="BL113" s="227">
        <f>BL101+BL107+BL112</f>
        <v>0</v>
      </c>
      <c r="BM113" s="228">
        <f t="shared" ref="BM113" ca="1" si="774">BM101+BM107+BM112</f>
        <v>0</v>
      </c>
      <c r="BN113" s="227">
        <f>BN101+BN107+BN112</f>
        <v>0</v>
      </c>
      <c r="BO113" s="228">
        <f t="shared" ref="BO113" ca="1" si="775">BO101+BO107+BO112</f>
        <v>0</v>
      </c>
      <c r="BP113" s="227">
        <f>BP101+BP107+BP112</f>
        <v>0</v>
      </c>
      <c r="BQ113" s="228">
        <f t="shared" ref="BQ113" ca="1" si="776">BQ101+BQ107+BQ112</f>
        <v>0</v>
      </c>
      <c r="BR113" s="227">
        <f t="shared" si="734"/>
        <v>0</v>
      </c>
      <c r="BS113" s="228">
        <f t="shared" ca="1" si="734"/>
        <v>0</v>
      </c>
      <c r="BT113" s="227">
        <f t="shared" ref="BT113:BY113" si="777">BT101+BT107+BT112</f>
        <v>0</v>
      </c>
      <c r="BU113" s="228">
        <f t="shared" si="777"/>
        <v>0</v>
      </c>
      <c r="BV113" s="228">
        <f t="shared" si="777"/>
        <v>0</v>
      </c>
      <c r="BW113" s="228">
        <f t="shared" si="777"/>
        <v>0</v>
      </c>
      <c r="BX113" s="228">
        <f t="shared" si="777"/>
        <v>0</v>
      </c>
      <c r="BY113" s="56">
        <f t="shared" ca="1" si="777"/>
        <v>0</v>
      </c>
      <c r="BZ113" s="54">
        <f t="shared" ca="1" si="472"/>
        <v>0</v>
      </c>
      <c r="CA113" s="332">
        <f t="shared" ref="CA113:CF113" si="778">CA101+CA107+CA112</f>
        <v>0</v>
      </c>
      <c r="CB113" s="53">
        <f t="shared" si="778"/>
        <v>0</v>
      </c>
      <c r="CC113" s="53">
        <f t="shared" si="778"/>
        <v>0</v>
      </c>
      <c r="CD113" s="53">
        <f t="shared" si="778"/>
        <v>0</v>
      </c>
      <c r="CE113" s="53">
        <f t="shared" si="778"/>
        <v>0</v>
      </c>
      <c r="CF113" s="53">
        <f t="shared" ca="1" si="778"/>
        <v>0</v>
      </c>
      <c r="CG113" s="54">
        <f t="shared" ca="1" si="473"/>
        <v>0</v>
      </c>
      <c r="CH113" s="332">
        <f t="shared" ref="CH113:CM113" si="779">CH101+CH107+CH112</f>
        <v>0</v>
      </c>
      <c r="CI113" s="53">
        <f t="shared" si="779"/>
        <v>0</v>
      </c>
      <c r="CJ113" s="53">
        <f t="shared" si="779"/>
        <v>0</v>
      </c>
      <c r="CK113" s="53">
        <f t="shared" si="779"/>
        <v>0</v>
      </c>
      <c r="CL113" s="53">
        <f t="shared" si="779"/>
        <v>0</v>
      </c>
      <c r="CM113" s="53">
        <f t="shared" ca="1" si="779"/>
        <v>0</v>
      </c>
      <c r="CN113" s="54">
        <f t="shared" ca="1" si="474"/>
        <v>0</v>
      </c>
      <c r="CO113" s="55">
        <f t="shared" si="670"/>
        <v>0</v>
      </c>
      <c r="CP113" s="222">
        <f t="shared" ca="1" si="670"/>
        <v>0</v>
      </c>
      <c r="CQ113" s="54">
        <f t="shared" ca="1" si="475"/>
        <v>0</v>
      </c>
      <c r="CR113" s="55">
        <f t="shared" si="671"/>
        <v>0</v>
      </c>
      <c r="CS113" s="222">
        <f t="shared" ca="1" si="671"/>
        <v>0</v>
      </c>
      <c r="CT113" s="54">
        <f t="shared" ca="1" si="517"/>
        <v>0</v>
      </c>
      <c r="CU113" s="44">
        <f t="shared" si="310"/>
        <v>0</v>
      </c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79"/>
      <c r="DA113" s="280"/>
      <c r="DB113" s="280"/>
      <c r="DC113" s="281"/>
    </row>
  </sheetData>
  <mergeCells count="33">
    <mergeCell ref="L7:X7"/>
    <mergeCell ref="C5:R5"/>
    <mergeCell ref="BJ9:BK9"/>
    <mergeCell ref="BL9:BM9"/>
    <mergeCell ref="Z7:AJ7"/>
    <mergeCell ref="L6:Q6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  <mergeCell ref="BT8:CT8"/>
    <mergeCell ref="AH9:AL9"/>
    <mergeCell ref="AM9:AQ9"/>
    <mergeCell ref="AR9:AV9"/>
    <mergeCell ref="AW9:AZ9"/>
    <mergeCell ref="BA9:BE9"/>
    <mergeCell ref="BF9:BG9"/>
    <mergeCell ref="BH9:BI9"/>
    <mergeCell ref="BN9:BO9"/>
    <mergeCell ref="CW9:CY9"/>
    <mergeCell ref="CZ9:DC9"/>
    <mergeCell ref="BT9:BZ9"/>
    <mergeCell ref="CA9:CG9"/>
    <mergeCell ref="CH9:CN9"/>
    <mergeCell ref="CO9:CQ9"/>
    <mergeCell ref="CR9:CT9"/>
  </mergeCells>
  <phoneticPr fontId="12" type="noConversion"/>
  <conditionalFormatting sqref="C11:C14">
    <cfRule type="expression" dxfId="34" priority="35">
      <formula>$A11="A"</formula>
    </cfRule>
  </conditionalFormatting>
  <conditionalFormatting sqref="C16:C20">
    <cfRule type="expression" dxfId="33" priority="34">
      <formula>$A16="A"</formula>
    </cfRule>
  </conditionalFormatting>
  <conditionalFormatting sqref="C22:C25">
    <cfRule type="expression" dxfId="32" priority="33">
      <formula>$A22="A"</formula>
    </cfRule>
  </conditionalFormatting>
  <conditionalFormatting sqref="C28">
    <cfRule type="expression" dxfId="31" priority="32">
      <formula>$A28="A"</formula>
    </cfRule>
  </conditionalFormatting>
  <conditionalFormatting sqref="C29:C31">
    <cfRule type="expression" dxfId="30" priority="31">
      <formula>$A29="A"</formula>
    </cfRule>
  </conditionalFormatting>
  <conditionalFormatting sqref="C33">
    <cfRule type="expression" dxfId="29" priority="30">
      <formula>$A33="A"</formula>
    </cfRule>
  </conditionalFormatting>
  <conditionalFormatting sqref="C91:C94">
    <cfRule type="expression" dxfId="28" priority="22">
      <formula>$A91="A"</formula>
    </cfRule>
  </conditionalFormatting>
  <conditionalFormatting sqref="C56:C59">
    <cfRule type="expression" dxfId="27" priority="28">
      <formula>$A56="A"</formula>
    </cfRule>
  </conditionalFormatting>
  <conditionalFormatting sqref="C51:C54">
    <cfRule type="expression" dxfId="26" priority="29">
      <formula>$A51="A"</formula>
    </cfRule>
  </conditionalFormatting>
  <conditionalFormatting sqref="C62:C65">
    <cfRule type="expression" dxfId="25" priority="27">
      <formula>$A62="A"</formula>
    </cfRule>
  </conditionalFormatting>
  <conditionalFormatting sqref="C67:C71">
    <cfRule type="expression" dxfId="24" priority="26">
      <formula>$A67="A"</formula>
    </cfRule>
  </conditionalFormatting>
  <conditionalFormatting sqref="C73:C76">
    <cfRule type="expression" dxfId="23" priority="25">
      <formula>$A73="A"</formula>
    </cfRule>
  </conditionalFormatting>
  <conditionalFormatting sqref="C80:C83">
    <cfRule type="expression" dxfId="22" priority="24">
      <formula>$A80="A"</formula>
    </cfRule>
  </conditionalFormatting>
  <conditionalFormatting sqref="C85:C89">
    <cfRule type="expression" dxfId="21" priority="23">
      <formula>$A85="A"</formula>
    </cfRule>
  </conditionalFormatting>
  <conditionalFormatting sqref="C34">
    <cfRule type="expression" dxfId="20" priority="21">
      <formula>$A34="A"</formula>
    </cfRule>
  </conditionalFormatting>
  <conditionalFormatting sqref="C35">
    <cfRule type="expression" dxfId="19" priority="20">
      <formula>$A35="A"</formula>
    </cfRule>
  </conditionalFormatting>
  <conditionalFormatting sqref="C36:C37">
    <cfRule type="expression" dxfId="18" priority="19">
      <formula>$A36="A"</formula>
    </cfRule>
  </conditionalFormatting>
  <conditionalFormatting sqref="C39">
    <cfRule type="expression" dxfId="17" priority="18">
      <formula>$A39="A"</formula>
    </cfRule>
  </conditionalFormatting>
  <conditionalFormatting sqref="C40:C42">
    <cfRule type="expression" dxfId="16" priority="17">
      <formula>$A40="A"</formula>
    </cfRule>
  </conditionalFormatting>
  <conditionalFormatting sqref="C45">
    <cfRule type="expression" dxfId="15" priority="16">
      <formula>$A45="A"</formula>
    </cfRule>
  </conditionalFormatting>
  <conditionalFormatting sqref="C97:C100">
    <cfRule type="expression" dxfId="14" priority="15">
      <formula>$A97="A"</formula>
    </cfRule>
  </conditionalFormatting>
  <conditionalFormatting sqref="C102:C106">
    <cfRule type="expression" dxfId="13" priority="14">
      <formula>$A102="A"</formula>
    </cfRule>
  </conditionalFormatting>
  <conditionalFormatting sqref="C108:C111">
    <cfRule type="expression" dxfId="12" priority="13">
      <formula>$A108="A"</formula>
    </cfRule>
  </conditionalFormatting>
  <conditionalFormatting sqref="C46:C47">
    <cfRule type="expression" dxfId="11" priority="12">
      <formula>$A46="A"</formula>
    </cfRule>
  </conditionalFormatting>
  <conditionalFormatting sqref="Q97:Q100 Q102:Q106 Q108:Q111">
    <cfRule type="expression" dxfId="10" priority="11">
      <formula>BA96&lt;Q97</formula>
    </cfRule>
  </conditionalFormatting>
  <conditionalFormatting sqref="Q80:Q83">
    <cfRule type="expression" dxfId="9" priority="10">
      <formula>BA79&lt;Q80</formula>
    </cfRule>
  </conditionalFormatting>
  <conditionalFormatting sqref="Q85:Q89">
    <cfRule type="expression" dxfId="8" priority="9">
      <formula>BA84&lt;Q85</formula>
    </cfRule>
  </conditionalFormatting>
  <conditionalFormatting sqref="Q91:Q94">
    <cfRule type="expression" dxfId="7" priority="8">
      <formula>BA90&lt;Q91</formula>
    </cfRule>
  </conditionalFormatting>
  <conditionalFormatting sqref="Q51:Q54">
    <cfRule type="expression" dxfId="6" priority="7">
      <formula>BA50&lt;Q51</formula>
    </cfRule>
  </conditionalFormatting>
  <conditionalFormatting sqref="Q56:Q59">
    <cfRule type="expression" dxfId="5" priority="6">
      <formula>BA55&lt;Q56</formula>
    </cfRule>
  </conditionalFormatting>
  <conditionalFormatting sqref="Q62:Q65">
    <cfRule type="expression" dxfId="4" priority="5">
      <formula>BA61&lt;Q62</formula>
    </cfRule>
  </conditionalFormatting>
  <conditionalFormatting sqref="Q67:Q71">
    <cfRule type="expression" dxfId="3" priority="4">
      <formula>BA66&lt;Q67</formula>
    </cfRule>
  </conditionalFormatting>
  <conditionalFormatting sqref="Q73:Q76">
    <cfRule type="expression" dxfId="2" priority="3">
      <formula>BA72&lt;Q73</formula>
    </cfRule>
  </conditionalFormatting>
  <conditionalFormatting sqref="C48">
    <cfRule type="expression" dxfId="1" priority="2">
      <formula>$A48="A"</formula>
    </cfRule>
  </conditionalFormatting>
  <conditionalFormatting sqref="C50">
    <cfRule type="expression" dxfId="0" priority="1">
      <formula>$A50="A"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113"/>
  <sheetViews>
    <sheetView showGridLines="0" zoomScale="80" zoomScaleNormal="80" zoomScalePageLayoutView="80" workbookViewId="0">
      <pane xSplit="6" ySplit="10" topLeftCell="G45" activePane="bottomRight" state="frozen"/>
      <selection activeCell="R20" sqref="R20"/>
      <selection pane="topRight" activeCell="R20" sqref="R20"/>
      <selection pane="bottomLeft" activeCell="R20" sqref="R20"/>
      <selection pane="bottomRight" activeCell="Q1" sqref="Q1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3.75" style="44" bestFit="1" customWidth="1"/>
    <col min="8" max="9" width="7.5" style="44" bestFit="1" customWidth="1"/>
    <col min="10" max="10" width="11.75" style="44" bestFit="1" customWidth="1"/>
    <col min="11" max="11" width="10.75" style="44" bestFit="1" customWidth="1"/>
    <col min="12" max="12" width="11.75" style="44" bestFit="1" customWidth="1"/>
    <col min="13" max="13" width="10.75" style="44" bestFit="1" customWidth="1"/>
    <col min="14" max="14" width="6.75" style="44" bestFit="1" customWidth="1"/>
    <col min="15" max="15" width="14" style="44" bestFit="1" customWidth="1"/>
    <col min="16" max="16" width="13" style="44" bestFit="1" customWidth="1"/>
    <col min="17" max="17" width="11.875" style="82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13" style="44" bestFit="1" customWidth="1"/>
    <col min="22" max="22" width="9.5" style="44" bestFit="1" customWidth="1"/>
    <col min="23" max="23" width="9.5" style="44" customWidth="1"/>
    <col min="24" max="24" width="9.875" style="44" bestFit="1" customWidth="1"/>
    <col min="25" max="25" width="11.75" style="44" bestFit="1" customWidth="1"/>
    <col min="26" max="26" width="10.75" style="44" bestFit="1" customWidth="1"/>
    <col min="27" max="27" width="10.5" style="44" bestFit="1" customWidth="1"/>
    <col min="28" max="28" width="10.75" style="44" bestFit="1" customWidth="1"/>
    <col min="29" max="29" width="13.625" style="44" bestFit="1" customWidth="1"/>
    <col min="30" max="30" width="10.5" style="44" bestFit="1" customWidth="1"/>
    <col min="31" max="31" width="12.62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11.7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11.7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7.37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.875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13.62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9.87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10.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10.625" bestFit="1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13.62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286</v>
      </c>
      <c r="C1" s="74" t="s">
        <v>290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/>
      <c r="O1" s="81"/>
      <c r="P1" s="81"/>
      <c r="Q1" s="42" t="s">
        <v>401</v>
      </c>
      <c r="R1" s="138"/>
      <c r="S1" s="138"/>
      <c r="T1" s="42"/>
      <c r="U1" s="43"/>
      <c r="V1" s="81"/>
      <c r="W1" s="388" t="s">
        <v>475</v>
      </c>
      <c r="X1" s="388" t="s">
        <v>468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297</v>
      </c>
      <c r="AI1" s="42"/>
      <c r="AJ1" s="42"/>
      <c r="AK1" s="42"/>
      <c r="AL1" s="43"/>
      <c r="AM1" s="42" t="s">
        <v>298</v>
      </c>
      <c r="AN1" s="42"/>
      <c r="AO1" s="42"/>
      <c r="AP1" s="42"/>
      <c r="AQ1" s="43"/>
      <c r="AR1" s="42" t="s">
        <v>299</v>
      </c>
      <c r="AS1" s="42"/>
      <c r="AT1" s="42"/>
      <c r="AU1" s="42"/>
      <c r="AV1" s="43"/>
      <c r="AW1" s="43"/>
      <c r="AX1" s="43"/>
      <c r="AY1" s="43"/>
      <c r="AZ1" s="43"/>
      <c r="BA1" s="42" t="s">
        <v>402</v>
      </c>
      <c r="BB1" s="42"/>
      <c r="BC1" s="42"/>
      <c r="BD1" s="42"/>
      <c r="BE1" s="43"/>
      <c r="BF1" s="42" t="s">
        <v>388</v>
      </c>
      <c r="BG1" s="42"/>
      <c r="BH1" s="43"/>
      <c r="BI1" s="43"/>
      <c r="BJ1" s="43"/>
      <c r="BK1" s="43"/>
      <c r="BL1" s="42" t="s">
        <v>389</v>
      </c>
      <c r="BM1" s="42"/>
      <c r="BN1" s="42" t="s">
        <v>395</v>
      </c>
      <c r="BO1" s="42"/>
      <c r="BP1" s="42" t="s">
        <v>396</v>
      </c>
      <c r="BQ1" s="42"/>
      <c r="BR1" s="43"/>
      <c r="BS1" s="43"/>
      <c r="BT1" s="42" t="s">
        <v>390</v>
      </c>
      <c r="BU1" s="42"/>
      <c r="BV1" s="42"/>
      <c r="BW1" s="42"/>
      <c r="BX1" s="42"/>
      <c r="BY1" s="42"/>
      <c r="BZ1" s="43"/>
      <c r="CA1" s="42" t="s">
        <v>391</v>
      </c>
      <c r="CB1" s="42"/>
      <c r="CC1" s="42"/>
      <c r="CD1" s="42"/>
      <c r="CE1" s="42"/>
      <c r="CF1" s="42"/>
      <c r="CG1" s="43"/>
      <c r="CH1" s="42" t="s">
        <v>392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289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U2" s="38">
        <v>24</v>
      </c>
      <c r="CV2"/>
      <c r="CW2" s="43">
        <v>9</v>
      </c>
      <c r="CX2" s="42">
        <f>CW2-1</f>
        <v>8</v>
      </c>
      <c r="CY2" s="43"/>
    </row>
    <row r="3" spans="1:107" s="38" customFormat="1" x14ac:dyDescent="0.25">
      <c r="C3" s="74" t="s">
        <v>288</v>
      </c>
      <c r="D3" s="43" t="s">
        <v>304</v>
      </c>
      <c r="E3" s="43" t="s">
        <v>304</v>
      </c>
      <c r="F3" s="43" t="s">
        <v>304</v>
      </c>
      <c r="G3" s="43" t="s">
        <v>304</v>
      </c>
      <c r="H3" s="43" t="s">
        <v>304</v>
      </c>
      <c r="I3" s="43" t="s">
        <v>304</v>
      </c>
      <c r="J3" s="43" t="s">
        <v>304</v>
      </c>
      <c r="K3" s="43" t="s">
        <v>304</v>
      </c>
      <c r="L3" s="43" t="s">
        <v>304</v>
      </c>
      <c r="M3" s="43" t="s">
        <v>304</v>
      </c>
      <c r="N3" s="43" t="s">
        <v>304</v>
      </c>
      <c r="O3" s="43" t="s">
        <v>304</v>
      </c>
      <c r="P3" s="43" t="s">
        <v>304</v>
      </c>
      <c r="Q3" s="43" t="s">
        <v>305</v>
      </c>
      <c r="R3" s="43" t="s">
        <v>305</v>
      </c>
      <c r="S3" s="43" t="s">
        <v>305</v>
      </c>
      <c r="T3" s="43" t="s">
        <v>305</v>
      </c>
      <c r="U3" s="43"/>
      <c r="V3" s="81" t="s">
        <v>304</v>
      </c>
      <c r="W3" s="81" t="s">
        <v>304</v>
      </c>
      <c r="X3" s="81" t="s">
        <v>304</v>
      </c>
      <c r="Y3" s="43" t="s">
        <v>287</v>
      </c>
      <c r="Z3" s="43" t="s">
        <v>287</v>
      </c>
      <c r="AA3" s="43" t="s">
        <v>287</v>
      </c>
      <c r="AB3" s="43" t="s">
        <v>287</v>
      </c>
      <c r="AC3" s="43"/>
      <c r="AD3" s="43" t="s">
        <v>287</v>
      </c>
      <c r="AE3" s="43"/>
      <c r="AF3" s="43"/>
      <c r="AG3" s="43"/>
      <c r="AH3" s="43" t="s">
        <v>304</v>
      </c>
      <c r="AI3" s="43"/>
      <c r="AJ3" s="43"/>
      <c r="AK3" s="43"/>
      <c r="AL3" s="43"/>
      <c r="AM3" s="43" t="s">
        <v>304</v>
      </c>
      <c r="AN3" s="43"/>
      <c r="AO3" s="43"/>
      <c r="AP3" s="43">
        <v>4</v>
      </c>
      <c r="AQ3" s="43"/>
      <c r="AR3" s="43" t="s">
        <v>304</v>
      </c>
      <c r="AS3" s="43"/>
      <c r="AT3" s="43"/>
      <c r="AU3" s="43">
        <v>4</v>
      </c>
      <c r="AV3" s="43"/>
      <c r="AW3" s="43" t="s">
        <v>304</v>
      </c>
      <c r="AX3" s="43"/>
      <c r="AY3" s="43"/>
      <c r="AZ3" s="43"/>
      <c r="BA3" s="43" t="s">
        <v>287</v>
      </c>
      <c r="BB3" s="43"/>
      <c r="BC3" s="43"/>
      <c r="BD3" s="43" t="s">
        <v>287</v>
      </c>
      <c r="BE3" s="43"/>
      <c r="BF3" s="43" t="s">
        <v>306</v>
      </c>
      <c r="BG3" s="43" t="s">
        <v>306</v>
      </c>
      <c r="BH3" s="43" t="s">
        <v>306</v>
      </c>
      <c r="BI3" s="43" t="s">
        <v>306</v>
      </c>
      <c r="BJ3" s="43" t="s">
        <v>304</v>
      </c>
      <c r="BK3" s="43" t="s">
        <v>304</v>
      </c>
      <c r="BL3" s="43" t="s">
        <v>304</v>
      </c>
      <c r="BM3" s="43"/>
      <c r="BN3" s="43" t="s">
        <v>304</v>
      </c>
      <c r="BO3" s="43"/>
      <c r="BP3" s="43" t="s">
        <v>304</v>
      </c>
      <c r="BQ3" s="43"/>
      <c r="BR3" s="43" t="s">
        <v>304</v>
      </c>
      <c r="BS3" s="43"/>
      <c r="BT3" s="43" t="s">
        <v>287</v>
      </c>
      <c r="BU3" s="43"/>
      <c r="BV3" s="43" t="s">
        <v>305</v>
      </c>
      <c r="BW3" s="43"/>
      <c r="BX3" s="43"/>
      <c r="BY3" s="43"/>
      <c r="BZ3" s="43"/>
      <c r="CA3" s="43" t="s">
        <v>287</v>
      </c>
      <c r="CB3" s="43" t="s">
        <v>305</v>
      </c>
      <c r="CC3" s="43" t="s">
        <v>305</v>
      </c>
      <c r="CD3" s="43" t="s">
        <v>305</v>
      </c>
      <c r="CE3" s="43" t="s">
        <v>305</v>
      </c>
      <c r="CF3" s="43" t="s">
        <v>305</v>
      </c>
      <c r="CG3" s="43"/>
      <c r="CH3" s="43" t="s">
        <v>287</v>
      </c>
      <c r="CI3" s="43" t="s">
        <v>287</v>
      </c>
      <c r="CJ3" s="43" t="s">
        <v>287</v>
      </c>
      <c r="CK3" s="43" t="s">
        <v>287</v>
      </c>
      <c r="CL3" s="43" t="s">
        <v>287</v>
      </c>
      <c r="CM3" s="43" t="s">
        <v>287</v>
      </c>
      <c r="CN3" s="43"/>
      <c r="CO3" s="43"/>
      <c r="CP3" s="43"/>
      <c r="CQ3" s="43"/>
      <c r="CR3" s="43"/>
      <c r="CS3" s="43"/>
      <c r="CT3" s="43"/>
      <c r="CU3" s="38" t="s">
        <v>305</v>
      </c>
      <c r="CV3"/>
      <c r="CW3" s="43" t="s">
        <v>287</v>
      </c>
      <c r="CX3" s="43" t="s">
        <v>287</v>
      </c>
      <c r="CY3" s="43"/>
    </row>
    <row r="4" spans="1:107" s="38" customFormat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354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354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354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354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354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354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354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354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U4" s="38" t="str">
        <f>ForecastVer</f>
        <v>MBR</v>
      </c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4"/>
      <c r="Q5" s="44"/>
    </row>
    <row r="6" spans="1:107" x14ac:dyDescent="0.25">
      <c r="Q6" s="44"/>
      <c r="BA6" s="44"/>
    </row>
    <row r="7" spans="1:107" ht="16.5" thickBot="1" x14ac:dyDescent="0.3">
      <c r="Q7" s="44"/>
      <c r="BA7" s="44"/>
    </row>
    <row r="8" spans="1:107" s="139" customFormat="1" ht="21.75" thickBot="1" x14ac:dyDescent="0.3">
      <c r="C8" s="140" t="s">
        <v>37</v>
      </c>
      <c r="D8" s="437" t="s">
        <v>10</v>
      </c>
      <c r="E8" s="438"/>
      <c r="F8" s="438"/>
      <c r="G8" s="438"/>
      <c r="H8" s="438"/>
      <c r="I8" s="438"/>
      <c r="J8" s="438"/>
      <c r="K8" s="439"/>
      <c r="L8" s="385" t="s">
        <v>26</v>
      </c>
      <c r="M8" s="386"/>
      <c r="N8" s="386"/>
      <c r="O8" s="386"/>
      <c r="P8" s="386"/>
      <c r="Q8" s="386"/>
      <c r="R8" s="386"/>
      <c r="S8" s="386"/>
      <c r="T8" s="386"/>
      <c r="U8" s="386"/>
      <c r="V8" s="386"/>
      <c r="W8" s="386"/>
      <c r="X8" s="386"/>
      <c r="Y8" s="386"/>
      <c r="Z8" s="386"/>
      <c r="AA8" s="386"/>
      <c r="AB8" s="386"/>
      <c r="AC8" s="386"/>
      <c r="AD8" s="386"/>
      <c r="AE8" s="386"/>
      <c r="AF8" s="386"/>
      <c r="AG8" s="386"/>
      <c r="AH8" s="386"/>
      <c r="AI8" s="386"/>
      <c r="AJ8" s="386"/>
      <c r="AK8" s="386"/>
      <c r="AL8" s="386"/>
      <c r="AM8" s="386"/>
      <c r="AN8" s="386"/>
      <c r="AO8" s="386"/>
      <c r="AP8" s="386"/>
      <c r="AQ8" s="386"/>
      <c r="AR8" s="386"/>
      <c r="AS8" s="386"/>
      <c r="AT8" s="386"/>
      <c r="AU8" s="386"/>
      <c r="AV8" s="386"/>
      <c r="AW8" s="386"/>
      <c r="AX8" s="386"/>
      <c r="AY8" s="386"/>
      <c r="AZ8" s="387"/>
      <c r="BA8" s="468" t="s">
        <v>365</v>
      </c>
      <c r="BB8" s="469"/>
      <c r="BC8" s="469"/>
      <c r="BD8" s="469"/>
      <c r="BE8" s="469"/>
      <c r="BF8" s="469"/>
      <c r="BG8" s="469"/>
      <c r="BH8" s="469"/>
      <c r="BI8" s="469"/>
      <c r="BJ8" s="469"/>
      <c r="BK8" s="469"/>
      <c r="BL8" s="469"/>
      <c r="BM8" s="469"/>
      <c r="BN8" s="469"/>
      <c r="BO8" s="469"/>
      <c r="BP8" s="469"/>
      <c r="BQ8" s="469"/>
      <c r="BR8" s="469"/>
      <c r="BS8" s="470"/>
      <c r="BT8" s="421" t="s">
        <v>345</v>
      </c>
      <c r="BU8" s="421"/>
      <c r="BV8" s="421"/>
      <c r="BW8" s="421"/>
      <c r="BX8" s="421"/>
      <c r="BY8" s="421"/>
      <c r="BZ8" s="421"/>
      <c r="CA8" s="421"/>
      <c r="CB8" s="421"/>
      <c r="CC8" s="421"/>
      <c r="CD8" s="421"/>
      <c r="CE8" s="421"/>
      <c r="CF8" s="421"/>
      <c r="CG8" s="421"/>
      <c r="CH8" s="421"/>
      <c r="CI8" s="421"/>
      <c r="CJ8" s="421"/>
      <c r="CK8" s="421"/>
      <c r="CL8" s="421"/>
      <c r="CM8" s="421"/>
      <c r="CN8" s="421"/>
      <c r="CO8" s="421"/>
      <c r="CP8" s="421"/>
      <c r="CQ8" s="421"/>
      <c r="CR8" s="421"/>
      <c r="CS8" s="421"/>
      <c r="CT8" s="422"/>
      <c r="CW8" s="141"/>
      <c r="CX8" s="142"/>
      <c r="CY8" s="142"/>
      <c r="CZ8" s="143"/>
      <c r="DA8" s="144"/>
      <c r="DB8" s="144"/>
      <c r="DC8" s="145"/>
    </row>
    <row r="9" spans="1:107" s="139" customFormat="1" ht="21" x14ac:dyDescent="0.35">
      <c r="C9" s="146"/>
      <c r="D9" s="147"/>
      <c r="E9" s="148"/>
      <c r="F9" s="148"/>
      <c r="G9" s="148"/>
      <c r="H9" s="148"/>
      <c r="I9" s="148"/>
      <c r="J9" s="148"/>
      <c r="K9" s="300"/>
      <c r="L9" s="462" t="s">
        <v>6</v>
      </c>
      <c r="M9" s="462"/>
      <c r="N9" s="462"/>
      <c r="O9" s="462"/>
      <c r="P9" s="463"/>
      <c r="Q9" s="381" t="s">
        <v>8</v>
      </c>
      <c r="R9" s="382"/>
      <c r="S9" s="382"/>
      <c r="T9" s="383"/>
      <c r="U9" s="384"/>
      <c r="V9" s="464" t="s">
        <v>359</v>
      </c>
      <c r="W9" s="465"/>
      <c r="X9" s="466"/>
      <c r="Y9" s="467" t="s">
        <v>360</v>
      </c>
      <c r="Z9" s="462"/>
      <c r="AA9" s="467"/>
      <c r="AB9" s="462"/>
      <c r="AC9" s="463"/>
      <c r="AD9" s="467" t="s">
        <v>4</v>
      </c>
      <c r="AE9" s="462"/>
      <c r="AF9" s="462"/>
      <c r="AG9" s="462"/>
      <c r="AH9" s="452" t="s">
        <v>1</v>
      </c>
      <c r="AI9" s="453"/>
      <c r="AJ9" s="453"/>
      <c r="AK9" s="453"/>
      <c r="AL9" s="454"/>
      <c r="AM9" s="471" t="s">
        <v>2</v>
      </c>
      <c r="AN9" s="472"/>
      <c r="AO9" s="472"/>
      <c r="AP9" s="472"/>
      <c r="AQ9" s="473"/>
      <c r="AR9" s="452" t="s">
        <v>3</v>
      </c>
      <c r="AS9" s="453"/>
      <c r="AT9" s="453"/>
      <c r="AU9" s="453"/>
      <c r="AV9" s="453"/>
      <c r="AW9" s="404" t="s">
        <v>7</v>
      </c>
      <c r="AX9" s="405"/>
      <c r="AY9" s="405"/>
      <c r="AZ9" s="405"/>
      <c r="BA9" s="452" t="s">
        <v>403</v>
      </c>
      <c r="BB9" s="453"/>
      <c r="BC9" s="453"/>
      <c r="BD9" s="453"/>
      <c r="BE9" s="454"/>
      <c r="BF9" s="452" t="s">
        <v>404</v>
      </c>
      <c r="BG9" s="453"/>
      <c r="BH9" s="404" t="s">
        <v>272</v>
      </c>
      <c r="BI9" s="405"/>
      <c r="BJ9" s="461" t="s">
        <v>361</v>
      </c>
      <c r="BK9" s="405"/>
      <c r="BL9" s="452" t="s">
        <v>44</v>
      </c>
      <c r="BM9" s="453"/>
      <c r="BN9" s="452" t="s">
        <v>362</v>
      </c>
      <c r="BO9" s="453"/>
      <c r="BP9" s="452" t="s">
        <v>363</v>
      </c>
      <c r="BQ9" s="453"/>
      <c r="BR9" s="404" t="s">
        <v>364</v>
      </c>
      <c r="BS9" s="405"/>
      <c r="BT9" s="452" t="s">
        <v>346</v>
      </c>
      <c r="BU9" s="453"/>
      <c r="BV9" s="453"/>
      <c r="BW9" s="453"/>
      <c r="BX9" s="453"/>
      <c r="BY9" s="453"/>
      <c r="BZ9" s="454"/>
      <c r="CA9" s="452" t="s">
        <v>5</v>
      </c>
      <c r="CB9" s="453"/>
      <c r="CC9" s="453"/>
      <c r="CD9" s="453"/>
      <c r="CE9" s="453"/>
      <c r="CF9" s="453"/>
      <c r="CG9" s="454"/>
      <c r="CH9" s="452" t="s">
        <v>347</v>
      </c>
      <c r="CI9" s="453"/>
      <c r="CJ9" s="453"/>
      <c r="CK9" s="453"/>
      <c r="CL9" s="453"/>
      <c r="CM9" s="453"/>
      <c r="CN9" s="454"/>
      <c r="CO9" s="455" t="s">
        <v>1</v>
      </c>
      <c r="CP9" s="456"/>
      <c r="CQ9" s="457"/>
      <c r="CR9" s="458" t="s">
        <v>3</v>
      </c>
      <c r="CS9" s="459"/>
      <c r="CT9" s="460"/>
      <c r="CU9" s="139" t="s">
        <v>8</v>
      </c>
      <c r="CW9" s="404" t="s">
        <v>29</v>
      </c>
      <c r="CX9" s="405"/>
      <c r="CY9" s="406"/>
      <c r="CZ9" s="407" t="s">
        <v>335</v>
      </c>
      <c r="DA9" s="408"/>
      <c r="DB9" s="408"/>
      <c r="DC9" s="409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353</v>
      </c>
      <c r="F10" s="152" t="s">
        <v>4</v>
      </c>
      <c r="G10" s="196" t="s">
        <v>355</v>
      </c>
      <c r="H10" s="196" t="s">
        <v>2</v>
      </c>
      <c r="I10" s="196" t="s">
        <v>3</v>
      </c>
      <c r="J10" s="196" t="s">
        <v>356</v>
      </c>
      <c r="K10" s="301" t="s">
        <v>357</v>
      </c>
      <c r="L10" s="153" t="s">
        <v>358</v>
      </c>
      <c r="M10" s="153" t="s">
        <v>344</v>
      </c>
      <c r="N10" s="153" t="s">
        <v>354</v>
      </c>
      <c r="O10" s="153" t="s">
        <v>18</v>
      </c>
      <c r="P10" s="154" t="s">
        <v>24</v>
      </c>
      <c r="Q10" s="155" t="s">
        <v>358</v>
      </c>
      <c r="R10" s="153" t="s">
        <v>344</v>
      </c>
      <c r="S10" s="153" t="s">
        <v>354</v>
      </c>
      <c r="T10" s="153" t="s">
        <v>18</v>
      </c>
      <c r="U10" s="154" t="s">
        <v>24</v>
      </c>
      <c r="V10" s="156" t="s">
        <v>358</v>
      </c>
      <c r="W10" s="153" t="s">
        <v>344</v>
      </c>
      <c r="X10" s="157" t="s">
        <v>18</v>
      </c>
      <c r="Y10" s="155" t="s">
        <v>358</v>
      </c>
      <c r="Z10" s="153" t="s">
        <v>344</v>
      </c>
      <c r="AA10" s="153" t="s">
        <v>354</v>
      </c>
      <c r="AB10" s="153" t="s">
        <v>18</v>
      </c>
      <c r="AC10" s="154" t="s">
        <v>24</v>
      </c>
      <c r="AD10" s="155" t="s">
        <v>358</v>
      </c>
      <c r="AE10" s="153" t="s">
        <v>344</v>
      </c>
      <c r="AF10" s="153" t="s">
        <v>354</v>
      </c>
      <c r="AG10" s="153" t="s">
        <v>18</v>
      </c>
      <c r="AH10" s="155" t="s">
        <v>358</v>
      </c>
      <c r="AI10" s="153" t="s">
        <v>344</v>
      </c>
      <c r="AJ10" s="153" t="s">
        <v>354</v>
      </c>
      <c r="AK10" s="153" t="s">
        <v>18</v>
      </c>
      <c r="AL10" s="154" t="s">
        <v>24</v>
      </c>
      <c r="AM10" s="155" t="s">
        <v>358</v>
      </c>
      <c r="AN10" s="153" t="s">
        <v>344</v>
      </c>
      <c r="AO10" s="153" t="s">
        <v>354</v>
      </c>
      <c r="AP10" s="153" t="s">
        <v>18</v>
      </c>
      <c r="AQ10" s="154" t="s">
        <v>24</v>
      </c>
      <c r="AR10" s="155" t="s">
        <v>358</v>
      </c>
      <c r="AS10" s="153" t="s">
        <v>344</v>
      </c>
      <c r="AT10" s="153" t="s">
        <v>354</v>
      </c>
      <c r="AU10" s="153" t="s">
        <v>18</v>
      </c>
      <c r="AV10" s="154" t="s">
        <v>24</v>
      </c>
      <c r="AW10" s="155" t="s">
        <v>358</v>
      </c>
      <c r="AX10" s="153" t="s">
        <v>344</v>
      </c>
      <c r="AY10" s="153" t="s">
        <v>354</v>
      </c>
      <c r="AZ10" s="153" t="s">
        <v>18</v>
      </c>
      <c r="BA10" s="155" t="s">
        <v>358</v>
      </c>
      <c r="BB10" s="153" t="s">
        <v>344</v>
      </c>
      <c r="BC10" s="153" t="s">
        <v>354</v>
      </c>
      <c r="BD10" s="153" t="s">
        <v>18</v>
      </c>
      <c r="BE10" s="154" t="s">
        <v>24</v>
      </c>
      <c r="BF10" s="155" t="s">
        <v>358</v>
      </c>
      <c r="BG10" s="153" t="s">
        <v>18</v>
      </c>
      <c r="BH10" s="155" t="s">
        <v>358</v>
      </c>
      <c r="BI10" s="153" t="s">
        <v>18</v>
      </c>
      <c r="BJ10" s="158" t="s">
        <v>358</v>
      </c>
      <c r="BK10" s="159" t="s">
        <v>18</v>
      </c>
      <c r="BL10" s="155" t="s">
        <v>358</v>
      </c>
      <c r="BM10" s="153" t="s">
        <v>18</v>
      </c>
      <c r="BN10" s="155" t="s">
        <v>358</v>
      </c>
      <c r="BO10" s="153" t="s">
        <v>18</v>
      </c>
      <c r="BP10" s="155" t="s">
        <v>358</v>
      </c>
      <c r="BQ10" s="153" t="s">
        <v>18</v>
      </c>
      <c r="BR10" s="155" t="s">
        <v>358</v>
      </c>
      <c r="BS10" s="153" t="s">
        <v>18</v>
      </c>
      <c r="BT10" s="155" t="s">
        <v>43</v>
      </c>
      <c r="BU10" s="153" t="s">
        <v>42</v>
      </c>
      <c r="BV10" s="153" t="s">
        <v>358</v>
      </c>
      <c r="BW10" s="153" t="s">
        <v>344</v>
      </c>
      <c r="BX10" s="153" t="s">
        <v>354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358</v>
      </c>
      <c r="CD10" s="153" t="s">
        <v>344</v>
      </c>
      <c r="CE10" s="153" t="s">
        <v>354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358</v>
      </c>
      <c r="CK10" s="153" t="s">
        <v>344</v>
      </c>
      <c r="CL10" s="153" t="s">
        <v>354</v>
      </c>
      <c r="CM10" s="153" t="s">
        <v>18</v>
      </c>
      <c r="CN10" s="154" t="s">
        <v>24</v>
      </c>
      <c r="CO10" s="153" t="s">
        <v>354</v>
      </c>
      <c r="CP10" s="153" t="s">
        <v>18</v>
      </c>
      <c r="CQ10" s="153" t="s">
        <v>24</v>
      </c>
      <c r="CR10" s="160" t="s">
        <v>354</v>
      </c>
      <c r="CS10" s="161" t="s">
        <v>18</v>
      </c>
      <c r="CT10" s="162" t="s">
        <v>24</v>
      </c>
      <c r="CU10" s="139" t="s">
        <v>358</v>
      </c>
      <c r="CW10" s="163" t="s">
        <v>358</v>
      </c>
      <c r="CX10" s="164" t="s">
        <v>18</v>
      </c>
      <c r="CY10" s="165" t="s">
        <v>24</v>
      </c>
      <c r="CZ10" s="166" t="s">
        <v>334</v>
      </c>
      <c r="DA10" s="167" t="s">
        <v>298</v>
      </c>
      <c r="DB10" s="167" t="s">
        <v>297</v>
      </c>
      <c r="DC10" s="168" t="s">
        <v>299</v>
      </c>
    </row>
    <row r="11" spans="1:107" x14ac:dyDescent="0.25">
      <c r="A11" s="44" t="s">
        <v>301</v>
      </c>
      <c r="B11" s="44">
        <v>2018</v>
      </c>
      <c r="C11" s="88">
        <v>1</v>
      </c>
      <c r="D11" s="89">
        <f>G11*H11</f>
        <v>0</v>
      </c>
      <c r="E11" s="198">
        <f>IFERROR(D11*F11,0)</f>
        <v>0</v>
      </c>
      <c r="F11" s="199">
        <f t="shared" ref="F11" si="3">IF(H11&lt;&gt;0,1-I11/H11,0)</f>
        <v>0</v>
      </c>
      <c r="G11" s="197">
        <f t="shared" ref="G11:I14" si="4">IFERROR(VLOOKUP($B11 &amp; $C11&amp;G$4&amp;$A11,tblForecast,G$2,FALSE),0)</f>
        <v>0</v>
      </c>
      <c r="H11" s="200">
        <f t="shared" si="4"/>
        <v>0</v>
      </c>
      <c r="I11" s="200">
        <f t="shared" si="4"/>
        <v>0</v>
      </c>
      <c r="J11" s="197">
        <f>IFERROR(VLOOKUP($B11 &amp; $C11&amp;J$4&amp;$A11,tblForecast,J$2,FALSE),0)+IFERROR(VLOOKUP($B11 &amp; $C11 &amp; J$4 &amp; $A11,tblForecast,J$2+1,FALSE),0)</f>
        <v>0</v>
      </c>
      <c r="K11" s="295">
        <f>IFERROR(VLOOKUP($B11 &amp; $C11&amp;K$4&amp;$A11,tblForecast,K$2+2,FALSE),0)</f>
        <v>0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U11" s="44">
        <f>IFERROR(VLOOKUP($B11 &amp; $C11&amp;CU$4,tblForecast,CU$2,FALSE),0)</f>
        <v>0</v>
      </c>
      <c r="CV11" s="44"/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x14ac:dyDescent="0.25">
      <c r="A12" s="44" t="s">
        <v>301</v>
      </c>
      <c r="B12" s="44">
        <v>2018</v>
      </c>
      <c r="C12" s="88">
        <v>2</v>
      </c>
      <c r="D12" s="97">
        <f t="shared" ref="D12:D14" si="37">G12*H12</f>
        <v>0</v>
      </c>
      <c r="E12" s="201">
        <f t="shared" ref="E12:E14" si="38">IFERROR(D12*F12,0)</f>
        <v>0</v>
      </c>
      <c r="F12" s="181">
        <f>IF(H12&lt;&gt;0,1-I12/H12,0)</f>
        <v>0</v>
      </c>
      <c r="G12" s="175">
        <f t="shared" si="4"/>
        <v>0</v>
      </c>
      <c r="H12" s="202">
        <f t="shared" si="4"/>
        <v>0</v>
      </c>
      <c r="I12" s="202">
        <f t="shared" si="4"/>
        <v>0</v>
      </c>
      <c r="J12" s="175">
        <f>IFERROR(VLOOKUP($B12 &amp; $C12&amp;J$4&amp;$A12,tblForecast,J$2,FALSE),0)+IFERROR(VLOOKUP($B12 &amp; $C12 &amp; J$4 &amp; $A12,tblForecast,J$2+1,FALSE),0)</f>
        <v>0</v>
      </c>
      <c r="K12" s="296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U12" s="44">
        <f>IFERROR(VLOOKUP($B12 &amp; $C12&amp;CU$4,tblForecast,CU$2,FALSE),0)</f>
        <v>0</v>
      </c>
      <c r="CV12" s="44"/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x14ac:dyDescent="0.25">
      <c r="A13" s="44" t="s">
        <v>301</v>
      </c>
      <c r="B13" s="44">
        <v>2018</v>
      </c>
      <c r="C13" s="88">
        <v>3</v>
      </c>
      <c r="D13" s="97">
        <f t="shared" si="37"/>
        <v>0</v>
      </c>
      <c r="E13" s="201">
        <f t="shared" si="38"/>
        <v>0</v>
      </c>
      <c r="F13" s="181">
        <f t="shared" ref="F13:F76" si="45">IF(H13&lt;&gt;0,1-I13/H13,0)</f>
        <v>0</v>
      </c>
      <c r="G13" s="175">
        <f t="shared" si="4"/>
        <v>0</v>
      </c>
      <c r="H13" s="202">
        <f t="shared" si="4"/>
        <v>0</v>
      </c>
      <c r="I13" s="202">
        <f t="shared" si="4"/>
        <v>0</v>
      </c>
      <c r="J13" s="175">
        <f>IFERROR(VLOOKUP($B13 &amp; $C13&amp;J$4&amp;$A13,tblForecast,J$2,FALSE),0)+IFERROR(VLOOKUP($B13 &amp; $C13 &amp; J$4 &amp; $A13,tblForecast,J$2+1,FALSE),0)</f>
        <v>0</v>
      </c>
      <c r="K13" s="296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U13" s="44">
        <f>IFERROR(VLOOKUP($B13 &amp; $C13&amp;CU$4,tblForecast,CU$2,FALSE),0)</f>
        <v>0</v>
      </c>
      <c r="CV13" s="44"/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ht="16.5" thickBot="1" x14ac:dyDescent="0.3">
      <c r="A14" s="44" t="s">
        <v>301</v>
      </c>
      <c r="B14" s="44">
        <v>2018</v>
      </c>
      <c r="C14" s="88">
        <v>4</v>
      </c>
      <c r="D14" s="98">
        <f t="shared" si="37"/>
        <v>0</v>
      </c>
      <c r="E14" s="201">
        <f t="shared" si="38"/>
        <v>0</v>
      </c>
      <c r="F14" s="181">
        <f t="shared" si="45"/>
        <v>0</v>
      </c>
      <c r="G14" s="175">
        <f t="shared" si="4"/>
        <v>0</v>
      </c>
      <c r="H14" s="202">
        <f t="shared" si="4"/>
        <v>0</v>
      </c>
      <c r="I14" s="202">
        <f t="shared" si="4"/>
        <v>0</v>
      </c>
      <c r="J14" s="175">
        <f>IFERROR(VLOOKUP($B14 &amp; $C14&amp;J$4&amp;$A14,tblForecast,J$2,FALSE),0)+IFERROR(VLOOKUP($B14 &amp; $C14 &amp; J$4 &amp; $A14,tblForecast,J$2+1,FALSE),0)</f>
        <v>0</v>
      </c>
      <c r="K14" s="296">
        <f>IFERROR(VLOOKUP($B14 &amp; $C14&amp;K$4&amp;$A14,tblForecast,K$2+2,FALSE),0)</f>
        <v>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U14" s="44">
        <f>IFERROR(VLOOKUP($B14 &amp; $C14&amp;CU$4,tblForecast,CU$2,FALSE),0)</f>
        <v>0</v>
      </c>
      <c r="CV14" s="44"/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ht="16.5" thickBot="1" x14ac:dyDescent="0.3">
      <c r="C15" s="251" t="s">
        <v>20</v>
      </c>
      <c r="D15" s="252">
        <f t="shared" ref="D15:E15" si="48">SUM(D11:D14)</f>
        <v>0</v>
      </c>
      <c r="E15" s="253">
        <f t="shared" si="48"/>
        <v>0</v>
      </c>
      <c r="F15" s="254">
        <f t="shared" si="45"/>
        <v>0</v>
      </c>
      <c r="G15" s="255">
        <f>SUM(G11:G14)</f>
        <v>0</v>
      </c>
      <c r="H15" s="256">
        <f>IFERROR(D15/G15,0)</f>
        <v>0</v>
      </c>
      <c r="I15" s="256">
        <f>IFERROR(SUMPRODUCT(I11:I14,G11:G14)/G15,0)</f>
        <v>0</v>
      </c>
      <c r="J15" s="255">
        <f>SUM(J11:J14)</f>
        <v>0</v>
      </c>
      <c r="K15" s="297">
        <f>SUM(K11:K14)</f>
        <v>0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U15" s="44">
        <f>SUM(CU11:CU14)</f>
        <v>0</v>
      </c>
      <c r="CV15" s="44"/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x14ac:dyDescent="0.25">
      <c r="A16" s="44" t="s">
        <v>301</v>
      </c>
      <c r="B16" s="44">
        <v>2018</v>
      </c>
      <c r="C16" s="88">
        <v>5</v>
      </c>
      <c r="D16" s="97">
        <f>G16*H16</f>
        <v>0</v>
      </c>
      <c r="E16" s="198">
        <f>IFERROR(D16*F16,0)</f>
        <v>0</v>
      </c>
      <c r="F16" s="199">
        <f t="shared" si="45"/>
        <v>0</v>
      </c>
      <c r="G16" s="197">
        <f t="shared" ref="G16:I20" si="57">IFERROR(VLOOKUP($B16 &amp; $C16&amp;G$4&amp;$A16,tblForecast,G$2,FALSE),0)</f>
        <v>0</v>
      </c>
      <c r="H16" s="200">
        <f t="shared" si="57"/>
        <v>0</v>
      </c>
      <c r="I16" s="200">
        <f t="shared" si="57"/>
        <v>0</v>
      </c>
      <c r="J16" s="197">
        <f>IFERROR(VLOOKUP($B16 &amp; $C16&amp;J$4&amp;$A16,tblForecast,J$2,FALSE),0)+IFERROR(VLOOKUP($B16 &amp; $C16 &amp; J$4 &amp; $A16,tblForecast,J$2+1,FALSE),0)</f>
        <v>0</v>
      </c>
      <c r="K16" s="295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U16" s="44">
        <f>IFERROR(VLOOKUP($B16 &amp; $C16&amp;CU$4,tblForecast,CU$2,FALSE),0)</f>
        <v>0</v>
      </c>
      <c r="CV16" s="44"/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x14ac:dyDescent="0.25">
      <c r="A17" s="44" t="s">
        <v>301</v>
      </c>
      <c r="B17" s="44">
        <v>2018</v>
      </c>
      <c r="C17" s="88">
        <v>6</v>
      </c>
      <c r="D17" s="97">
        <f t="shared" ref="D17:D18" si="74">G17*H17</f>
        <v>0</v>
      </c>
      <c r="E17" s="201">
        <f t="shared" ref="E17:E20" si="75">IFERROR(D17*F17,0)</f>
        <v>0</v>
      </c>
      <c r="F17" s="181">
        <f t="shared" si="45"/>
        <v>0</v>
      </c>
      <c r="G17" s="175">
        <f t="shared" si="57"/>
        <v>0</v>
      </c>
      <c r="H17" s="202">
        <f t="shared" si="57"/>
        <v>0</v>
      </c>
      <c r="I17" s="202">
        <f t="shared" si="57"/>
        <v>0</v>
      </c>
      <c r="J17" s="175">
        <f>IFERROR(VLOOKUP($B17 &amp; $C17&amp;J$4&amp;$A17,tblForecast,J$2,FALSE),0)+IFERROR(VLOOKUP($B17 &amp; $C17 &amp; J$4 &amp; $A17,tblForecast,J$2+1,FALSE),0)</f>
        <v>0</v>
      </c>
      <c r="K17" s="296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V20" si="76">IFERROR(IF(Q16&lt;&gt;0,Q17/Q16,0),0)</f>
        <v>0</v>
      </c>
      <c r="W17" s="324">
        <f t="shared" ref="W17:W20" si="77">IFERROR(IF(R16&lt;&gt;0,R17/R16,0),0)</f>
        <v>0</v>
      </c>
      <c r="X17" s="244">
        <f t="shared" ref="X17:X20" ca="1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U17" s="44">
        <f>IFERROR(VLOOKUP($B17 &amp; $C17&amp;CU$4,tblForecast,CU$2,FALSE),0)</f>
        <v>0</v>
      </c>
      <c r="CV17" s="44"/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x14ac:dyDescent="0.25">
      <c r="A18" s="44" t="s">
        <v>301</v>
      </c>
      <c r="B18" s="44">
        <v>2018</v>
      </c>
      <c r="C18" s="88">
        <v>7</v>
      </c>
      <c r="D18" s="97">
        <f t="shared" si="74"/>
        <v>0</v>
      </c>
      <c r="E18" s="201">
        <f t="shared" si="75"/>
        <v>0</v>
      </c>
      <c r="F18" s="181">
        <f t="shared" si="45"/>
        <v>0</v>
      </c>
      <c r="G18" s="175">
        <f t="shared" si="57"/>
        <v>0</v>
      </c>
      <c r="H18" s="202">
        <f t="shared" si="57"/>
        <v>0</v>
      </c>
      <c r="I18" s="202">
        <f t="shared" si="57"/>
        <v>0</v>
      </c>
      <c r="J18" s="175">
        <f>IFERROR(VLOOKUP($B18 &amp; $C18&amp;J$4&amp;$A18,tblForecast,J$2,FALSE),0)+IFERROR(VLOOKUP($B18 &amp; $C18 &amp; J$4 &amp; $A18,tblForecast,J$2+1,FALSE),0)</f>
        <v>0</v>
      </c>
      <c r="K18" s="296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7"/>
        <v>0</v>
      </c>
      <c r="X18" s="244">
        <f t="shared" ca="1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U18" s="44">
        <f>IFERROR(VLOOKUP($B18 &amp; $C18&amp;CU$4,tblForecast,CU$2,FALSE),0)</f>
        <v>0</v>
      </c>
      <c r="CV18" s="44"/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x14ac:dyDescent="0.25">
      <c r="A19" s="44" t="s">
        <v>301</v>
      </c>
      <c r="B19" s="44">
        <v>2018</v>
      </c>
      <c r="C19" s="88">
        <v>8</v>
      </c>
      <c r="D19" s="97">
        <f t="shared" ref="D19:D20" si="79">G19*H19</f>
        <v>0</v>
      </c>
      <c r="E19" s="201">
        <f t="shared" si="75"/>
        <v>0</v>
      </c>
      <c r="F19" s="181">
        <f t="shared" si="45"/>
        <v>0</v>
      </c>
      <c r="G19" s="175">
        <f t="shared" si="57"/>
        <v>0</v>
      </c>
      <c r="H19" s="202">
        <f t="shared" si="57"/>
        <v>0</v>
      </c>
      <c r="I19" s="202">
        <f t="shared" si="57"/>
        <v>0</v>
      </c>
      <c r="J19" s="175">
        <f>IFERROR(VLOOKUP($B19 &amp; $C19&amp;J$4&amp;$A19,tblForecast,J$2,FALSE),0)+IFERROR(VLOOKUP($B19 &amp; $C19 &amp; J$4 &amp; $A19,tblForecast,J$2+1,FALSE),0)</f>
        <v>0</v>
      </c>
      <c r="K19" s="296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7"/>
        <v>0</v>
      </c>
      <c r="X19" s="244">
        <f t="shared" ca="1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U19" s="44">
        <f>IFERROR(VLOOKUP($B19 &amp; $C19&amp;CU$4,tblForecast,CU$2,FALSE),0)</f>
        <v>0</v>
      </c>
      <c r="CV19" s="44"/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ht="16.5" thickBot="1" x14ac:dyDescent="0.3">
      <c r="A20" s="44" t="s">
        <v>301</v>
      </c>
      <c r="B20" s="44">
        <v>2018</v>
      </c>
      <c r="C20" s="88">
        <v>9</v>
      </c>
      <c r="D20" s="97">
        <f t="shared" si="79"/>
        <v>0</v>
      </c>
      <c r="E20" s="201">
        <f t="shared" si="75"/>
        <v>0</v>
      </c>
      <c r="F20" s="181">
        <f t="shared" si="45"/>
        <v>0</v>
      </c>
      <c r="G20" s="175">
        <f t="shared" si="57"/>
        <v>0</v>
      </c>
      <c r="H20" s="202">
        <f t="shared" si="57"/>
        <v>0</v>
      </c>
      <c r="I20" s="202">
        <f t="shared" si="57"/>
        <v>0</v>
      </c>
      <c r="J20" s="175">
        <f>IFERROR(VLOOKUP($B20 &amp; $C20&amp;J$4&amp;$A20,tblForecast,J$2,FALSE),0)+IFERROR(VLOOKUP($B20 &amp; $C20 &amp; J$4 &amp; $A20,tblForecast,J$2+1,FALSE),0)</f>
        <v>0</v>
      </c>
      <c r="K20" s="296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7"/>
        <v>0</v>
      </c>
      <c r="X20" s="244">
        <f t="shared" ca="1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U20" s="44">
        <f>IFERROR(VLOOKUP($B20 &amp; $C20&amp;CU$4,tblForecast,CU$2,FALSE),0)</f>
        <v>0</v>
      </c>
      <c r="CV20" s="44"/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ht="16.5" thickBot="1" x14ac:dyDescent="0.3">
      <c r="C21" s="251" t="s">
        <v>21</v>
      </c>
      <c r="D21" s="252">
        <f>SUM(D16:D20)</f>
        <v>0</v>
      </c>
      <c r="E21" s="253">
        <f>SUM(E16:E20)</f>
        <v>0</v>
      </c>
      <c r="F21" s="254">
        <f t="shared" si="45"/>
        <v>0</v>
      </c>
      <c r="G21" s="255">
        <f>SUM(G16:G20)</f>
        <v>0</v>
      </c>
      <c r="H21" s="256">
        <f>IFERROR(D21/G21,0)</f>
        <v>0</v>
      </c>
      <c r="I21" s="256">
        <f>IFERROR(SUMPRODUCT(I16:I20,G16:G20)/G21,0)</f>
        <v>0</v>
      </c>
      <c r="J21" s="255">
        <f>SUM(J16:J20)</f>
        <v>0</v>
      </c>
      <c r="K21" s="297">
        <f>SUM(K16:K20)</f>
        <v>0</v>
      </c>
      <c r="L21" s="257">
        <f>SUM(L16:L20)</f>
        <v>0</v>
      </c>
      <c r="M21" s="257">
        <f t="shared" ref="M21:O21" si="80">SUM(M16:M20)</f>
        <v>0</v>
      </c>
      <c r="N21" s="257">
        <f t="shared" si="80"/>
        <v>0</v>
      </c>
      <c r="O21" s="257">
        <f t="shared" ca="1" si="80"/>
        <v>0</v>
      </c>
      <c r="P21" s="258">
        <f t="shared" ca="1" si="39"/>
        <v>0</v>
      </c>
      <c r="Q21" s="259">
        <f>SUM(Q16:Q20)</f>
        <v>0</v>
      </c>
      <c r="R21" s="260">
        <f t="shared" ref="R21:S21" si="81">SUM(R16:R20)</f>
        <v>0</v>
      </c>
      <c r="S21" s="260">
        <f t="shared" si="81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2">SUM(Z16:Z20)</f>
        <v>0</v>
      </c>
      <c r="AA21" s="257">
        <f t="shared" si="82"/>
        <v>0</v>
      </c>
      <c r="AB21" s="257">
        <f t="shared" ca="1" si="82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3">BB20</f>
        <v>0</v>
      </c>
      <c r="BC21" s="260">
        <f t="shared" si="83"/>
        <v>0</v>
      </c>
      <c r="BD21" s="260">
        <f t="shared" ca="1" si="83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4">SUM(BO16:BO20)</f>
        <v>0</v>
      </c>
      <c r="BP21" s="259">
        <f>SUM(BP16:BP20)</f>
        <v>0</v>
      </c>
      <c r="BQ21" s="260">
        <f t="shared" ca="1" si="84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5">SUM(BT16:BT20)</f>
        <v>0</v>
      </c>
      <c r="BU21" s="260">
        <f t="shared" si="85"/>
        <v>0</v>
      </c>
      <c r="BV21" s="260">
        <f>SUM(BV16:BV20)</f>
        <v>0</v>
      </c>
      <c r="BW21" s="260">
        <f t="shared" si="85"/>
        <v>0</v>
      </c>
      <c r="BX21" s="260">
        <f t="shared" si="85"/>
        <v>0</v>
      </c>
      <c r="BY21" s="273">
        <f t="shared" ca="1" si="85"/>
        <v>0</v>
      </c>
      <c r="BZ21" s="258">
        <f t="shared" ca="1" si="25"/>
        <v>0</v>
      </c>
      <c r="CA21" s="257">
        <f t="shared" ref="CA21:CF21" si="86">SUM(CA16:CA20)</f>
        <v>0</v>
      </c>
      <c r="CB21" s="257">
        <f t="shared" si="86"/>
        <v>0</v>
      </c>
      <c r="CC21" s="257">
        <f>SUM(CC16:CC20)</f>
        <v>0</v>
      </c>
      <c r="CD21" s="257">
        <f t="shared" si="86"/>
        <v>0</v>
      </c>
      <c r="CE21" s="257">
        <f t="shared" si="86"/>
        <v>0</v>
      </c>
      <c r="CF21" s="257">
        <f t="shared" ca="1" si="86"/>
        <v>0</v>
      </c>
      <c r="CG21" s="258">
        <f t="shared" ca="1" si="28"/>
        <v>0</v>
      </c>
      <c r="CH21" s="257">
        <f t="shared" ref="CH21:CM21" si="87">SUM(CH16:CH20)</f>
        <v>0</v>
      </c>
      <c r="CI21" s="257">
        <f t="shared" si="87"/>
        <v>0</v>
      </c>
      <c r="CJ21" s="257">
        <f>SUM(CJ16:CJ20)</f>
        <v>0</v>
      </c>
      <c r="CK21" s="257">
        <f t="shared" si="87"/>
        <v>0</v>
      </c>
      <c r="CL21" s="257">
        <f t="shared" si="87"/>
        <v>0</v>
      </c>
      <c r="CM21" s="257">
        <f t="shared" ca="1" si="87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U21" s="44">
        <f>SUM(CU16:CU20)</f>
        <v>0</v>
      </c>
      <c r="CV21" s="44"/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x14ac:dyDescent="0.25">
      <c r="A22" s="44" t="s">
        <v>301</v>
      </c>
      <c r="B22" s="44">
        <v>2018</v>
      </c>
      <c r="C22" s="88">
        <v>10</v>
      </c>
      <c r="D22" s="97">
        <f>G22*H22</f>
        <v>0</v>
      </c>
      <c r="E22" s="198">
        <f>IFERROR(D22*F22,0)</f>
        <v>0</v>
      </c>
      <c r="F22" s="199">
        <f t="shared" si="45"/>
        <v>0</v>
      </c>
      <c r="G22" s="197">
        <f t="shared" ref="G22:I25" si="88">IFERROR(VLOOKUP($B22 &amp; $C22&amp;G$4&amp;$A22,tblForecast,G$2,FALSE),0)</f>
        <v>0</v>
      </c>
      <c r="H22" s="200">
        <f t="shared" si="88"/>
        <v>0</v>
      </c>
      <c r="I22" s="200">
        <f t="shared" si="88"/>
        <v>0</v>
      </c>
      <c r="J22" s="197">
        <f>IFERROR(VLOOKUP($B22 &amp; $C22&amp;J$4&amp;$A22,tblForecast,J$2,FALSE),0)+IFERROR(VLOOKUP($B22 &amp; $C22 &amp; J$4 &amp; $A22,tblForecast,J$2+1,FALSE),0)</f>
        <v>0</v>
      </c>
      <c r="K22" s="295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ca="1" si="89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90">IFERROR(VLOOKUP($B22 &amp; $C22&amp;R$4,tblForecast,R$2,FALSE),0)</f>
        <v>0</v>
      </c>
      <c r="S22" s="237">
        <f t="shared" si="90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ca="1" si="91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ca="1" si="92"/>
        <v>0</v>
      </c>
      <c r="AH22" s="104">
        <f>IFERROR(VLOOKUP($B22 &amp; $C22&amp;AH$4,tblForecast,AH$2,FALSE),0)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6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7">IFERROR(VLOOKUP($B22 &amp; $C22&amp;BC$4,tblForecast,BC$2,FALSE),0)</f>
        <v>0</v>
      </c>
      <c r="BD22" s="226">
        <f t="shared" ref="BD22:BD25" ca="1" si="98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9">IFERROR(VLOOKUP($B22 &amp; $C22&amp;BT$4,tblForecast,BT$2,FALSE),0)</f>
        <v>0</v>
      </c>
      <c r="BU22" s="226">
        <f t="shared" si="99"/>
        <v>0</v>
      </c>
      <c r="BV22" s="226">
        <f>IFERROR(VLOOKUP($B22 &amp; $C22&amp;BV$4,tblForecast,BV$2,FALSE),0)</f>
        <v>0</v>
      </c>
      <c r="BW22" s="226">
        <f t="shared" ref="BW22:BX25" si="100">IFERROR(VLOOKUP($B22 &amp; $C22&amp;BW$4,tblForecast,BW$2,FALSE),0)</f>
        <v>0</v>
      </c>
      <c r="BX22" s="226">
        <f t="shared" si="100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$C22&amp;CC$4,tblForecast,CC$2,FALSE),0)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$C22&amp;CJ$4,tblForecast,CJ$2,FALSE),0)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U22" s="44">
        <f>IFERROR(VLOOKUP($B22 &amp; $C22&amp;CU$4,tblForecast,CU$2,FALSE),0)</f>
        <v>0</v>
      </c>
      <c r="CV22" s="44"/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x14ac:dyDescent="0.25">
      <c r="A23" s="44" t="s">
        <v>301</v>
      </c>
      <c r="B23" s="44">
        <v>2018</v>
      </c>
      <c r="C23" s="88">
        <v>11</v>
      </c>
      <c r="D23" s="97">
        <f t="shared" ref="D23:D25" si="105">G23*H23</f>
        <v>0</v>
      </c>
      <c r="E23" s="201">
        <f t="shared" ref="E23:E25" si="106">IFERROR(D23*F23,0)</f>
        <v>0</v>
      </c>
      <c r="F23" s="181">
        <f t="shared" si="45"/>
        <v>0</v>
      </c>
      <c r="G23" s="175">
        <f t="shared" si="88"/>
        <v>0</v>
      </c>
      <c r="H23" s="202">
        <f t="shared" si="88"/>
        <v>0</v>
      </c>
      <c r="I23" s="202">
        <f t="shared" si="88"/>
        <v>0</v>
      </c>
      <c r="J23" s="175">
        <f>IFERROR(VLOOKUP($B23 &amp; $C23&amp;J$4&amp;$A23,tblForecast,J$2,FALSE),0)+IFERROR(VLOOKUP($B23 &amp; $C23 &amp; J$4 &amp; $A23,tblForecast,J$2+1,FALSE),0)</f>
        <v>0</v>
      </c>
      <c r="K23" s="296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ca="1" si="89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90"/>
        <v>0</v>
      </c>
      <c r="S23" s="238">
        <f t="shared" si="90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V25" si="107">IFERROR(IF(Q22&lt;&gt;0,Q23/Q22,0),0)</f>
        <v>0</v>
      </c>
      <c r="W23" s="324">
        <f t="shared" ref="W23:W25" si="108">IFERROR(IF(R22&lt;&gt;0,R23/R22,0),0)</f>
        <v>0</v>
      </c>
      <c r="X23" s="244">
        <f t="shared" ref="X23:X25" ca="1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ca="1" si="91"/>
        <v>0</v>
      </c>
      <c r="AC23" s="91">
        <f t="shared" ca="1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ca="1" si="92"/>
        <v>0</v>
      </c>
      <c r="AH23" s="104">
        <f>IFERROR(VLOOKUP($B23 &amp; $C23&amp;AH$4,tblForecast,AH$2,FALSE),0)</f>
        <v>0</v>
      </c>
      <c r="AI23" s="94">
        <f t="shared" si="93"/>
        <v>0</v>
      </c>
      <c r="AJ23" s="94">
        <f t="shared" si="93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4"/>
        <v>0</v>
      </c>
      <c r="AO23" s="94">
        <f t="shared" si="94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5"/>
        <v>0</v>
      </c>
      <c r="AT23" s="94">
        <f t="shared" si="95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6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7"/>
        <v>0</v>
      </c>
      <c r="BD23" s="226">
        <f t="shared" ca="1" si="98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9"/>
        <v>0</v>
      </c>
      <c r="BU23" s="226">
        <f t="shared" si="99"/>
        <v>0</v>
      </c>
      <c r="BV23" s="226">
        <f>IFERROR(VLOOKUP($B23 &amp; $C23&amp;BV$4,tblForecast,BV$2,FALSE),0)</f>
        <v>0</v>
      </c>
      <c r="BW23" s="226">
        <f t="shared" si="100"/>
        <v>0</v>
      </c>
      <c r="BX23" s="226">
        <f t="shared" si="100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$C23&amp;CC$4,tblForecast,CC$2,FALSE),0)</f>
        <v>0</v>
      </c>
      <c r="CD23" s="90">
        <f t="shared" si="102"/>
        <v>0</v>
      </c>
      <c r="CE23" s="90">
        <f t="shared" si="102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$C23&amp;CJ$4,tblForecast,CJ$2,FALSE),0)</f>
        <v>0</v>
      </c>
      <c r="CK23" s="90">
        <f t="shared" si="104"/>
        <v>0</v>
      </c>
      <c r="CL23" s="90">
        <f t="shared" si="104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U23" s="44">
        <f>IFERROR(VLOOKUP($B23 &amp; $C23&amp;CU$4,tblForecast,CU$2,FALSE),0)</f>
        <v>0</v>
      </c>
      <c r="CV23" s="44"/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x14ac:dyDescent="0.25">
      <c r="A24" s="44" t="s">
        <v>301</v>
      </c>
      <c r="B24" s="44">
        <v>2018</v>
      </c>
      <c r="C24" s="88">
        <v>12</v>
      </c>
      <c r="D24" s="97">
        <f t="shared" si="105"/>
        <v>0</v>
      </c>
      <c r="E24" s="201">
        <f t="shared" si="106"/>
        <v>0</v>
      </c>
      <c r="F24" s="181">
        <f t="shared" si="45"/>
        <v>0</v>
      </c>
      <c r="G24" s="175">
        <f t="shared" si="88"/>
        <v>0</v>
      </c>
      <c r="H24" s="202">
        <f t="shared" si="88"/>
        <v>0</v>
      </c>
      <c r="I24" s="202">
        <f t="shared" si="88"/>
        <v>0</v>
      </c>
      <c r="J24" s="175">
        <f>IFERROR(VLOOKUP($B24 &amp; $C24&amp;J$4&amp;$A24,tblForecast,J$2,FALSE),0)+IFERROR(VLOOKUP($B24 &amp; $C24 &amp; J$4 &amp; $A24,tblForecast,J$2+1,FALSE),0)</f>
        <v>0</v>
      </c>
      <c r="K24" s="296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ca="1" si="89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90"/>
        <v>0</v>
      </c>
      <c r="S24" s="238">
        <f t="shared" si="90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7"/>
        <v>0</v>
      </c>
      <c r="W24" s="324">
        <f t="shared" si="108"/>
        <v>0</v>
      </c>
      <c r="X24" s="244">
        <f t="shared" ca="1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ca="1" si="91"/>
        <v>0</v>
      </c>
      <c r="AC24" s="91">
        <f t="shared" ca="1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ca="1" si="92"/>
        <v>0</v>
      </c>
      <c r="AH24" s="104">
        <f>IFERROR(VLOOKUP($B24 &amp; $C24&amp;AH$4,tblForecast,AH$2,FALSE),0)</f>
        <v>0</v>
      </c>
      <c r="AI24" s="94">
        <f t="shared" si="93"/>
        <v>0</v>
      </c>
      <c r="AJ24" s="94">
        <f t="shared" si="93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4"/>
        <v>0</v>
      </c>
      <c r="AO24" s="94">
        <f t="shared" si="94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5"/>
        <v>0</v>
      </c>
      <c r="AT24" s="94">
        <f t="shared" si="95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6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7"/>
        <v>0</v>
      </c>
      <c r="BD24" s="226">
        <f t="shared" ca="1" si="98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9"/>
        <v>0</v>
      </c>
      <c r="BU24" s="226">
        <f t="shared" si="99"/>
        <v>0</v>
      </c>
      <c r="BV24" s="226">
        <f>IFERROR(VLOOKUP($B24 &amp; $C24&amp;BV$4,tblForecast,BV$2,FALSE),0)</f>
        <v>0</v>
      </c>
      <c r="BW24" s="226">
        <f t="shared" si="100"/>
        <v>0</v>
      </c>
      <c r="BX24" s="226">
        <f t="shared" si="100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$C24&amp;CC$4,tblForecast,CC$2,FALSE),0)</f>
        <v>0</v>
      </c>
      <c r="CD24" s="90">
        <f t="shared" si="102"/>
        <v>0</v>
      </c>
      <c r="CE24" s="90">
        <f t="shared" si="102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$C24&amp;CJ$4,tblForecast,CJ$2,FALSE),0)</f>
        <v>0</v>
      </c>
      <c r="CK24" s="90">
        <f t="shared" si="104"/>
        <v>0</v>
      </c>
      <c r="CL24" s="90">
        <f t="shared" si="104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U24" s="44">
        <f>IFERROR(VLOOKUP($B24 &amp; $C24&amp;CU$4,tblForecast,CU$2,FALSE),0)</f>
        <v>0</v>
      </c>
      <c r="CV24" s="44"/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ht="16.5" thickBot="1" x14ac:dyDescent="0.3">
      <c r="A25" s="44" t="s">
        <v>301</v>
      </c>
      <c r="B25" s="44">
        <v>2018</v>
      </c>
      <c r="C25" s="88">
        <v>13</v>
      </c>
      <c r="D25" s="97">
        <f t="shared" si="105"/>
        <v>0</v>
      </c>
      <c r="E25" s="201">
        <f t="shared" si="106"/>
        <v>0</v>
      </c>
      <c r="F25" s="181">
        <f t="shared" si="45"/>
        <v>0</v>
      </c>
      <c r="G25" s="175">
        <f t="shared" si="88"/>
        <v>0</v>
      </c>
      <c r="H25" s="202">
        <f t="shared" si="88"/>
        <v>0</v>
      </c>
      <c r="I25" s="202">
        <f t="shared" si="88"/>
        <v>0</v>
      </c>
      <c r="J25" s="175">
        <f>IFERROR(VLOOKUP($B25 &amp; $C25&amp;J$4&amp;$A25,tblForecast,J$2,FALSE),0)+IFERROR(VLOOKUP($B25 &amp; $C25 &amp; J$4 &amp; $A25,tblForecast,J$2+1,FALSE),0)</f>
        <v>0</v>
      </c>
      <c r="K25" s="296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ca="1" si="89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90"/>
        <v>0</v>
      </c>
      <c r="S25" s="239">
        <f t="shared" si="90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7"/>
        <v>0</v>
      </c>
      <c r="W25" s="324">
        <f t="shared" si="108"/>
        <v>0</v>
      </c>
      <c r="X25" s="244">
        <f t="shared" ca="1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ca="1" si="91"/>
        <v>0</v>
      </c>
      <c r="AC25" s="91">
        <f t="shared" ca="1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ca="1" si="92"/>
        <v>0</v>
      </c>
      <c r="AH25" s="104">
        <f>IFERROR(VLOOKUP($B25 &amp; $C25&amp;AH$4,tblForecast,AH$2,FALSE),0)</f>
        <v>0</v>
      </c>
      <c r="AI25" s="94">
        <f t="shared" si="93"/>
        <v>0</v>
      </c>
      <c r="AJ25" s="94">
        <f t="shared" si="93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4"/>
        <v>0</v>
      </c>
      <c r="AO25" s="94">
        <f t="shared" si="94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5"/>
        <v>0</v>
      </c>
      <c r="AT25" s="94">
        <f t="shared" si="95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6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7"/>
        <v>0</v>
      </c>
      <c r="BD25" s="226">
        <f t="shared" ca="1" si="98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9"/>
        <v>0</v>
      </c>
      <c r="BU25" s="226">
        <f t="shared" si="99"/>
        <v>0</v>
      </c>
      <c r="BV25" s="226">
        <f>IFERROR(VLOOKUP($B25 &amp; $C25&amp;BV$4,tblForecast,BV$2,FALSE),0)</f>
        <v>0</v>
      </c>
      <c r="BW25" s="226">
        <f t="shared" si="100"/>
        <v>0</v>
      </c>
      <c r="BX25" s="226">
        <f t="shared" si="100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$C25&amp;CC$4,tblForecast,CC$2,FALSE),0)</f>
        <v>0</v>
      </c>
      <c r="CD25" s="90">
        <f t="shared" si="102"/>
        <v>0</v>
      </c>
      <c r="CE25" s="90">
        <f t="shared" si="102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$C25&amp;CJ$4,tblForecast,CJ$2,FALSE),0)</f>
        <v>0</v>
      </c>
      <c r="CK25" s="90">
        <f t="shared" si="104"/>
        <v>0</v>
      </c>
      <c r="CL25" s="90">
        <f t="shared" si="104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U25" s="44">
        <f>IFERROR(VLOOKUP($B25 &amp; $C25&amp;CU$4,tblForecast,CU$2,FALSE),0)</f>
        <v>0</v>
      </c>
      <c r="CV25" s="44"/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ht="16.5" thickBot="1" x14ac:dyDescent="0.3">
      <c r="C26" s="251" t="s">
        <v>22</v>
      </c>
      <c r="D26" s="252">
        <f t="shared" ref="D26" si="110">SUM(D22:D25)</f>
        <v>0</v>
      </c>
      <c r="E26" s="253">
        <f t="shared" ref="E26" si="111">SUM(E22:E25)</f>
        <v>0</v>
      </c>
      <c r="F26" s="254">
        <f t="shared" si="45"/>
        <v>0</v>
      </c>
      <c r="G26" s="255">
        <f>SUM(G22:G25)</f>
        <v>0</v>
      </c>
      <c r="H26" s="256">
        <f>IFERROR(D26/G26,0)</f>
        <v>0</v>
      </c>
      <c r="I26" s="256">
        <f>IFERROR(SUMPRODUCT(I22:I25,G22:G25)/G26,0)</f>
        <v>0</v>
      </c>
      <c r="J26" s="255">
        <f>SUM(J22:J25)</f>
        <v>0</v>
      </c>
      <c r="K26" s="297">
        <f>SUM(K22:K25)</f>
        <v>0</v>
      </c>
      <c r="L26" s="257">
        <f>SUM(L22:L25)</f>
        <v>0</v>
      </c>
      <c r="M26" s="257">
        <f t="shared" ref="M26:O26" si="112">SUM(M22:M25)</f>
        <v>0</v>
      </c>
      <c r="N26" s="257">
        <f t="shared" si="112"/>
        <v>0</v>
      </c>
      <c r="O26" s="257">
        <f t="shared" ca="1" si="112"/>
        <v>0</v>
      </c>
      <c r="P26" s="258">
        <f t="shared" ca="1" si="39"/>
        <v>0</v>
      </c>
      <c r="Q26" s="259">
        <f>SUM(Q22:Q25)</f>
        <v>0</v>
      </c>
      <c r="R26" s="260">
        <f t="shared" ref="R26:S26" si="113">SUM(R22:R25)</f>
        <v>0</v>
      </c>
      <c r="S26" s="260">
        <f t="shared" si="113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4">V25</f>
        <v>0</v>
      </c>
      <c r="W26" s="325">
        <f t="shared" si="114"/>
        <v>0</v>
      </c>
      <c r="X26" s="262">
        <f t="shared" ca="1" si="114"/>
        <v>0</v>
      </c>
      <c r="Y26" s="252">
        <f>SUM(Y22:Y25)</f>
        <v>0</v>
      </c>
      <c r="Z26" s="257">
        <f t="shared" ref="Z26:AB26" si="115">SUM(Z22:Z25)</f>
        <v>0</v>
      </c>
      <c r="AA26" s="257">
        <f t="shared" si="115"/>
        <v>0</v>
      </c>
      <c r="AB26" s="257">
        <f t="shared" ca="1" si="115"/>
        <v>0</v>
      </c>
      <c r="AC26" s="258">
        <f t="shared" ca="1" si="9"/>
        <v>0</v>
      </c>
      <c r="AD26" s="263">
        <f t="shared" ref="AD26:AG27" si="116">IFERROR(Y26/L26,0)</f>
        <v>0</v>
      </c>
      <c r="AE26" s="264">
        <f t="shared" si="116"/>
        <v>0</v>
      </c>
      <c r="AF26" s="264">
        <f t="shared" si="116"/>
        <v>0</v>
      </c>
      <c r="AG26" s="264">
        <f t="shared" ca="1" si="116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7">IFERROR(SUMPRODUCT(AJ22:AJ25,S22:S25)/S26,0)</f>
        <v>0</v>
      </c>
      <c r="AK26" s="266">
        <f t="shared" ca="1" si="117"/>
        <v>0</v>
      </c>
      <c r="AL26" s="258">
        <f t="shared" ca="1" si="12"/>
        <v>0</v>
      </c>
      <c r="AM26" s="265">
        <f t="shared" ref="AM26:AP27" si="118">IF(Q26&lt;&gt;0,L26/Q26,0)</f>
        <v>0</v>
      </c>
      <c r="AN26" s="266">
        <f t="shared" si="118"/>
        <v>0</v>
      </c>
      <c r="AO26" s="266">
        <f t="shared" si="118"/>
        <v>0</v>
      </c>
      <c r="AP26" s="266">
        <f t="shared" ca="1" si="118"/>
        <v>0</v>
      </c>
      <c r="AQ26" s="258">
        <f t="shared" ca="1" si="14"/>
        <v>0</v>
      </c>
      <c r="AR26" s="265">
        <f t="shared" ref="AR26:AU27" si="119">IFERROR((L26*(1-AD26))/Q26,0)</f>
        <v>0</v>
      </c>
      <c r="AS26" s="266">
        <f t="shared" si="119"/>
        <v>0</v>
      </c>
      <c r="AT26" s="266">
        <f t="shared" si="119"/>
        <v>0</v>
      </c>
      <c r="AU26" s="266">
        <f t="shared" ca="1" si="119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20">BA25</f>
        <v>0</v>
      </c>
      <c r="BB26" s="260">
        <f t="shared" si="120"/>
        <v>0</v>
      </c>
      <c r="BC26" s="260">
        <f t="shared" si="120"/>
        <v>0</v>
      </c>
      <c r="BD26" s="260">
        <f t="shared" ca="1" si="120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21">SUM(BO22:BO25)</f>
        <v>0</v>
      </c>
      <c r="BP26" s="259">
        <f>SUM(BP22:BP25)</f>
        <v>0</v>
      </c>
      <c r="BQ26" s="260">
        <f t="shared" ca="1" si="121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22">SUM(BT22:BT25)</f>
        <v>0</v>
      </c>
      <c r="BU26" s="260">
        <f t="shared" si="122"/>
        <v>0</v>
      </c>
      <c r="BV26" s="260">
        <f>SUM(BV22:BV25)</f>
        <v>0</v>
      </c>
      <c r="BW26" s="260">
        <f t="shared" si="122"/>
        <v>0</v>
      </c>
      <c r="BX26" s="260">
        <f t="shared" si="122"/>
        <v>0</v>
      </c>
      <c r="BY26" s="273">
        <f t="shared" ca="1" si="122"/>
        <v>0</v>
      </c>
      <c r="BZ26" s="258">
        <f t="shared" ca="1" si="25"/>
        <v>0</v>
      </c>
      <c r="CA26" s="257">
        <f t="shared" ref="CA26:CF26" si="123">SUM(CA22:CA25)</f>
        <v>0</v>
      </c>
      <c r="CB26" s="257">
        <f t="shared" si="123"/>
        <v>0</v>
      </c>
      <c r="CC26" s="257">
        <f>SUM(CC22:CC25)</f>
        <v>0</v>
      </c>
      <c r="CD26" s="257">
        <f t="shared" si="123"/>
        <v>0</v>
      </c>
      <c r="CE26" s="257">
        <f t="shared" si="123"/>
        <v>0</v>
      </c>
      <c r="CF26" s="257">
        <f t="shared" ca="1" si="123"/>
        <v>0</v>
      </c>
      <c r="CG26" s="258">
        <f t="shared" ca="1" si="28"/>
        <v>0</v>
      </c>
      <c r="CH26" s="257">
        <f t="shared" ref="CH26:CM26" si="124">SUM(CH22:CH25)</f>
        <v>0</v>
      </c>
      <c r="CI26" s="257">
        <f t="shared" si="124"/>
        <v>0</v>
      </c>
      <c r="CJ26" s="257">
        <f>SUM(CJ22:CJ25)</f>
        <v>0</v>
      </c>
      <c r="CK26" s="257">
        <f t="shared" si="124"/>
        <v>0</v>
      </c>
      <c r="CL26" s="257">
        <f t="shared" si="124"/>
        <v>0</v>
      </c>
      <c r="CM26" s="257">
        <f t="shared" ca="1" si="124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U26" s="44">
        <f>SUM(CU22:CU25)</f>
        <v>0</v>
      </c>
      <c r="CV26" s="44"/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ht="16.5" thickBot="1" x14ac:dyDescent="0.3">
      <c r="C27" s="105" t="s">
        <v>23</v>
      </c>
      <c r="D27" s="52">
        <f t="shared" ref="D27:E27" si="125">D15+D21+D26</f>
        <v>0</v>
      </c>
      <c r="E27" s="204">
        <f t="shared" si="125"/>
        <v>0</v>
      </c>
      <c r="F27" s="205">
        <f t="shared" si="45"/>
        <v>0</v>
      </c>
      <c r="G27" s="203">
        <f>G15+G21+G26</f>
        <v>0</v>
      </c>
      <c r="H27" s="206">
        <f>IFERROR(D27/G27,0)</f>
        <v>0</v>
      </c>
      <c r="I27" s="58">
        <f>IFERROR((I15*G15+I21*G21+I26*G26)/G27,0)</f>
        <v>0</v>
      </c>
      <c r="J27" s="203">
        <f t="shared" ref="J27:K27" si="126">J15+J21+J26</f>
        <v>0</v>
      </c>
      <c r="K27" s="298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ca="1" si="127"/>
        <v>0</v>
      </c>
      <c r="P27" s="54">
        <f t="shared" ca="1" si="39"/>
        <v>0</v>
      </c>
      <c r="Q27" s="228">
        <f t="shared" ref="Q27" si="128">Q15+Q21+Q26</f>
        <v>0</v>
      </c>
      <c r="R27" s="228">
        <f t="shared" ref="R27:S27" si="129">R15+R21+R26</f>
        <v>0</v>
      </c>
      <c r="S27" s="228">
        <f t="shared" si="129"/>
        <v>0</v>
      </c>
      <c r="T27" s="228">
        <f ca="1">T15+T21+T26</f>
        <v>0</v>
      </c>
      <c r="U27" s="54">
        <f t="shared" ca="1" si="7"/>
        <v>0</v>
      </c>
      <c r="V27" s="245">
        <f t="shared" si="114"/>
        <v>0</v>
      </c>
      <c r="W27" s="326">
        <f t="shared" si="114"/>
        <v>0</v>
      </c>
      <c r="X27" s="246">
        <f t="shared" ca="1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ca="1" si="130"/>
        <v>0</v>
      </c>
      <c r="AC27" s="54">
        <f t="shared" ca="1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ca="1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ca="1" si="131"/>
        <v>0</v>
      </c>
      <c r="AL27" s="54">
        <f t="shared" ca="1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ca="1" si="118"/>
        <v>0</v>
      </c>
      <c r="AQ27" s="54">
        <f t="shared" ca="1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ca="1" si="119"/>
        <v>0</v>
      </c>
      <c r="AV27" s="54">
        <f t="shared" ca="1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ca="1" si="132"/>
        <v>0</v>
      </c>
      <c r="BA27" s="227">
        <f t="shared" si="120"/>
        <v>0</v>
      </c>
      <c r="BB27" s="228">
        <f t="shared" si="120"/>
        <v>0</v>
      </c>
      <c r="BC27" s="228">
        <f t="shared" si="120"/>
        <v>0</v>
      </c>
      <c r="BD27" s="228">
        <f t="shared" ca="1" si="120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33">BL15+BL21+BL26</f>
        <v>0</v>
      </c>
      <c r="BM27" s="228">
        <f t="shared" ca="1" si="133"/>
        <v>0</v>
      </c>
      <c r="BN27" s="227">
        <f t="shared" si="133"/>
        <v>0</v>
      </c>
      <c r="BO27" s="228">
        <f t="shared" ca="1" si="133"/>
        <v>0</v>
      </c>
      <c r="BP27" s="227">
        <f t="shared" si="133"/>
        <v>0</v>
      </c>
      <c r="BQ27" s="228">
        <f t="shared" ca="1" si="133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4">BT15+BT21+BT26</f>
        <v>0</v>
      </c>
      <c r="BU27" s="228">
        <f t="shared" si="134"/>
        <v>0</v>
      </c>
      <c r="BV27" s="228">
        <f t="shared" si="134"/>
        <v>0</v>
      </c>
      <c r="BW27" s="228">
        <f t="shared" si="134"/>
        <v>0</v>
      </c>
      <c r="BX27" s="228">
        <f t="shared" si="134"/>
        <v>0</v>
      </c>
      <c r="BY27" s="56">
        <f t="shared" ca="1" si="134"/>
        <v>0</v>
      </c>
      <c r="BZ27" s="54">
        <f t="shared" ca="1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ca="1" si="135"/>
        <v>0</v>
      </c>
      <c r="CG27" s="54">
        <f t="shared" ca="1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ca="1" si="136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U27" s="44">
        <f t="shared" ref="CU27" si="137">CU15+CU21+CU26</f>
        <v>0</v>
      </c>
      <c r="CV27" s="44"/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x14ac:dyDescent="0.25">
      <c r="A28" s="44" t="s">
        <v>301</v>
      </c>
      <c r="B28" s="44">
        <v>2018</v>
      </c>
      <c r="C28" s="88">
        <v>14</v>
      </c>
      <c r="D28" s="97">
        <f t="shared" ref="D28:D31" si="138">G28*H28</f>
        <v>0</v>
      </c>
      <c r="E28" s="198">
        <f t="shared" ref="E28:E31" si="139">IFERROR(D28*F28,0)</f>
        <v>0</v>
      </c>
      <c r="F28" s="199">
        <f t="shared" si="45"/>
        <v>0</v>
      </c>
      <c r="G28" s="197">
        <f t="shared" ref="G28:I31" si="140">IFERROR(VLOOKUP($B28 &amp; $C28&amp;G$4&amp;$A28,tblForecast,G$2,FALSE),0)</f>
        <v>0</v>
      </c>
      <c r="H28" s="200">
        <f t="shared" si="140"/>
        <v>0</v>
      </c>
      <c r="I28" s="200">
        <f t="shared" si="140"/>
        <v>0</v>
      </c>
      <c r="J28" s="197">
        <f>IFERROR(VLOOKUP($B28 &amp; $C28&amp;J$4&amp;$A28,tblForecast,J$2,FALSE),0)+IFERROR(VLOOKUP($B28 &amp; $C28 &amp; J$4 &amp; $A28,tblForecast,J$2+1,FALSE),0)</f>
        <v>0</v>
      </c>
      <c r="K28" s="295">
        <f>IFERROR(VLOOKUP($B28 &amp; $C28&amp;K$4&amp;$A28,tblForecast,K$2+2,FALSE),0)</f>
        <v>0</v>
      </c>
      <c r="L28" s="90">
        <f>Q28*AM28</f>
        <v>0</v>
      </c>
      <c r="M28" s="90">
        <f t="shared" ref="M28:O31" si="141">R28*AN28</f>
        <v>0</v>
      </c>
      <c r="N28" s="90">
        <f t="shared" si="141"/>
        <v>0</v>
      </c>
      <c r="O28" s="90">
        <f t="shared" ca="1" si="141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42">IFERROR(VLOOKUP($B28 &amp; $C28&amp;R$4,tblForecast,R$2,FALSE),0)</f>
        <v>0</v>
      </c>
      <c r="S28" s="237">
        <f t="shared" si="142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43">IFERROR(L28*AD28,0)</f>
        <v>0</v>
      </c>
      <c r="Z28" s="90">
        <f t="shared" si="143"/>
        <v>0</v>
      </c>
      <c r="AA28" s="90">
        <f t="shared" si="143"/>
        <v>0</v>
      </c>
      <c r="AB28" s="90">
        <f t="shared" ca="1" si="143"/>
        <v>0</v>
      </c>
      <c r="AC28" s="91">
        <f t="shared" ca="1" si="9"/>
        <v>0</v>
      </c>
      <c r="AD28" s="75">
        <f t="shared" ref="AD28:AG31" si="144">IF(AM28&lt;&gt;0,1-AR28/AM28,0)</f>
        <v>0</v>
      </c>
      <c r="AE28" s="93">
        <f t="shared" si="144"/>
        <v>0</v>
      </c>
      <c r="AF28" s="93">
        <f t="shared" si="144"/>
        <v>0</v>
      </c>
      <c r="AG28" s="93">
        <f t="shared" ca="1" si="144"/>
        <v>0</v>
      </c>
      <c r="AH28" s="104">
        <f>IFERROR(VLOOKUP($B28 &amp; $C28&amp;AH$4,tblForecast,AH$2,FALSE),0)</f>
        <v>0</v>
      </c>
      <c r="AI28" s="94">
        <f t="shared" ref="AI28:AJ31" si="145">IFERROR(VLOOKUP($B28 &amp; $C28&amp;AI$4,tblForecast,AI$2,FALSE),0)</f>
        <v>0</v>
      </c>
      <c r="AJ28" s="94">
        <f t="shared" si="145"/>
        <v>0</v>
      </c>
      <c r="AK28" s="94">
        <f ca="1">IFERROR(CF28/BY28,0)</f>
        <v>0</v>
      </c>
      <c r="AL28" s="91">
        <f t="shared" ref="AL28:AL43" ca="1" si="146">IFERROR(AH28/AK28-1,)</f>
        <v>0</v>
      </c>
      <c r="AM28" s="104">
        <f>IFERROR(VLOOKUP($B28 &amp; $C28&amp;AM$4,tblForecast,AM$2,FALSE),0)</f>
        <v>0</v>
      </c>
      <c r="AN28" s="94">
        <f t="shared" ref="AN28:AO31" si="147">IFERROR(VLOOKUP($B28 &amp; $C28&amp;AN$4,tblForecast,AN$2,FALSE),0)</f>
        <v>0</v>
      </c>
      <c r="AO28" s="94">
        <f t="shared" si="147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8">IFERROR(VLOOKUP($B28 &amp; $C28&amp;AS$4,tblForecast,AS$2,FALSE),0)</f>
        <v>0</v>
      </c>
      <c r="AT28" s="94">
        <f t="shared" si="148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32"/>
        <v>0</v>
      </c>
      <c r="AX28" s="181">
        <f t="shared" si="132"/>
        <v>0</v>
      </c>
      <c r="AY28" s="181">
        <f t="shared" si="132"/>
        <v>0</v>
      </c>
      <c r="AZ28" s="181">
        <f t="shared" ca="1" si="132"/>
        <v>0</v>
      </c>
      <c r="BA28" s="225">
        <f t="shared" ref="BA28:BA31" si="149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50">IFERROR(VLOOKUP($B28 &amp; $C28&amp;BC$4,tblForecast,BC$2,FALSE),0)</f>
        <v>0</v>
      </c>
      <c r="BD28" s="226">
        <f t="shared" ref="BD28:BD34" ca="1" si="151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52">IF(T28&lt;&gt;0,BD28/T28,0)</f>
        <v>0</v>
      </c>
      <c r="BJ28" s="183">
        <f t="shared" ref="BJ28:BJ31" si="153">IF(BA28&lt;&gt;0,Q28/BA28,0)</f>
        <v>0</v>
      </c>
      <c r="BK28" s="96">
        <f t="shared" ref="BK28:BK31" ca="1" si="154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5">IFERROR(VLOOKUP($B28 &amp; $C28&amp;BT$4,tblForecast,BT$2,FALSE),0)</f>
        <v>0</v>
      </c>
      <c r="BU28" s="226">
        <f t="shared" si="155"/>
        <v>0</v>
      </c>
      <c r="BV28" s="226">
        <f>IFERROR(VLOOKUP($B28 &amp; $C28&amp;BV$4,tblForecast,BV$2,FALSE),0)</f>
        <v>0</v>
      </c>
      <c r="BW28" s="226">
        <f t="shared" ref="BW28:BX31" si="156">IFERROR(VLOOKUP($B28 &amp; $C28&amp;BW$4,tblForecast,BW$2,FALSE),0)</f>
        <v>0</v>
      </c>
      <c r="BX28" s="226">
        <f t="shared" si="156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7">IFERROR(VLOOKUP($B28 &amp; $C28&amp;CA$4,tblForecast,CA$2,FALSE),0)</f>
        <v>0</v>
      </c>
      <c r="CB28" s="90">
        <f t="shared" si="157"/>
        <v>0</v>
      </c>
      <c r="CC28" s="90">
        <f>IFERROR(VLOOKUP($B28 &amp; $C28&amp;CC$4,tblForecast,CC$2,FALSE),0)</f>
        <v>0</v>
      </c>
      <c r="CD28" s="90">
        <f t="shared" ref="CD28:CE31" si="158">IFERROR(VLOOKUP($B28 &amp; $C28&amp;CD$4,tblForecast,CD$2,FALSE),0)</f>
        <v>0</v>
      </c>
      <c r="CE28" s="90">
        <f t="shared" si="158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9">IFERROR(VLOOKUP($B28 &amp; $C28&amp;CH$4,tblForecast,CH$2,FALSE),0)</f>
        <v>0</v>
      </c>
      <c r="CI28" s="90">
        <f t="shared" si="159"/>
        <v>0</v>
      </c>
      <c r="CJ28" s="90">
        <f>IFERROR(VLOOKUP($B28 &amp; $C28&amp;CJ$4,tblForecast,CJ$2,FALSE),0)</f>
        <v>0</v>
      </c>
      <c r="CK28" s="90">
        <f t="shared" ref="CK28:CL31" si="160">IFERROR(VLOOKUP($B28 &amp; $C28&amp;CK$4,tblForecast,CK$2,FALSE),0)</f>
        <v>0</v>
      </c>
      <c r="CL28" s="90">
        <f t="shared" si="160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U28" s="44">
        <f>IFERROR(VLOOKUP($B28 &amp; $C28&amp;CU$4,tblForecast,CU$2,FALSE),0)</f>
        <v>0</v>
      </c>
      <c r="CV28" s="44"/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301</v>
      </c>
      <c r="B29" s="44">
        <v>2018</v>
      </c>
      <c r="C29" s="88">
        <v>15</v>
      </c>
      <c r="D29" s="97">
        <f t="shared" si="138"/>
        <v>0</v>
      </c>
      <c r="E29" s="201">
        <f t="shared" si="139"/>
        <v>0</v>
      </c>
      <c r="F29" s="181">
        <f t="shared" si="45"/>
        <v>0</v>
      </c>
      <c r="G29" s="175">
        <f t="shared" si="140"/>
        <v>0</v>
      </c>
      <c r="H29" s="202">
        <f t="shared" si="140"/>
        <v>0</v>
      </c>
      <c r="I29" s="202">
        <f t="shared" si="140"/>
        <v>0</v>
      </c>
      <c r="J29" s="175">
        <f>IFERROR(VLOOKUP($B29 &amp; $C29&amp;J$4&amp;$A29,tblForecast,J$2,FALSE),0)+IFERROR(VLOOKUP($B29 &amp; $C29 &amp; J$4 &amp; $A29,tblForecast,J$2+1,FALSE),0)</f>
        <v>0</v>
      </c>
      <c r="K29" s="296">
        <f>IFERROR(VLOOKUP($B29 &amp; $C29&amp;K$4&amp;$A29,tblForecast,K$2+2,FALSE),0)</f>
        <v>0</v>
      </c>
      <c r="L29" s="90">
        <f>Q29*AM29</f>
        <v>0</v>
      </c>
      <c r="M29" s="90">
        <f t="shared" si="141"/>
        <v>0</v>
      </c>
      <c r="N29" s="90">
        <f t="shared" si="141"/>
        <v>0</v>
      </c>
      <c r="O29" s="90">
        <f t="shared" ca="1" si="141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42"/>
        <v>0</v>
      </c>
      <c r="S29" s="238">
        <f t="shared" si="142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V31" si="161">IFERROR(IF(Q28&lt;&gt;0,Q29/Q28,0),0)</f>
        <v>0</v>
      </c>
      <c r="W29" s="324">
        <f t="shared" ref="W29:W31" si="162">IFERROR(IF(R28&lt;&gt;0,R29/R28,0),0)</f>
        <v>0</v>
      </c>
      <c r="X29" s="244">
        <f ca="1">IFERROR(IF(T28&lt;&gt;0,T29/T28,0),0)</f>
        <v>0</v>
      </c>
      <c r="Y29" s="97">
        <f t="shared" si="143"/>
        <v>0</v>
      </c>
      <c r="Z29" s="90">
        <f t="shared" si="143"/>
        <v>0</v>
      </c>
      <c r="AA29" s="90">
        <f t="shared" si="143"/>
        <v>0</v>
      </c>
      <c r="AB29" s="90">
        <f t="shared" ca="1" si="143"/>
        <v>0</v>
      </c>
      <c r="AC29" s="91">
        <f t="shared" ca="1" si="9"/>
        <v>0</v>
      </c>
      <c r="AD29" s="75">
        <f t="shared" si="144"/>
        <v>0</v>
      </c>
      <c r="AE29" s="93">
        <f t="shared" si="144"/>
        <v>0</v>
      </c>
      <c r="AF29" s="93">
        <f t="shared" si="144"/>
        <v>0</v>
      </c>
      <c r="AG29" s="93">
        <f t="shared" ca="1" si="144"/>
        <v>0</v>
      </c>
      <c r="AH29" s="104">
        <f>IFERROR(VLOOKUP($B29 &amp; $C29&amp;AH$4,tblForecast,AH$2,FALSE),0)</f>
        <v>0</v>
      </c>
      <c r="AI29" s="94">
        <f t="shared" si="145"/>
        <v>0</v>
      </c>
      <c r="AJ29" s="94">
        <f t="shared" si="145"/>
        <v>0</v>
      </c>
      <c r="AK29" s="94">
        <f ca="1">IFERROR(CF29/BY29,0)</f>
        <v>0</v>
      </c>
      <c r="AL29" s="91">
        <f t="shared" ca="1" si="146"/>
        <v>0</v>
      </c>
      <c r="AM29" s="104">
        <f>IFERROR(VLOOKUP($B29 &amp; $C29&amp;AM$4,tblForecast,AM$2,FALSE),0)</f>
        <v>0</v>
      </c>
      <c r="AN29" s="94">
        <f t="shared" si="147"/>
        <v>0</v>
      </c>
      <c r="AO29" s="94">
        <f t="shared" si="147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8"/>
        <v>0</v>
      </c>
      <c r="AT29" s="94">
        <f t="shared" si="148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32"/>
        <v>0</v>
      </c>
      <c r="AX29" s="181">
        <f t="shared" si="132"/>
        <v>0</v>
      </c>
      <c r="AY29" s="181">
        <f t="shared" si="132"/>
        <v>0</v>
      </c>
      <c r="AZ29" s="181">
        <f t="shared" ca="1" si="132"/>
        <v>0</v>
      </c>
      <c r="BA29" s="225">
        <f t="shared" si="149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50"/>
        <v>0</v>
      </c>
      <c r="BD29" s="226">
        <f t="shared" ca="1" si="151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52"/>
        <v>0</v>
      </c>
      <c r="BJ29" s="183">
        <f t="shared" si="153"/>
        <v>0</v>
      </c>
      <c r="BK29" s="96">
        <f t="shared" ca="1" si="154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5"/>
        <v>0</v>
      </c>
      <c r="BU29" s="226">
        <f t="shared" si="155"/>
        <v>0</v>
      </c>
      <c r="BV29" s="226">
        <f>IFERROR(VLOOKUP($B29 &amp; $C29&amp;BV$4,tblForecast,BV$2,FALSE),0)</f>
        <v>0</v>
      </c>
      <c r="BW29" s="226">
        <f t="shared" si="156"/>
        <v>0</v>
      </c>
      <c r="BX29" s="226">
        <f t="shared" si="156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7"/>
        <v>0</v>
      </c>
      <c r="CB29" s="90">
        <f t="shared" si="157"/>
        <v>0</v>
      </c>
      <c r="CC29" s="90">
        <f>IFERROR(VLOOKUP($B29 &amp; $C29&amp;CC$4,tblForecast,CC$2,FALSE),0)</f>
        <v>0</v>
      </c>
      <c r="CD29" s="90">
        <f t="shared" si="158"/>
        <v>0</v>
      </c>
      <c r="CE29" s="90">
        <f t="shared" si="158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9"/>
        <v>0</v>
      </c>
      <c r="CI29" s="90">
        <f t="shared" si="159"/>
        <v>0</v>
      </c>
      <c r="CJ29" s="90">
        <f>IFERROR(VLOOKUP($B29 &amp; $C29&amp;CJ$4,tblForecast,CJ$2,FALSE),0)</f>
        <v>0</v>
      </c>
      <c r="CK29" s="90">
        <f t="shared" si="160"/>
        <v>0</v>
      </c>
      <c r="CL29" s="90">
        <f t="shared" si="160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>
        <f>IFERROR(VLOOKUP($B29 &amp; $C29&amp;CU$4,tblForecast,CU$2,FALSE),0)</f>
        <v>0</v>
      </c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301</v>
      </c>
      <c r="B30" s="44">
        <v>2018</v>
      </c>
      <c r="C30" s="88">
        <v>16</v>
      </c>
      <c r="D30" s="97">
        <f t="shared" si="138"/>
        <v>0</v>
      </c>
      <c r="E30" s="201">
        <f t="shared" si="139"/>
        <v>0</v>
      </c>
      <c r="F30" s="181">
        <f t="shared" si="45"/>
        <v>0</v>
      </c>
      <c r="G30" s="175">
        <f t="shared" si="140"/>
        <v>0</v>
      </c>
      <c r="H30" s="202">
        <f t="shared" si="140"/>
        <v>0</v>
      </c>
      <c r="I30" s="202">
        <f t="shared" si="140"/>
        <v>0</v>
      </c>
      <c r="J30" s="175">
        <f>IFERROR(VLOOKUP($B30 &amp; $C30&amp;J$4&amp;$A30,tblForecast,J$2,FALSE),0)+IFERROR(VLOOKUP($B30 &amp; $C30 &amp; J$4 &amp; $A30,tblForecast,J$2+1,FALSE),0)</f>
        <v>0</v>
      </c>
      <c r="K30" s="296">
        <f>IFERROR(VLOOKUP($B30 &amp; $C30&amp;K$4&amp;$A30,tblForecast,K$2+2,FALSE),0)</f>
        <v>0</v>
      </c>
      <c r="L30" s="90">
        <f>Q30*AM30</f>
        <v>0</v>
      </c>
      <c r="M30" s="90">
        <f t="shared" si="141"/>
        <v>0</v>
      </c>
      <c r="N30" s="90">
        <f t="shared" si="141"/>
        <v>0</v>
      </c>
      <c r="O30" s="90">
        <f t="shared" ca="1" si="141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42"/>
        <v>0</v>
      </c>
      <c r="S30" s="238">
        <f t="shared" si="142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61"/>
        <v>0</v>
      </c>
      <c r="W30" s="324">
        <f t="shared" si="162"/>
        <v>0</v>
      </c>
      <c r="X30" s="244">
        <f ca="1">IFERROR(IF(T29&lt;&gt;0,T30/T29,0),0)</f>
        <v>0</v>
      </c>
      <c r="Y30" s="97">
        <f t="shared" si="143"/>
        <v>0</v>
      </c>
      <c r="Z30" s="90">
        <f t="shared" si="143"/>
        <v>0</v>
      </c>
      <c r="AA30" s="90">
        <f t="shared" si="143"/>
        <v>0</v>
      </c>
      <c r="AB30" s="90">
        <f t="shared" ca="1" si="143"/>
        <v>0</v>
      </c>
      <c r="AC30" s="91">
        <f t="shared" ca="1" si="9"/>
        <v>0</v>
      </c>
      <c r="AD30" s="75">
        <f t="shared" si="144"/>
        <v>0</v>
      </c>
      <c r="AE30" s="93">
        <f t="shared" si="144"/>
        <v>0</v>
      </c>
      <c r="AF30" s="93">
        <f t="shared" si="144"/>
        <v>0</v>
      </c>
      <c r="AG30" s="93">
        <f t="shared" ca="1" si="144"/>
        <v>0</v>
      </c>
      <c r="AH30" s="104">
        <f>IFERROR(VLOOKUP($B30 &amp; $C30&amp;AH$4,tblForecast,AH$2,FALSE),0)</f>
        <v>0</v>
      </c>
      <c r="AI30" s="94">
        <f t="shared" si="145"/>
        <v>0</v>
      </c>
      <c r="AJ30" s="94">
        <f t="shared" si="145"/>
        <v>0</v>
      </c>
      <c r="AK30" s="94">
        <f ca="1">IFERROR(CF30/BY30,0)</f>
        <v>0</v>
      </c>
      <c r="AL30" s="91">
        <f t="shared" ca="1" si="146"/>
        <v>0</v>
      </c>
      <c r="AM30" s="104">
        <f>IFERROR(VLOOKUP($B30 &amp; $C30&amp;AM$4,tblForecast,AM$2,FALSE),0)</f>
        <v>0</v>
      </c>
      <c r="AN30" s="94">
        <f t="shared" si="147"/>
        <v>0</v>
      </c>
      <c r="AO30" s="94">
        <f t="shared" si="147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8"/>
        <v>0</v>
      </c>
      <c r="AT30" s="94">
        <f t="shared" si="148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32"/>
        <v>0</v>
      </c>
      <c r="AX30" s="181">
        <f t="shared" si="132"/>
        <v>0</v>
      </c>
      <c r="AY30" s="181">
        <f t="shared" si="132"/>
        <v>0</v>
      </c>
      <c r="AZ30" s="181">
        <f t="shared" ca="1" si="132"/>
        <v>0</v>
      </c>
      <c r="BA30" s="225">
        <f t="shared" si="149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50"/>
        <v>0</v>
      </c>
      <c r="BD30" s="226">
        <f t="shared" ca="1" si="151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52"/>
        <v>0</v>
      </c>
      <c r="BJ30" s="183">
        <f t="shared" si="153"/>
        <v>0</v>
      </c>
      <c r="BK30" s="96">
        <f t="shared" ca="1" si="154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5"/>
        <v>0</v>
      </c>
      <c r="BU30" s="226">
        <f t="shared" si="155"/>
        <v>0</v>
      </c>
      <c r="BV30" s="226">
        <f>IFERROR(VLOOKUP($B30 &amp; $C30&amp;BV$4,tblForecast,BV$2,FALSE),0)</f>
        <v>0</v>
      </c>
      <c r="BW30" s="226">
        <f t="shared" si="156"/>
        <v>0</v>
      </c>
      <c r="BX30" s="226">
        <f t="shared" si="156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7"/>
        <v>0</v>
      </c>
      <c r="CB30" s="90">
        <f t="shared" si="157"/>
        <v>0</v>
      </c>
      <c r="CC30" s="90">
        <f>IFERROR(VLOOKUP($B30 &amp; $C30&amp;CC$4,tblForecast,CC$2,FALSE),0)</f>
        <v>0</v>
      </c>
      <c r="CD30" s="90">
        <f t="shared" si="158"/>
        <v>0</v>
      </c>
      <c r="CE30" s="90">
        <f t="shared" si="158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9"/>
        <v>0</v>
      </c>
      <c r="CI30" s="90">
        <f t="shared" si="159"/>
        <v>0</v>
      </c>
      <c r="CJ30" s="90">
        <f>IFERROR(VLOOKUP($B30 &amp; $C30&amp;CJ$4,tblForecast,CJ$2,FALSE),0)</f>
        <v>0</v>
      </c>
      <c r="CK30" s="90">
        <f t="shared" si="160"/>
        <v>0</v>
      </c>
      <c r="CL30" s="90">
        <f t="shared" si="160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>
        <f>IFERROR(VLOOKUP($B30 &amp; $C30&amp;CU$4,tblForecast,CU$2,FALSE),0)</f>
        <v>0</v>
      </c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301</v>
      </c>
      <c r="B31" s="44">
        <v>2018</v>
      </c>
      <c r="C31" s="88">
        <v>17</v>
      </c>
      <c r="D31" s="97">
        <f t="shared" si="138"/>
        <v>0</v>
      </c>
      <c r="E31" s="201">
        <f t="shared" si="139"/>
        <v>0</v>
      </c>
      <c r="F31" s="181">
        <f t="shared" si="45"/>
        <v>0</v>
      </c>
      <c r="G31" s="175">
        <f t="shared" si="140"/>
        <v>0</v>
      </c>
      <c r="H31" s="202">
        <f t="shared" si="140"/>
        <v>0</v>
      </c>
      <c r="I31" s="202">
        <f t="shared" si="140"/>
        <v>0</v>
      </c>
      <c r="J31" s="175">
        <f>IFERROR(VLOOKUP($B31 &amp; $C31&amp;J$4&amp;$A31,tblForecast,J$2,FALSE),0)+IFERROR(VLOOKUP($B31 &amp; $C31 &amp; J$4 &amp; $A31,tblForecast,J$2+1,FALSE),0)</f>
        <v>0</v>
      </c>
      <c r="K31" s="296">
        <f>IFERROR(VLOOKUP($B31 &amp; $C31&amp;K$4&amp;$A31,tblForecast,K$2+2,FALSE),0)</f>
        <v>0</v>
      </c>
      <c r="L31" s="90">
        <f>Q31*AM31</f>
        <v>0</v>
      </c>
      <c r="M31" s="90">
        <f t="shared" si="141"/>
        <v>0</v>
      </c>
      <c r="N31" s="90">
        <f t="shared" si="141"/>
        <v>0</v>
      </c>
      <c r="O31" s="90">
        <f t="shared" ca="1" si="141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42"/>
        <v>0</v>
      </c>
      <c r="S31" s="238">
        <f t="shared" si="142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61"/>
        <v>0</v>
      </c>
      <c r="W31" s="324">
        <f t="shared" si="162"/>
        <v>0</v>
      </c>
      <c r="X31" s="244">
        <f ca="1">IFERROR(IF(T30&lt;&gt;0,T31/T30,0),0)</f>
        <v>0</v>
      </c>
      <c r="Y31" s="97">
        <f t="shared" si="143"/>
        <v>0</v>
      </c>
      <c r="Z31" s="90">
        <f t="shared" si="143"/>
        <v>0</v>
      </c>
      <c r="AA31" s="90">
        <f t="shared" si="143"/>
        <v>0</v>
      </c>
      <c r="AB31" s="90">
        <f t="shared" ca="1" si="143"/>
        <v>0</v>
      </c>
      <c r="AC31" s="91">
        <f t="shared" ca="1" si="9"/>
        <v>0</v>
      </c>
      <c r="AD31" s="75">
        <f t="shared" si="144"/>
        <v>0</v>
      </c>
      <c r="AE31" s="93">
        <f t="shared" si="144"/>
        <v>0</v>
      </c>
      <c r="AF31" s="93">
        <f t="shared" si="144"/>
        <v>0</v>
      </c>
      <c r="AG31" s="93">
        <f t="shared" ca="1" si="144"/>
        <v>0</v>
      </c>
      <c r="AH31" s="104">
        <f>IFERROR(VLOOKUP($B31 &amp; $C31&amp;AH$4,tblForecast,AH$2,FALSE),0)</f>
        <v>0</v>
      </c>
      <c r="AI31" s="94">
        <f t="shared" si="145"/>
        <v>0</v>
      </c>
      <c r="AJ31" s="94">
        <f t="shared" si="145"/>
        <v>0</v>
      </c>
      <c r="AK31" s="94">
        <f ca="1">IFERROR(CF31/BY31,0)</f>
        <v>0</v>
      </c>
      <c r="AL31" s="91">
        <f t="shared" ca="1" si="146"/>
        <v>0</v>
      </c>
      <c r="AM31" s="104">
        <f>IFERROR(VLOOKUP($B31 &amp; $C31&amp;AM$4,tblForecast,AM$2,FALSE),0)</f>
        <v>0</v>
      </c>
      <c r="AN31" s="94">
        <f t="shared" si="147"/>
        <v>0</v>
      </c>
      <c r="AO31" s="94">
        <f t="shared" si="147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8"/>
        <v>0</v>
      </c>
      <c r="AT31" s="94">
        <f t="shared" si="148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32"/>
        <v>0</v>
      </c>
      <c r="AX31" s="181">
        <f t="shared" si="132"/>
        <v>0</v>
      </c>
      <c r="AY31" s="181">
        <f t="shared" si="132"/>
        <v>0</v>
      </c>
      <c r="AZ31" s="181">
        <f t="shared" ca="1" si="132"/>
        <v>0</v>
      </c>
      <c r="BA31" s="225">
        <f t="shared" si="149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50"/>
        <v>0</v>
      </c>
      <c r="BD31" s="226">
        <f t="shared" ca="1" si="151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52"/>
        <v>0</v>
      </c>
      <c r="BJ31" s="183">
        <f t="shared" si="153"/>
        <v>0</v>
      </c>
      <c r="BK31" s="96">
        <f t="shared" ca="1" si="154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5"/>
        <v>0</v>
      </c>
      <c r="BU31" s="226">
        <f t="shared" si="155"/>
        <v>0</v>
      </c>
      <c r="BV31" s="226">
        <f>IFERROR(VLOOKUP($B31 &amp; $C31&amp;BV$4,tblForecast,BV$2,FALSE),0)</f>
        <v>0</v>
      </c>
      <c r="BW31" s="226">
        <f t="shared" si="156"/>
        <v>0</v>
      </c>
      <c r="BX31" s="226">
        <f t="shared" si="156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7"/>
        <v>0</v>
      </c>
      <c r="CB31" s="90">
        <f t="shared" si="157"/>
        <v>0</v>
      </c>
      <c r="CC31" s="90">
        <f>IFERROR(VLOOKUP($B31 &amp; $C31&amp;CC$4,tblForecast,CC$2,FALSE),0)</f>
        <v>0</v>
      </c>
      <c r="CD31" s="90">
        <f t="shared" si="158"/>
        <v>0</v>
      </c>
      <c r="CE31" s="90">
        <f t="shared" si="158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9"/>
        <v>0</v>
      </c>
      <c r="CI31" s="90">
        <f t="shared" si="159"/>
        <v>0</v>
      </c>
      <c r="CJ31" s="90">
        <f>IFERROR(VLOOKUP($B31 &amp; $C31&amp;CJ$4,tblForecast,CJ$2,FALSE),0)</f>
        <v>0</v>
      </c>
      <c r="CK31" s="90">
        <f t="shared" si="160"/>
        <v>0</v>
      </c>
      <c r="CL31" s="90">
        <f t="shared" si="160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>
        <f>IFERROR(VLOOKUP($B31 &amp; $C31&amp;CU$4,tblForecast,CU$2,FALSE),0)</f>
        <v>0</v>
      </c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ht="16.5" thickBot="1" x14ac:dyDescent="0.3">
      <c r="C32" s="251" t="s">
        <v>27</v>
      </c>
      <c r="D32" s="252">
        <f t="shared" ref="D32" si="163">SUM(D28:D31)</f>
        <v>0</v>
      </c>
      <c r="E32" s="253">
        <f t="shared" ref="E32" si="164">SUM(E28:E31)</f>
        <v>0</v>
      </c>
      <c r="F32" s="254">
        <f t="shared" si="45"/>
        <v>0</v>
      </c>
      <c r="G32" s="255">
        <f>SUM(G28:G31)</f>
        <v>0</v>
      </c>
      <c r="H32" s="256">
        <f>IFERROR(D32/G32,0)</f>
        <v>0</v>
      </c>
      <c r="I32" s="256">
        <f>IFERROR(SUMPRODUCT(I28:I31,G28:G31)/G32,0)</f>
        <v>0</v>
      </c>
      <c r="J32" s="255">
        <f>SUM(J28:J31)</f>
        <v>0</v>
      </c>
      <c r="K32" s="297">
        <f>SUM(K28:K31)</f>
        <v>0</v>
      </c>
      <c r="L32" s="257">
        <f>SUM(L28:L31)</f>
        <v>0</v>
      </c>
      <c r="M32" s="257">
        <f t="shared" ref="M32:O32" si="165">SUM(M28:M31)</f>
        <v>0</v>
      </c>
      <c r="N32" s="257">
        <f t="shared" si="165"/>
        <v>0</v>
      </c>
      <c r="O32" s="257">
        <f t="shared" ca="1" si="165"/>
        <v>0</v>
      </c>
      <c r="P32" s="258">
        <f t="shared" ca="1" si="39"/>
        <v>0</v>
      </c>
      <c r="Q32" s="259">
        <f>SUM(Q28:Q31)</f>
        <v>0</v>
      </c>
      <c r="R32" s="260">
        <f t="shared" ref="R32:S32" si="166">SUM(R28:R31)</f>
        <v>0</v>
      </c>
      <c r="S32" s="260">
        <f t="shared" si="166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7">SUM(Z28:Z31)</f>
        <v>0</v>
      </c>
      <c r="AA32" s="257">
        <f t="shared" si="167"/>
        <v>0</v>
      </c>
      <c r="AB32" s="257">
        <f t="shared" ca="1" si="167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8">IFERROR(SUMPRODUCT(AJ28:AJ31,S28:S31)/S32,0)</f>
        <v>0</v>
      </c>
      <c r="AK32" s="266">
        <f t="shared" ca="1" si="168"/>
        <v>0</v>
      </c>
      <c r="AL32" s="258">
        <f t="shared" ca="1" si="146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32"/>
        <v>0</v>
      </c>
      <c r="AX32" s="268">
        <f t="shared" si="132"/>
        <v>0</v>
      </c>
      <c r="AY32" s="268">
        <f t="shared" si="132"/>
        <v>0</v>
      </c>
      <c r="AZ32" s="268">
        <f t="shared" ca="1" si="132"/>
        <v>0</v>
      </c>
      <c r="BA32" s="259">
        <f>BA31</f>
        <v>0</v>
      </c>
      <c r="BB32" s="260">
        <f t="shared" ref="BB32:BD32" si="169">BB31</f>
        <v>0</v>
      </c>
      <c r="BC32" s="260">
        <f t="shared" si="169"/>
        <v>0</v>
      </c>
      <c r="BD32" s="260">
        <f t="shared" ca="1" si="169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70">IF(BA32&lt;&gt;0,(Q32/COUNTIF(BJ28:BJ31,"&lt;&gt;0"))/BA32,0)</f>
        <v>0</v>
      </c>
      <c r="BK32" s="272">
        <f t="shared" ref="BK32" ca="1" si="171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72">SUM(BO28:BO31)</f>
        <v>0</v>
      </c>
      <c r="BP32" s="259">
        <f>SUM(BP28:BP31)</f>
        <v>0</v>
      </c>
      <c r="BQ32" s="260">
        <f t="shared" ca="1" si="172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73">SUM(BW28:BW31)</f>
        <v>0</v>
      </c>
      <c r="BX32" s="260">
        <f t="shared" si="173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74">SUM(CA28:CA31)</f>
        <v>0</v>
      </c>
      <c r="CB32" s="257">
        <f t="shared" si="174"/>
        <v>0</v>
      </c>
      <c r="CC32" s="257">
        <f>SUM(CC28:CC31)</f>
        <v>0</v>
      </c>
      <c r="CD32" s="257">
        <f t="shared" si="174"/>
        <v>0</v>
      </c>
      <c r="CE32" s="257">
        <f t="shared" si="174"/>
        <v>0</v>
      </c>
      <c r="CF32" s="257">
        <f t="shared" ca="1" si="174"/>
        <v>0</v>
      </c>
      <c r="CG32" s="258">
        <f t="shared" ca="1" si="28"/>
        <v>0</v>
      </c>
      <c r="CH32" s="257">
        <f t="shared" ref="CH32:CM32" si="175">SUM(CH28:CH31)</f>
        <v>0</v>
      </c>
      <c r="CI32" s="257">
        <f t="shared" si="175"/>
        <v>0</v>
      </c>
      <c r="CJ32" s="257">
        <f>SUM(CJ28:CJ31)</f>
        <v>0</v>
      </c>
      <c r="CK32" s="257">
        <f t="shared" si="175"/>
        <v>0</v>
      </c>
      <c r="CL32" s="257">
        <f t="shared" si="175"/>
        <v>0</v>
      </c>
      <c r="CM32" s="257">
        <f t="shared" ca="1" si="175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U32" s="44">
        <f>SUM(CU28:CU31)</f>
        <v>0</v>
      </c>
      <c r="CV32" s="44"/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301</v>
      </c>
      <c r="B33" s="44">
        <v>2018</v>
      </c>
      <c r="C33" s="88">
        <v>18</v>
      </c>
      <c r="D33" s="97">
        <f>G33*H33</f>
        <v>0</v>
      </c>
      <c r="E33" s="198">
        <f>IFERROR(D33*F33,0)</f>
        <v>0</v>
      </c>
      <c r="F33" s="199">
        <f t="shared" si="45"/>
        <v>0</v>
      </c>
      <c r="G33" s="197">
        <f t="shared" ref="G33:I42" si="176">IFERROR(VLOOKUP($B33 &amp; $C33&amp;G$4&amp;$A33,tblForecast,G$2,FALSE),0)</f>
        <v>0</v>
      </c>
      <c r="H33" s="200">
        <f t="shared" si="176"/>
        <v>0</v>
      </c>
      <c r="I33" s="200">
        <f t="shared" si="176"/>
        <v>0</v>
      </c>
      <c r="J33" s="197">
        <f>IFERROR(VLOOKUP($B33 &amp; $C33&amp;J$4&amp;$A33,tblForecast,J$2,FALSE),0)+IFERROR(VLOOKUP($B33 &amp; $C33 &amp; J$4 &amp; $A33,tblForecast,J$2+1,FALSE),0)</f>
        <v>0</v>
      </c>
      <c r="K33" s="295">
        <f>IFERROR(VLOOKUP($B33 &amp; $C33&amp;K$4&amp;$A33,tblForecast,K$2+2,FALSE),0)</f>
        <v>0</v>
      </c>
      <c r="L33" s="90">
        <f>Q33*AM33</f>
        <v>0</v>
      </c>
      <c r="M33" s="90">
        <f t="shared" ref="M33:O34" si="177">R33*AN33</f>
        <v>0</v>
      </c>
      <c r="N33" s="90">
        <f t="shared" si="177"/>
        <v>0</v>
      </c>
      <c r="O33" s="90">
        <f t="shared" ca="1" si="177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8">IFERROR(VLOOKUP($B33 &amp; $C33&amp;R$4,tblForecast,R$2,FALSE),0)</f>
        <v>0</v>
      </c>
      <c r="S33" s="237">
        <f t="shared" si="178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4" si="179">IFERROR(L33*AD33,0)</f>
        <v>0</v>
      </c>
      <c r="Z33" s="90">
        <f t="shared" si="179"/>
        <v>0</v>
      </c>
      <c r="AA33" s="90">
        <f t="shared" si="179"/>
        <v>0</v>
      </c>
      <c r="AB33" s="90">
        <f t="shared" ca="1" si="179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4" si="180">IF(AN33&lt;&gt;0,1-AS33/AN33,0)</f>
        <v>0</v>
      </c>
      <c r="AF33" s="93">
        <f t="shared" si="180"/>
        <v>0</v>
      </c>
      <c r="AG33" s="93">
        <f t="shared" ca="1" si="180"/>
        <v>0</v>
      </c>
      <c r="AH33" s="104">
        <f>IFERROR(VLOOKUP($B33 &amp; $C33&amp;AH$4,tblForecast,AH$2,FALSE),0)</f>
        <v>0</v>
      </c>
      <c r="AI33" s="94">
        <f t="shared" ref="AI33:AJ42" si="181">IFERROR(VLOOKUP($B33 &amp; $C33&amp;AI$4,tblForecast,AI$2,FALSE),0)</f>
        <v>0</v>
      </c>
      <c r="AJ33" s="94">
        <f t="shared" si="181"/>
        <v>0</v>
      </c>
      <c r="AK33" s="94">
        <f ca="1">IFERROR(CF33/BY33,0)</f>
        <v>0</v>
      </c>
      <c r="AL33" s="91">
        <f t="shared" ca="1" si="146"/>
        <v>0</v>
      </c>
      <c r="AM33" s="104">
        <f>IFERROR(VLOOKUP($B33 &amp; $C33&amp;AM$4,tblForecast,AM$2,FALSE),0)</f>
        <v>0</v>
      </c>
      <c r="AN33" s="94">
        <f t="shared" ref="AN33:AO42" si="182">IFERROR(VLOOKUP($B33 &amp; $C33&amp;AN$4,tblForecast,AN$2,FALSE),0)</f>
        <v>0</v>
      </c>
      <c r="AO33" s="94">
        <f t="shared" si="182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83">IFERROR(VLOOKUP($B33 &amp; $C33&amp;AS$4,tblForecast,AS$2,FALSE),0)</f>
        <v>0</v>
      </c>
      <c r="AT33" s="94">
        <f t="shared" si="183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32"/>
        <v>0</v>
      </c>
      <c r="AX33" s="181">
        <f t="shared" si="132"/>
        <v>0</v>
      </c>
      <c r="AY33" s="181">
        <f t="shared" si="132"/>
        <v>0</v>
      </c>
      <c r="AZ33" s="181">
        <f t="shared" ca="1" si="132"/>
        <v>0</v>
      </c>
      <c r="BA33" s="225">
        <f t="shared" ref="BA33:BA34" si="184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85">IFERROR(VLOOKUP($B33 &amp; $C33&amp;BC$4,tblForecast,BC$2,FALSE),0)</f>
        <v>0</v>
      </c>
      <c r="BD33" s="226">
        <f t="shared" ca="1" si="151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4" si="186">IF(BA33&lt;&gt;0,Q33/BA33,0)</f>
        <v>0</v>
      </c>
      <c r="BK33" s="96">
        <f t="shared" ref="BK33:BK34" ca="1" si="187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8">IFERROR(VLOOKUP($B33 &amp; $C33&amp;BT$4,tblForecast,BT$2,FALSE),0)</f>
        <v>0</v>
      </c>
      <c r="BU33" s="226">
        <f t="shared" si="188"/>
        <v>0</v>
      </c>
      <c r="BV33" s="226">
        <f>IFERROR(VLOOKUP($B33 &amp; $C33&amp;BV$4,tblForecast,BV$2,FALSE),0)</f>
        <v>0</v>
      </c>
      <c r="BW33" s="226">
        <f t="shared" ref="BW33:BX42" si="189">IFERROR(VLOOKUP($B33 &amp; $C33&amp;BW$4,tblForecast,BW$2,FALSE),0)</f>
        <v>0</v>
      </c>
      <c r="BX33" s="226">
        <f t="shared" si="189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90">IFERROR(VLOOKUP($B33 &amp; $C33&amp;CA$4,tblForecast,CA$2,FALSE),0)</f>
        <v>0</v>
      </c>
      <c r="CB33" s="90">
        <f t="shared" si="190"/>
        <v>0</v>
      </c>
      <c r="CC33" s="90">
        <f>IFERROR(VLOOKUP($B33 &amp; $C33&amp;CC$4,tblForecast,CC$2,FALSE),0)</f>
        <v>0</v>
      </c>
      <c r="CD33" s="90">
        <f t="shared" ref="CD33:CE42" si="191">IFERROR(VLOOKUP($B33 &amp; $C33&amp;CD$4,tblForecast,CD$2,FALSE),0)</f>
        <v>0</v>
      </c>
      <c r="CE33" s="90">
        <f t="shared" si="191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92">IFERROR(VLOOKUP($B33 &amp; $C33&amp;CH$4,tblForecast,CH$2,FALSE),0)</f>
        <v>0</v>
      </c>
      <c r="CI33" s="90">
        <f t="shared" si="192"/>
        <v>0</v>
      </c>
      <c r="CJ33" s="90">
        <f>IFERROR(VLOOKUP($B33 &amp; $C33&amp;CJ$4,tblForecast,CJ$2,FALSE),0)</f>
        <v>0</v>
      </c>
      <c r="CK33" s="90">
        <f t="shared" ref="CK33:CL42" si="193">IFERROR(VLOOKUP($B33 &amp; $C33&amp;CK$4,tblForecast,CK$2,FALSE),0)</f>
        <v>0</v>
      </c>
      <c r="CL33" s="90">
        <f t="shared" si="193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>
        <f>IFERROR(VLOOKUP($B33 &amp; $C33&amp;CU$4,tblForecast,CU$2,FALSE),0)</f>
        <v>0</v>
      </c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301</v>
      </c>
      <c r="B34" s="44">
        <v>2018</v>
      </c>
      <c r="C34" s="88">
        <v>19</v>
      </c>
      <c r="D34" s="97">
        <f t="shared" ref="D34" si="194">G34*H34</f>
        <v>0</v>
      </c>
      <c r="E34" s="201">
        <f t="shared" ref="E34" si="195">IFERROR(D34*F34,0)</f>
        <v>0</v>
      </c>
      <c r="F34" s="181">
        <f t="shared" ref="F34" si="196">IF(H34&lt;&gt;0,1-I34/H34,0)</f>
        <v>0</v>
      </c>
      <c r="G34" s="175">
        <f t="shared" si="176"/>
        <v>0</v>
      </c>
      <c r="H34" s="202">
        <f t="shared" si="176"/>
        <v>0</v>
      </c>
      <c r="I34" s="202">
        <f t="shared" si="176"/>
        <v>0</v>
      </c>
      <c r="J34" s="175">
        <f>IFERROR(VLOOKUP($B34 &amp; $C34&amp;J$4&amp;$A34,tblForecast,J$2,FALSE),0)+IFERROR(VLOOKUP($B34 &amp; $C34 &amp; J$4 &amp; $A34,tblForecast,J$2+1,FALSE),0)</f>
        <v>0</v>
      </c>
      <c r="K34" s="296">
        <f>IFERROR(VLOOKUP($B34 &amp; $C34&amp;K$4&amp;$A34,tblForecast,K$2+2,FALSE),0)</f>
        <v>0</v>
      </c>
      <c r="L34" s="90">
        <f>Q34*AM34</f>
        <v>0</v>
      </c>
      <c r="M34" s="90">
        <f t="shared" si="177"/>
        <v>0</v>
      </c>
      <c r="N34" s="90">
        <f t="shared" si="177"/>
        <v>0</v>
      </c>
      <c r="O34" s="90">
        <f t="shared" ca="1" si="177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8"/>
        <v>0</v>
      </c>
      <c r="S34" s="238">
        <f t="shared" si="178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V35" si="197">IFERROR(IF(Q33&lt;&gt;0,Q34/Q33,0),0)</f>
        <v>0</v>
      </c>
      <c r="W34" s="324">
        <f t="shared" ref="W34:W35" si="198">IFERROR(IF(R33&lt;&gt;0,R34/R33,0),0)</f>
        <v>0</v>
      </c>
      <c r="X34" s="244">
        <f t="shared" ref="X34:X35" ca="1" si="199">IFERROR(IF(T33&lt;&gt;0,T34/T33,0),0)</f>
        <v>0</v>
      </c>
      <c r="Y34" s="97">
        <f t="shared" si="179"/>
        <v>0</v>
      </c>
      <c r="Z34" s="90">
        <f t="shared" si="179"/>
        <v>0</v>
      </c>
      <c r="AA34" s="90">
        <f t="shared" si="179"/>
        <v>0</v>
      </c>
      <c r="AB34" s="90">
        <f t="shared" ca="1" si="179"/>
        <v>0</v>
      </c>
      <c r="AC34" s="91">
        <f t="shared" ca="1" si="9"/>
        <v>0</v>
      </c>
      <c r="AD34" s="75">
        <f t="shared" ref="AD34" si="200">IF(AM34&lt;&gt;0,1-AR34/AM34,0)</f>
        <v>0</v>
      </c>
      <c r="AE34" s="93">
        <f t="shared" si="180"/>
        <v>0</v>
      </c>
      <c r="AF34" s="93">
        <f t="shared" si="180"/>
        <v>0</v>
      </c>
      <c r="AG34" s="93">
        <f t="shared" ca="1" si="180"/>
        <v>0</v>
      </c>
      <c r="AH34" s="104">
        <f>IFERROR(VLOOKUP($B34 &amp; $C34&amp;AH$4,tblForecast,AH$2,FALSE),0)</f>
        <v>0</v>
      </c>
      <c r="AI34" s="94">
        <f t="shared" si="181"/>
        <v>0</v>
      </c>
      <c r="AJ34" s="94">
        <f t="shared" si="181"/>
        <v>0</v>
      </c>
      <c r="AK34" s="94">
        <f ca="1">IFERROR(CF34/BY34,0)</f>
        <v>0</v>
      </c>
      <c r="AL34" s="91">
        <f t="shared" ca="1" si="146"/>
        <v>0</v>
      </c>
      <c r="AM34" s="104">
        <f>IFERROR(VLOOKUP($B34 &amp; $C34&amp;AM$4,tblForecast,AM$2,FALSE),0)</f>
        <v>0</v>
      </c>
      <c r="AN34" s="94">
        <f t="shared" si="182"/>
        <v>0</v>
      </c>
      <c r="AO34" s="94">
        <f t="shared" si="182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83"/>
        <v>0</v>
      </c>
      <c r="AT34" s="94">
        <f t="shared" si="183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32"/>
        <v>0</v>
      </c>
      <c r="AX34" s="181">
        <f t="shared" si="132"/>
        <v>0</v>
      </c>
      <c r="AY34" s="181">
        <f t="shared" si="132"/>
        <v>0</v>
      </c>
      <c r="AZ34" s="181">
        <f t="shared" ca="1" si="132"/>
        <v>0</v>
      </c>
      <c r="BA34" s="225">
        <f t="shared" si="184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85"/>
        <v>0</v>
      </c>
      <c r="BD34" s="226">
        <f t="shared" ca="1" si="151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" ca="1" si="201">IF(T34&lt;&gt;0,BD34/T34,0)</f>
        <v>0</v>
      </c>
      <c r="BJ34" s="183">
        <f t="shared" si="186"/>
        <v>0</v>
      </c>
      <c r="BK34" s="96">
        <f t="shared" ca="1" si="187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8"/>
        <v>0</v>
      </c>
      <c r="BU34" s="226">
        <f t="shared" si="188"/>
        <v>0</v>
      </c>
      <c r="BV34" s="226">
        <f>IFERROR(VLOOKUP($B34 &amp; $C34&amp;BV$4,tblForecast,BV$2,FALSE),0)</f>
        <v>0</v>
      </c>
      <c r="BW34" s="226">
        <f t="shared" si="189"/>
        <v>0</v>
      </c>
      <c r="BX34" s="226">
        <f t="shared" si="189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90"/>
        <v>0</v>
      </c>
      <c r="CB34" s="90">
        <f t="shared" si="190"/>
        <v>0</v>
      </c>
      <c r="CC34" s="90">
        <f>IFERROR(VLOOKUP($B34 &amp; $C34&amp;CC$4,tblForecast,CC$2,FALSE),0)</f>
        <v>0</v>
      </c>
      <c r="CD34" s="90">
        <f t="shared" si="191"/>
        <v>0</v>
      </c>
      <c r="CE34" s="90">
        <f t="shared" si="191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92"/>
        <v>0</v>
      </c>
      <c r="CI34" s="90">
        <f t="shared" si="192"/>
        <v>0</v>
      </c>
      <c r="CJ34" s="90">
        <f>IFERROR(VLOOKUP($B34 &amp; $C34&amp;CJ$4,tblForecast,CJ$2,FALSE),0)</f>
        <v>0</v>
      </c>
      <c r="CK34" s="90">
        <f t="shared" si="193"/>
        <v>0</v>
      </c>
      <c r="CL34" s="90">
        <f t="shared" si="193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>
        <f>IFERROR(VLOOKUP($B34 &amp; $C34&amp;CU$4,tblForecast,CU$2,FALSE),0)</f>
        <v>0</v>
      </c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301</v>
      </c>
      <c r="B35" s="44">
        <v>2018</v>
      </c>
      <c r="C35" s="88">
        <v>20</v>
      </c>
      <c r="D35" s="97">
        <f t="shared" ref="D35" si="202">G35*H35</f>
        <v>0</v>
      </c>
      <c r="E35" s="201">
        <f t="shared" ref="E35" si="203">IFERROR(D35*F35,0)</f>
        <v>0</v>
      </c>
      <c r="F35" s="181">
        <f t="shared" ref="F35" si="204">IF(H35&lt;&gt;0,1-I35/H35,0)</f>
        <v>0</v>
      </c>
      <c r="G35" s="175">
        <f t="shared" si="176"/>
        <v>0</v>
      </c>
      <c r="H35" s="202">
        <f t="shared" si="176"/>
        <v>0</v>
      </c>
      <c r="I35" s="202">
        <f t="shared" si="176"/>
        <v>0</v>
      </c>
      <c r="J35" s="175">
        <f>IFERROR(VLOOKUP($B35 &amp; $C35&amp;J$4&amp;$A35,tblForecast,J$2,FALSE),0)+IFERROR(VLOOKUP($B35 &amp; $C35 &amp; J$4 &amp; $A35,tblForecast,J$2+1,FALSE),0)</f>
        <v>0</v>
      </c>
      <c r="K35" s="296">
        <f>IFERROR(VLOOKUP($B35 &amp; $C35&amp;K$4&amp;$A35,tblForecast,K$2+2,FALSE),0)</f>
        <v>0</v>
      </c>
      <c r="L35" s="90">
        <f>Q35*AM35</f>
        <v>0</v>
      </c>
      <c r="M35" s="90">
        <f t="shared" ref="M35" si="205">R35*AN35</f>
        <v>0</v>
      </c>
      <c r="N35" s="90">
        <f t="shared" ref="N35" si="206">S35*AO35</f>
        <v>0</v>
      </c>
      <c r="O35" s="90">
        <f t="shared" ref="O35" ca="1" si="207">T35*AP35</f>
        <v>0</v>
      </c>
      <c r="P35" s="91">
        <f t="shared" ref="P35" ca="1" si="208">IFERROR(L35/O35-1,)</f>
        <v>0</v>
      </c>
      <c r="Q35" s="236">
        <f>IFERROR(VLOOKUP($B35 &amp; $C35&amp;Q$4,tblForecast,Q$2,FALSE),0)</f>
        <v>0</v>
      </c>
      <c r="R35" s="238">
        <f t="shared" si="178"/>
        <v>0</v>
      </c>
      <c r="S35" s="238">
        <f t="shared" si="178"/>
        <v>0</v>
      </c>
      <c r="T35" s="238">
        <f ca="1">SUMIFS(OFFSET(tblForecast,,T$2,,1),OFFSET(tblForecast,,,,1),$B35-IF(CompareVer="LY",1,0)&amp; $C35 &amp;T$4)</f>
        <v>0</v>
      </c>
      <c r="U35" s="91">
        <f t="shared" ref="U35" ca="1" si="209">IFERROR(Q35/T35-1,)</f>
        <v>0</v>
      </c>
      <c r="V35" s="243">
        <f t="shared" si="197"/>
        <v>0</v>
      </c>
      <c r="W35" s="324">
        <f t="shared" si="198"/>
        <v>0</v>
      </c>
      <c r="X35" s="244">
        <f t="shared" ca="1" si="199"/>
        <v>0</v>
      </c>
      <c r="Y35" s="97">
        <f t="shared" ref="Y35" si="210">IFERROR(L35*AD35,0)</f>
        <v>0</v>
      </c>
      <c r="Z35" s="90">
        <f t="shared" ref="Z35" si="211">IFERROR(M35*AE35,0)</f>
        <v>0</v>
      </c>
      <c r="AA35" s="90">
        <f t="shared" ref="AA35" si="212">IFERROR(N35*AF35,0)</f>
        <v>0</v>
      </c>
      <c r="AB35" s="90">
        <f t="shared" ref="AB35" ca="1" si="213">IFERROR(O35*AG35,0)</f>
        <v>0</v>
      </c>
      <c r="AC35" s="91">
        <f t="shared" ref="AC35" ca="1" si="214">IFERROR(Y35/AB35-1,)</f>
        <v>0</v>
      </c>
      <c r="AD35" s="75">
        <f t="shared" ref="AD35" si="215">IF(AM35&lt;&gt;0,1-AR35/AM35,0)</f>
        <v>0</v>
      </c>
      <c r="AE35" s="93">
        <f t="shared" ref="AE35" si="216">IF(AN35&lt;&gt;0,1-AS35/AN35,0)</f>
        <v>0</v>
      </c>
      <c r="AF35" s="93">
        <f t="shared" ref="AF35" si="217">IF(AO35&lt;&gt;0,1-AT35/AO35,0)</f>
        <v>0</v>
      </c>
      <c r="AG35" s="93">
        <f t="shared" ref="AG35" ca="1" si="218">IF(AP35&lt;&gt;0,1-AU35/AP35,0)</f>
        <v>0</v>
      </c>
      <c r="AH35" s="104">
        <f>IFERROR(VLOOKUP($B35 &amp; $C35&amp;AH$4,tblForecast,AH$2,FALSE),0)</f>
        <v>0</v>
      </c>
      <c r="AI35" s="94">
        <f t="shared" si="181"/>
        <v>0</v>
      </c>
      <c r="AJ35" s="94">
        <f t="shared" si="181"/>
        <v>0</v>
      </c>
      <c r="AK35" s="94">
        <f ca="1">IFERROR(CF35/BY35,0)</f>
        <v>0</v>
      </c>
      <c r="AL35" s="91">
        <f t="shared" ref="AL35" ca="1" si="219">IFERROR(AH35/AK35-1,)</f>
        <v>0</v>
      </c>
      <c r="AM35" s="104">
        <f>IFERROR(VLOOKUP($B35 &amp; $C35&amp;AM$4,tblForecast,AM$2,FALSE),0)</f>
        <v>0</v>
      </c>
      <c r="AN35" s="94">
        <f t="shared" si="182"/>
        <v>0</v>
      </c>
      <c r="AO35" s="94">
        <f t="shared" si="182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ref="AQ35" ca="1" si="220">IFERROR(AM35/AP35-1,)</f>
        <v>0</v>
      </c>
      <c r="AR35" s="104">
        <f>IFERROR(VLOOKUP($B35 &amp; $C35&amp;AR$4,tblForecast,AR$2,FALSE),0)</f>
        <v>0</v>
      </c>
      <c r="AS35" s="94">
        <f t="shared" si="183"/>
        <v>0</v>
      </c>
      <c r="AT35" s="94">
        <f t="shared" si="183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ref="AV35" ca="1" si="221">IFERROR(AR35/AU35-1,)</f>
        <v>0</v>
      </c>
      <c r="AW35" s="180">
        <f t="shared" ref="AW35" si="222">IFERROR((AM35/AH35-1)*-1,0)</f>
        <v>0</v>
      </c>
      <c r="AX35" s="181">
        <f t="shared" ref="AX35" si="223">IFERROR((AN35/AI35-1)*-1,0)</f>
        <v>0</v>
      </c>
      <c r="AY35" s="181">
        <f t="shared" ref="AY35" si="224">IFERROR((AO35/AJ35-1)*-1,0)</f>
        <v>0</v>
      </c>
      <c r="AZ35" s="181">
        <f t="shared" ref="AZ35" ca="1" si="225">IFERROR((AP35/AK35-1)*-1,0)</f>
        <v>0</v>
      </c>
      <c r="BA35" s="225">
        <f t="shared" ref="BA35" si="226">CW35+BF35</f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85"/>
        <v>0</v>
      </c>
      <c r="BD35" s="226">
        <f t="shared" ref="BD35" ca="1" si="227">CX35+BG35</f>
        <v>0</v>
      </c>
      <c r="BE35" s="176">
        <f t="shared" ref="BE35" ca="1" si="228">IFERROR(BA35/BD35-1,)</f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ref="BI35" ca="1" si="229">IF(T35&lt;&gt;0,BD35/T35,0)</f>
        <v>0</v>
      </c>
      <c r="BJ35" s="183">
        <f t="shared" ref="BJ35" si="230">IF(BA35&lt;&gt;0,Q35/BA35,0)</f>
        <v>0</v>
      </c>
      <c r="BK35" s="96">
        <f t="shared" ref="BK35" ca="1" si="231">IF(BD35&lt;&gt;0,T35/BD35,0)</f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ref="BR35" si="232">BN35-BP35</f>
        <v>0</v>
      </c>
      <c r="BS35" s="226">
        <f t="shared" ref="BS35" ca="1" si="233">BO35-BQ35</f>
        <v>0</v>
      </c>
      <c r="BT35" s="225">
        <f t="shared" si="188"/>
        <v>0</v>
      </c>
      <c r="BU35" s="226">
        <f t="shared" si="188"/>
        <v>0</v>
      </c>
      <c r="BV35" s="226">
        <f>IFERROR(VLOOKUP($B35 &amp; $C35&amp;BV$4,tblForecast,BV$2,FALSE),0)</f>
        <v>0</v>
      </c>
      <c r="BW35" s="226">
        <f t="shared" si="189"/>
        <v>0</v>
      </c>
      <c r="BX35" s="226">
        <f t="shared" si="189"/>
        <v>0</v>
      </c>
      <c r="BY35" s="175">
        <f ca="1">SUMIFS(OFFSET(tblForecast,,BY$2,,1),OFFSET(tblForecast,,,,1),$B35-IF(CompareVer="LY",1,0)&amp; $C35 &amp;BY$4)</f>
        <v>0</v>
      </c>
      <c r="BZ35" s="176">
        <f t="shared" ref="BZ35" ca="1" si="234">IFERROR(BV35/BY35-1,)</f>
        <v>0</v>
      </c>
      <c r="CA35" s="90">
        <f t="shared" si="190"/>
        <v>0</v>
      </c>
      <c r="CB35" s="90">
        <f t="shared" si="190"/>
        <v>0</v>
      </c>
      <c r="CC35" s="90">
        <f>IFERROR(VLOOKUP($B35 &amp; $C35&amp;CC$4,tblForecast,CC$2,FALSE),0)</f>
        <v>0</v>
      </c>
      <c r="CD35" s="90">
        <f t="shared" si="191"/>
        <v>0</v>
      </c>
      <c r="CE35" s="90">
        <f t="shared" si="191"/>
        <v>0</v>
      </c>
      <c r="CF35" s="90">
        <f ca="1">SUMIFS(OFFSET(tblForecast,,CF$2,,1),OFFSET(tblForecast,,,,1),$B35-IF(CompareVer="LY",1,0)&amp; $C35 &amp;CF$4)</f>
        <v>0</v>
      </c>
      <c r="CG35" s="176">
        <f t="shared" ref="CG35" ca="1" si="235">IFERROR(CC35/CF35-1,)</f>
        <v>0</v>
      </c>
      <c r="CH35" s="90">
        <f t="shared" si="192"/>
        <v>0</v>
      </c>
      <c r="CI35" s="90">
        <f t="shared" si="192"/>
        <v>0</v>
      </c>
      <c r="CJ35" s="90">
        <f>IFERROR(VLOOKUP($B35 &amp; $C35&amp;CJ$4,tblForecast,CJ$2,FALSE),0)</f>
        <v>0</v>
      </c>
      <c r="CK35" s="90">
        <f t="shared" si="193"/>
        <v>0</v>
      </c>
      <c r="CL35" s="90">
        <f t="shared" si="193"/>
        <v>0</v>
      </c>
      <c r="CM35" s="90">
        <f ca="1">SUMIFS(OFFSET(tblForecast,,CM$2,,1),OFFSET(tblForecast,,,,1),$B35-IF(CompareVer="LY",1,0)&amp; $C35 &amp;CM$4)</f>
        <v>0</v>
      </c>
      <c r="CN35" s="176">
        <f t="shared" ref="CN35" ca="1" si="236">IFERROR(CJ35/CM35-1,)</f>
        <v>0</v>
      </c>
      <c r="CO35" s="177">
        <f t="shared" ref="CO35" si="237">IFERROR(CE35/BX35,0)</f>
        <v>0</v>
      </c>
      <c r="CP35" s="221">
        <f t="shared" ref="CP35" ca="1" si="238">IFERROR(CF35/BY35,0)</f>
        <v>0</v>
      </c>
      <c r="CQ35" s="176">
        <f t="shared" ref="CQ35" ca="1" si="239">IFERROR(CL35/CP35-1,)</f>
        <v>0</v>
      </c>
      <c r="CR35" s="177">
        <f t="shared" ref="CR35" si="240">IFERROR(CL35/BX35,0)</f>
        <v>0</v>
      </c>
      <c r="CS35" s="221">
        <f t="shared" ref="CS35" ca="1" si="241">IFERROR(CM35/BY35,0)</f>
        <v>0</v>
      </c>
      <c r="CT35" s="176">
        <f t="shared" ref="CT35" ca="1" si="242">IFERROR(CO35/CS35-1,)</f>
        <v>0</v>
      </c>
      <c r="CU35" s="44">
        <f>IFERROR(VLOOKUP($B35 &amp; $C35&amp;CU$4,tblForecast,CU$2,FALSE),0)</f>
        <v>0</v>
      </c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ref="CY35" ca="1" si="243">IFERROR(CW35/CX35-1,)</f>
        <v>0</v>
      </c>
      <c r="CZ35" s="276">
        <f>IFERROR(VLOOKUP(Brand&amp;Channel&amp;Country&amp;$C35,tblDiscount,6,FALSE),0)</f>
        <v>0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301</v>
      </c>
      <c r="B36" s="44">
        <v>2018</v>
      </c>
      <c r="C36" s="88">
        <v>21</v>
      </c>
      <c r="D36" s="97">
        <f t="shared" ref="D36:D37" si="244">G36*H36</f>
        <v>0</v>
      </c>
      <c r="E36" s="201">
        <f t="shared" ref="E36:E37" si="245">IFERROR(D36*F36,0)</f>
        <v>0</v>
      </c>
      <c r="F36" s="181">
        <f t="shared" ref="F36:F37" si="246">IF(H36&lt;&gt;0,1-I36/H36,0)</f>
        <v>0</v>
      </c>
      <c r="G36" s="175">
        <f t="shared" si="176"/>
        <v>0</v>
      </c>
      <c r="H36" s="202">
        <f t="shared" si="176"/>
        <v>0</v>
      </c>
      <c r="I36" s="202">
        <f t="shared" si="176"/>
        <v>0</v>
      </c>
      <c r="J36" s="175">
        <f>IFERROR(VLOOKUP($B36 &amp; $C36&amp;J$4&amp;$A36,tblForecast,J$2,FALSE),0)+IFERROR(VLOOKUP($B36 &amp; $C36 &amp; J$4 &amp; $A36,tblForecast,J$2+1,FALSE),0)</f>
        <v>0</v>
      </c>
      <c r="K36" s="296">
        <f>IFERROR(VLOOKUP($B36 &amp; $C36&amp;K$4&amp;$A36,tblForecast,K$2+2,FALSE),0)</f>
        <v>0</v>
      </c>
      <c r="L36" s="90">
        <f t="shared" ref="L36:L37" si="247">Q36*AM36</f>
        <v>0</v>
      </c>
      <c r="M36" s="90">
        <f t="shared" ref="M36:M37" si="248">R36*AN36</f>
        <v>0</v>
      </c>
      <c r="N36" s="90">
        <f t="shared" ref="N36:N37" si="249">S36*AO36</f>
        <v>0</v>
      </c>
      <c r="O36" s="90">
        <f t="shared" ref="O36:O37" ca="1" si="250">T36*AP36</f>
        <v>0</v>
      </c>
      <c r="P36" s="91">
        <f t="shared" ref="P36:P37" ca="1" si="251">IFERROR(L36/O36-1,)</f>
        <v>0</v>
      </c>
      <c r="Q36" s="236">
        <f>IFERROR(VLOOKUP($B36 &amp; $C36&amp;Q$4,tblForecast,Q$2,FALSE),0)</f>
        <v>0</v>
      </c>
      <c r="R36" s="238">
        <f t="shared" si="178"/>
        <v>0</v>
      </c>
      <c r="S36" s="238">
        <f t="shared" si="178"/>
        <v>0</v>
      </c>
      <c r="T36" s="238">
        <f ca="1">SUMIFS(OFFSET(tblForecast,,T$2,,1),OFFSET(tblForecast,,,,1),$B36-IF(CompareVer="LY",1,0)&amp; $C36 &amp;T$4)</f>
        <v>0</v>
      </c>
      <c r="U36" s="91">
        <f t="shared" ref="U36:U37" ca="1" si="252">IFERROR(Q36/T36-1,)</f>
        <v>0</v>
      </c>
      <c r="V36" s="243">
        <f t="shared" ref="V36:V37" si="253">IFERROR(IF(Q35&lt;&gt;0,Q36/Q35,0),0)</f>
        <v>0</v>
      </c>
      <c r="W36" s="324">
        <f t="shared" ref="W36:W37" si="254">IFERROR(IF(R35&lt;&gt;0,R36/R35,0),0)</f>
        <v>0</v>
      </c>
      <c r="X36" s="244">
        <f t="shared" ref="X36:X37" ca="1" si="255">IFERROR(IF(T35&lt;&gt;0,T36/T35,0),0)</f>
        <v>0</v>
      </c>
      <c r="Y36" s="97">
        <f t="shared" ref="Y36:Y37" si="256">IFERROR(L36*AD36,0)</f>
        <v>0</v>
      </c>
      <c r="Z36" s="90">
        <f t="shared" ref="Z36:Z37" si="257">IFERROR(M36*AE36,0)</f>
        <v>0</v>
      </c>
      <c r="AA36" s="90">
        <f t="shared" ref="AA36:AA37" si="258">IFERROR(N36*AF36,0)</f>
        <v>0</v>
      </c>
      <c r="AB36" s="90">
        <f t="shared" ref="AB36:AB37" ca="1" si="259">IFERROR(O36*AG36,0)</f>
        <v>0</v>
      </c>
      <c r="AC36" s="91">
        <f t="shared" ref="AC36:AC37" ca="1" si="260">IFERROR(Y36/AB36-1,)</f>
        <v>0</v>
      </c>
      <c r="AD36" s="75">
        <f t="shared" ref="AD36:AD37" si="261">IF(AM36&lt;&gt;0,1-AR36/AM36,0)</f>
        <v>0</v>
      </c>
      <c r="AE36" s="93">
        <f t="shared" ref="AE36:AE37" si="262">IF(AN36&lt;&gt;0,1-AS36/AN36,0)</f>
        <v>0</v>
      </c>
      <c r="AF36" s="93">
        <f t="shared" ref="AF36:AF37" si="263">IF(AO36&lt;&gt;0,1-AT36/AO36,0)</f>
        <v>0</v>
      </c>
      <c r="AG36" s="93">
        <f t="shared" ref="AG36:AG37" ca="1" si="264">IF(AP36&lt;&gt;0,1-AU36/AP36,0)</f>
        <v>0</v>
      </c>
      <c r="AH36" s="104">
        <f>IFERROR(VLOOKUP($B36 &amp; $C36&amp;AH$4,tblForecast,AH$2,FALSE),0)</f>
        <v>0</v>
      </c>
      <c r="AI36" s="94">
        <f t="shared" si="181"/>
        <v>0</v>
      </c>
      <c r="AJ36" s="94">
        <f t="shared" si="181"/>
        <v>0</v>
      </c>
      <c r="AK36" s="94">
        <f ca="1">IFERROR(CF36/BY36,0)</f>
        <v>0</v>
      </c>
      <c r="AL36" s="91">
        <f t="shared" ref="AL36:AL37" ca="1" si="265">IFERROR(AH36/AK36-1,)</f>
        <v>0</v>
      </c>
      <c r="AM36" s="104">
        <f>IFERROR(VLOOKUP($B36 &amp; $C36&amp;AM$4,tblForecast,AM$2,FALSE),0)</f>
        <v>0</v>
      </c>
      <c r="AN36" s="94">
        <f t="shared" si="182"/>
        <v>0</v>
      </c>
      <c r="AO36" s="94">
        <f t="shared" si="182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ref="AQ36:AQ37" ca="1" si="266">IFERROR(AM36/AP36-1,)</f>
        <v>0</v>
      </c>
      <c r="AR36" s="104">
        <f>IFERROR(VLOOKUP($B36 &amp; $C36&amp;AR$4,tblForecast,AR$2,FALSE),0)</f>
        <v>0</v>
      </c>
      <c r="AS36" s="94">
        <f t="shared" si="183"/>
        <v>0</v>
      </c>
      <c r="AT36" s="94">
        <f t="shared" si="183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ref="AV36:AV37" ca="1" si="267">IFERROR(AR36/AU36-1,)</f>
        <v>0</v>
      </c>
      <c r="AW36" s="180">
        <f t="shared" ref="AW36:AW37" si="268">IFERROR((AM36/AH36-1)*-1,0)</f>
        <v>0</v>
      </c>
      <c r="AX36" s="181">
        <f t="shared" ref="AX36:AX37" si="269">IFERROR((AN36/AI36-1)*-1,0)</f>
        <v>0</v>
      </c>
      <c r="AY36" s="181">
        <f t="shared" ref="AY36:AY37" si="270">IFERROR((AO36/AJ36-1)*-1,0)</f>
        <v>0</v>
      </c>
      <c r="AZ36" s="181">
        <f t="shared" ref="AZ36:AZ37" ca="1" si="271">IFERROR((AP36/AK36-1)*-1,0)</f>
        <v>0</v>
      </c>
      <c r="BA36" s="225">
        <f t="shared" ref="BA36:BA37" si="272">CW36+BF36</f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85"/>
        <v>0</v>
      </c>
      <c r="BD36" s="226">
        <f t="shared" ref="BD36:BD37" ca="1" si="273">CX36+BG36</f>
        <v>0</v>
      </c>
      <c r="BE36" s="176">
        <f t="shared" ref="BE36:BE37" ca="1" si="274">IFERROR(BA36/BD36-1,)</f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275">IF(Q36&lt;&gt;0,BA36/Q36,0)</f>
        <v>0</v>
      </c>
      <c r="BI36" s="186">
        <f t="shared" ref="BI36:BI37" ca="1" si="276">IF(T36&lt;&gt;0,BD36/T36,0)</f>
        <v>0</v>
      </c>
      <c r="BJ36" s="183">
        <f t="shared" ref="BJ36:BJ37" si="277">IF(BA36&lt;&gt;0,Q36/BA36,0)</f>
        <v>0</v>
      </c>
      <c r="BK36" s="96">
        <f t="shared" ref="BK36:BK37" ca="1" si="278">IF(BD36&lt;&gt;0,T36/BD36,0)</f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ref="BR36:BR37" si="279">BN36-BP36</f>
        <v>0</v>
      </c>
      <c r="BS36" s="226">
        <f t="shared" ref="BS36:BS37" ca="1" si="280">BO36-BQ36</f>
        <v>0</v>
      </c>
      <c r="BT36" s="225">
        <f t="shared" si="188"/>
        <v>0</v>
      </c>
      <c r="BU36" s="226">
        <f t="shared" si="188"/>
        <v>0</v>
      </c>
      <c r="BV36" s="226">
        <f>IFERROR(VLOOKUP($B36 &amp; $C36&amp;BV$4,tblForecast,BV$2,FALSE),0)</f>
        <v>0</v>
      </c>
      <c r="BW36" s="226">
        <f t="shared" si="189"/>
        <v>0</v>
      </c>
      <c r="BX36" s="226">
        <f t="shared" si="189"/>
        <v>0</v>
      </c>
      <c r="BY36" s="175">
        <f ca="1">SUMIFS(OFFSET(tblForecast,,BY$2,,1),OFFSET(tblForecast,,,,1),$B36-IF(CompareVer="LY",1,0)&amp; $C36 &amp;BY$4)</f>
        <v>0</v>
      </c>
      <c r="BZ36" s="176">
        <f t="shared" ref="BZ36:BZ37" ca="1" si="281">IFERROR(BV36/BY36-1,)</f>
        <v>0</v>
      </c>
      <c r="CA36" s="90">
        <f t="shared" si="190"/>
        <v>0</v>
      </c>
      <c r="CB36" s="90">
        <f t="shared" si="190"/>
        <v>0</v>
      </c>
      <c r="CC36" s="90">
        <f>IFERROR(VLOOKUP($B36 &amp; $C36&amp;CC$4,tblForecast,CC$2,FALSE),0)</f>
        <v>0</v>
      </c>
      <c r="CD36" s="90">
        <f t="shared" si="191"/>
        <v>0</v>
      </c>
      <c r="CE36" s="90">
        <f t="shared" si="191"/>
        <v>0</v>
      </c>
      <c r="CF36" s="90">
        <f ca="1">SUMIFS(OFFSET(tblForecast,,CF$2,,1),OFFSET(tblForecast,,,,1),$B36-IF(CompareVer="LY",1,0)&amp; $C36 &amp;CF$4)</f>
        <v>0</v>
      </c>
      <c r="CG36" s="176">
        <f t="shared" ref="CG36:CG37" ca="1" si="282">IFERROR(CC36/CF36-1,)</f>
        <v>0</v>
      </c>
      <c r="CH36" s="90">
        <f t="shared" si="192"/>
        <v>0</v>
      </c>
      <c r="CI36" s="90">
        <f t="shared" si="192"/>
        <v>0</v>
      </c>
      <c r="CJ36" s="90">
        <f>IFERROR(VLOOKUP($B36 &amp; $C36&amp;CJ$4,tblForecast,CJ$2,FALSE),0)</f>
        <v>0</v>
      </c>
      <c r="CK36" s="90">
        <f t="shared" si="193"/>
        <v>0</v>
      </c>
      <c r="CL36" s="90">
        <f t="shared" si="193"/>
        <v>0</v>
      </c>
      <c r="CM36" s="90">
        <f ca="1">SUMIFS(OFFSET(tblForecast,,CM$2,,1),OFFSET(tblForecast,,,,1),$B36-IF(CompareVer="LY",1,0)&amp; $C36 &amp;CM$4)</f>
        <v>0</v>
      </c>
      <c r="CN36" s="176">
        <f t="shared" ref="CN36:CN37" ca="1" si="283">IFERROR(CJ36/CM36-1,)</f>
        <v>0</v>
      </c>
      <c r="CO36" s="177">
        <f t="shared" ref="CO36:CO37" si="284">IFERROR(CE36/BX36,0)</f>
        <v>0</v>
      </c>
      <c r="CP36" s="221">
        <f t="shared" ref="CP36:CP37" ca="1" si="285">IFERROR(CF36/BY36,0)</f>
        <v>0</v>
      </c>
      <c r="CQ36" s="176">
        <f t="shared" ref="CQ36:CQ37" ca="1" si="286">IFERROR(CL36/CP36-1,)</f>
        <v>0</v>
      </c>
      <c r="CR36" s="177">
        <f t="shared" ref="CR36:CR37" si="287">IFERROR(CL36/BX36,0)</f>
        <v>0</v>
      </c>
      <c r="CS36" s="221">
        <f t="shared" ref="CS36:CS37" ca="1" si="288">IFERROR(CM36/BY36,0)</f>
        <v>0</v>
      </c>
      <c r="CT36" s="176">
        <f t="shared" ref="CT36:CT37" ca="1" si="289">IFERROR(CO36/CS36-1,)</f>
        <v>0</v>
      </c>
      <c r="CU36" s="44">
        <f>IFERROR(VLOOKUP($B36 &amp; $C36&amp;CU$4,tblForecast,CU$2,FALSE),0)</f>
        <v>0</v>
      </c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ref="CY36:CY37" ca="1" si="290">IFERROR(CW36/CX36-1,)</f>
        <v>0</v>
      </c>
      <c r="CZ36" s="276">
        <f>IFERROR(VLOOKUP(Brand&amp;Channel&amp;Country&amp;$C36,tblDiscount,6,FALSE),0)</f>
        <v>0</v>
      </c>
      <c r="DA36" s="277">
        <f t="shared" ref="DA36:DA37" si="291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301</v>
      </c>
      <c r="B37" s="44">
        <v>2018</v>
      </c>
      <c r="C37" s="88">
        <v>22</v>
      </c>
      <c r="D37" s="97">
        <f t="shared" si="244"/>
        <v>0</v>
      </c>
      <c r="E37" s="201">
        <f t="shared" si="245"/>
        <v>0</v>
      </c>
      <c r="F37" s="181">
        <f t="shared" si="246"/>
        <v>0</v>
      </c>
      <c r="G37" s="175">
        <f t="shared" si="176"/>
        <v>0</v>
      </c>
      <c r="H37" s="202">
        <f t="shared" si="176"/>
        <v>0</v>
      </c>
      <c r="I37" s="202">
        <f t="shared" si="176"/>
        <v>0</v>
      </c>
      <c r="J37" s="175">
        <f>IFERROR(VLOOKUP($B37 &amp; $C37&amp;J$4&amp;$A37,tblForecast,J$2,FALSE),0)+IFERROR(VLOOKUP($B37 &amp; $C37 &amp; J$4 &amp; $A37,tblForecast,J$2+1,FALSE),0)</f>
        <v>0</v>
      </c>
      <c r="K37" s="296">
        <f>IFERROR(VLOOKUP($B37 &amp; $C37&amp;K$4&amp;$A37,tblForecast,K$2+2,FALSE),0)</f>
        <v>0</v>
      </c>
      <c r="L37" s="90">
        <f t="shared" si="247"/>
        <v>0</v>
      </c>
      <c r="M37" s="90">
        <f t="shared" si="248"/>
        <v>0</v>
      </c>
      <c r="N37" s="90">
        <f t="shared" si="249"/>
        <v>0</v>
      </c>
      <c r="O37" s="90">
        <f t="shared" ca="1" si="250"/>
        <v>0</v>
      </c>
      <c r="P37" s="91">
        <f t="shared" ca="1" si="251"/>
        <v>0</v>
      </c>
      <c r="Q37" s="236">
        <f>IFERROR(VLOOKUP($B37 &amp; $C37&amp;Q$4,tblForecast,Q$2,FALSE),0)</f>
        <v>0</v>
      </c>
      <c r="R37" s="238">
        <f t="shared" si="178"/>
        <v>0</v>
      </c>
      <c r="S37" s="238">
        <f t="shared" si="178"/>
        <v>0</v>
      </c>
      <c r="T37" s="238">
        <f ca="1">SUMIFS(OFFSET(tblForecast,,T$2,,1),OFFSET(tblForecast,,,,1),$B37-IF(CompareVer="LY",1,0)&amp; $C37 &amp;T$4)</f>
        <v>0</v>
      </c>
      <c r="U37" s="91">
        <f t="shared" ca="1" si="252"/>
        <v>0</v>
      </c>
      <c r="V37" s="243">
        <f t="shared" si="253"/>
        <v>0</v>
      </c>
      <c r="W37" s="324">
        <f t="shared" si="254"/>
        <v>0</v>
      </c>
      <c r="X37" s="244">
        <f t="shared" ca="1" si="255"/>
        <v>0</v>
      </c>
      <c r="Y37" s="97">
        <f t="shared" si="256"/>
        <v>0</v>
      </c>
      <c r="Z37" s="90">
        <f t="shared" si="257"/>
        <v>0</v>
      </c>
      <c r="AA37" s="90">
        <f t="shared" si="258"/>
        <v>0</v>
      </c>
      <c r="AB37" s="90">
        <f t="shared" ca="1" si="259"/>
        <v>0</v>
      </c>
      <c r="AC37" s="91">
        <f t="shared" ca="1" si="260"/>
        <v>0</v>
      </c>
      <c r="AD37" s="75">
        <f t="shared" si="261"/>
        <v>0</v>
      </c>
      <c r="AE37" s="93">
        <f t="shared" si="262"/>
        <v>0</v>
      </c>
      <c r="AF37" s="93">
        <f t="shared" si="263"/>
        <v>0</v>
      </c>
      <c r="AG37" s="93">
        <f t="shared" ca="1" si="264"/>
        <v>0</v>
      </c>
      <c r="AH37" s="104">
        <f>IFERROR(VLOOKUP($B37 &amp; $C37&amp;AH$4,tblForecast,AH$2,FALSE),0)</f>
        <v>0</v>
      </c>
      <c r="AI37" s="94">
        <f t="shared" si="181"/>
        <v>0</v>
      </c>
      <c r="AJ37" s="94">
        <f t="shared" si="181"/>
        <v>0</v>
      </c>
      <c r="AK37" s="94">
        <f ca="1">IFERROR(CF37/BY37,0)</f>
        <v>0</v>
      </c>
      <c r="AL37" s="91">
        <f t="shared" ca="1" si="265"/>
        <v>0</v>
      </c>
      <c r="AM37" s="104">
        <f>IFERROR(VLOOKUP($B37 &amp; $C37&amp;AM$4,tblForecast,AM$2,FALSE),0)</f>
        <v>0</v>
      </c>
      <c r="AN37" s="94">
        <f t="shared" si="182"/>
        <v>0</v>
      </c>
      <c r="AO37" s="94">
        <f t="shared" si="182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266"/>
        <v>0</v>
      </c>
      <c r="AR37" s="104">
        <f>IFERROR(VLOOKUP($B37 &amp; $C37&amp;AR$4,tblForecast,AR$2,FALSE),0)</f>
        <v>0</v>
      </c>
      <c r="AS37" s="94">
        <f t="shared" si="183"/>
        <v>0</v>
      </c>
      <c r="AT37" s="94">
        <f t="shared" si="183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267"/>
        <v>0</v>
      </c>
      <c r="AW37" s="180">
        <f t="shared" si="268"/>
        <v>0</v>
      </c>
      <c r="AX37" s="181">
        <f t="shared" si="269"/>
        <v>0</v>
      </c>
      <c r="AY37" s="181">
        <f t="shared" si="270"/>
        <v>0</v>
      </c>
      <c r="AZ37" s="181">
        <f t="shared" ca="1" si="271"/>
        <v>0</v>
      </c>
      <c r="BA37" s="225">
        <f t="shared" si="272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85"/>
        <v>0</v>
      </c>
      <c r="BD37" s="226">
        <f t="shared" ca="1" si="273"/>
        <v>0</v>
      </c>
      <c r="BE37" s="176">
        <f t="shared" ca="1" si="274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275"/>
        <v>0</v>
      </c>
      <c r="BI37" s="186">
        <f t="shared" ca="1" si="276"/>
        <v>0</v>
      </c>
      <c r="BJ37" s="183">
        <f t="shared" si="277"/>
        <v>0</v>
      </c>
      <c r="BK37" s="96">
        <f t="shared" ca="1" si="278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279"/>
        <v>0</v>
      </c>
      <c r="BS37" s="226">
        <f t="shared" ca="1" si="280"/>
        <v>0</v>
      </c>
      <c r="BT37" s="225">
        <f t="shared" si="188"/>
        <v>0</v>
      </c>
      <c r="BU37" s="226">
        <f t="shared" si="188"/>
        <v>0</v>
      </c>
      <c r="BV37" s="226">
        <f>IFERROR(VLOOKUP($B37 &amp; $C37&amp;BV$4,tblForecast,BV$2,FALSE),0)</f>
        <v>0</v>
      </c>
      <c r="BW37" s="226">
        <f t="shared" si="189"/>
        <v>0</v>
      </c>
      <c r="BX37" s="226">
        <f t="shared" si="189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81"/>
        <v>0</v>
      </c>
      <c r="CA37" s="90">
        <f t="shared" si="190"/>
        <v>0</v>
      </c>
      <c r="CB37" s="90">
        <f t="shared" si="190"/>
        <v>0</v>
      </c>
      <c r="CC37" s="90">
        <f>IFERROR(VLOOKUP($B37 &amp; $C37&amp;CC$4,tblForecast,CC$2,FALSE),0)</f>
        <v>0</v>
      </c>
      <c r="CD37" s="90">
        <f t="shared" si="191"/>
        <v>0</v>
      </c>
      <c r="CE37" s="90">
        <f t="shared" si="191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2"/>
        <v>0</v>
      </c>
      <c r="CH37" s="90">
        <f t="shared" si="192"/>
        <v>0</v>
      </c>
      <c r="CI37" s="90">
        <f t="shared" si="192"/>
        <v>0</v>
      </c>
      <c r="CJ37" s="90">
        <f>IFERROR(VLOOKUP($B37 &amp; $C37&amp;CJ$4,tblForecast,CJ$2,FALSE),0)</f>
        <v>0</v>
      </c>
      <c r="CK37" s="90">
        <f t="shared" si="193"/>
        <v>0</v>
      </c>
      <c r="CL37" s="90">
        <f t="shared" si="193"/>
        <v>0</v>
      </c>
      <c r="CM37" s="90">
        <f ca="1">SUMIFS(OFFSET(tblForecast,,CM$2,,1),OFFSET(tblForecast,,,,1),$B37-IF(CompareVer="LY",1,0)&amp; $C37 &amp;CM$4)</f>
        <v>0</v>
      </c>
      <c r="CN37" s="176">
        <f t="shared" ca="1" si="283"/>
        <v>0</v>
      </c>
      <c r="CO37" s="177">
        <f t="shared" si="284"/>
        <v>0</v>
      </c>
      <c r="CP37" s="221">
        <f t="shared" ca="1" si="285"/>
        <v>0</v>
      </c>
      <c r="CQ37" s="176">
        <f t="shared" ca="1" si="286"/>
        <v>0</v>
      </c>
      <c r="CR37" s="177">
        <f t="shared" si="287"/>
        <v>0</v>
      </c>
      <c r="CS37" s="221">
        <f t="shared" ca="1" si="288"/>
        <v>0</v>
      </c>
      <c r="CT37" s="176">
        <f t="shared" ca="1" si="289"/>
        <v>0</v>
      </c>
      <c r="CU37" s="44">
        <f>IFERROR(VLOOKUP($B37 &amp; $C37&amp;CU$4,tblForecast,CU$2,FALSE),0)</f>
        <v>0</v>
      </c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290"/>
        <v>0</v>
      </c>
      <c r="CZ37" s="276">
        <f>IFERROR(VLOOKUP(Brand&amp;Channel&amp;Country&amp;$C37,tblDiscount,6,FALSE),0)</f>
        <v>0</v>
      </c>
      <c r="DA37" s="277">
        <f t="shared" si="291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ht="16.5" thickBot="1" x14ac:dyDescent="0.3">
      <c r="C38" s="251" t="s">
        <v>28</v>
      </c>
      <c r="D38" s="252">
        <f>SUM(D33:D37)</f>
        <v>0</v>
      </c>
      <c r="E38" s="253">
        <f>SUM(E33:E37)</f>
        <v>0</v>
      </c>
      <c r="F38" s="254">
        <f t="shared" si="45"/>
        <v>0</v>
      </c>
      <c r="G38" s="255">
        <f>SUM(G33:G37)</f>
        <v>0</v>
      </c>
      <c r="H38" s="256">
        <f>IFERROR(D38/G38,0)</f>
        <v>0</v>
      </c>
      <c r="I38" s="256">
        <f>IFERROR(SUMPRODUCT(I33:I37,G33:G37)/G38,0)</f>
        <v>0</v>
      </c>
      <c r="J38" s="255">
        <f>SUM(J33:J37)</f>
        <v>0</v>
      </c>
      <c r="K38" s="297">
        <f>SUM(K33:K37)</f>
        <v>0</v>
      </c>
      <c r="L38" s="257">
        <f>SUM(L33:L37)</f>
        <v>0</v>
      </c>
      <c r="M38" s="257">
        <f t="shared" ref="M38:O38" si="292">SUM(M33:M37)</f>
        <v>0</v>
      </c>
      <c r="N38" s="257">
        <f t="shared" si="292"/>
        <v>0</v>
      </c>
      <c r="O38" s="257">
        <f t="shared" ca="1" si="292"/>
        <v>0</v>
      </c>
      <c r="P38" s="258">
        <f t="shared" ca="1" si="39"/>
        <v>0</v>
      </c>
      <c r="Q38" s="259">
        <f>SUM(Q33:Q37)</f>
        <v>0</v>
      </c>
      <c r="R38" s="260">
        <f t="shared" ref="R38:S38" si="293">SUM(R33:R37)</f>
        <v>0</v>
      </c>
      <c r="S38" s="260">
        <f t="shared" si="293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294">SUM(Z33:Z37)</f>
        <v>0</v>
      </c>
      <c r="AA38" s="257">
        <f t="shared" si="294"/>
        <v>0</v>
      </c>
      <c r="AB38" s="257">
        <f t="shared" ca="1" si="294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6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32"/>
        <v>0</v>
      </c>
      <c r="AX38" s="268">
        <f t="shared" si="132"/>
        <v>0</v>
      </c>
      <c r="AY38" s="268">
        <f t="shared" si="132"/>
        <v>0</v>
      </c>
      <c r="AZ38" s="268">
        <f t="shared" ca="1" si="132"/>
        <v>0</v>
      </c>
      <c r="BA38" s="259">
        <f>BA37</f>
        <v>0</v>
      </c>
      <c r="BB38" s="260">
        <f t="shared" ref="BB38:BD38" si="295">BB37</f>
        <v>0</v>
      </c>
      <c r="BC38" s="260">
        <f t="shared" si="295"/>
        <v>0</v>
      </c>
      <c r="BD38" s="260">
        <f t="shared" ca="1" si="295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96">IF(BA38&lt;&gt;0,(Q38/COUNTIF(BJ33:BJ37,"&lt;&gt;0"))/BA38,0)</f>
        <v>0</v>
      </c>
      <c r="BK38" s="272">
        <f t="shared" ref="BK38" ca="1" si="297">IF(BD38&lt;&gt;0,(T38/COUNTIF(BK33:BK37,"&lt;&gt;0"))/BD38,0)</f>
        <v>0</v>
      </c>
      <c r="BL38" s="259">
        <f t="shared" ref="BL38" si="298">SUM(BL33:BL37)</f>
        <v>0</v>
      </c>
      <c r="BM38" s="260">
        <f ca="1">SUM(BM33:BM37)</f>
        <v>0</v>
      </c>
      <c r="BN38" s="259">
        <f t="shared" ref="BN38:BQ38" si="299">SUM(BN33:BN37)</f>
        <v>0</v>
      </c>
      <c r="BO38" s="260">
        <f t="shared" ca="1" si="299"/>
        <v>0</v>
      </c>
      <c r="BP38" s="259">
        <f t="shared" si="299"/>
        <v>0</v>
      </c>
      <c r="BQ38" s="260">
        <f t="shared" ca="1" si="299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300">SUM(BT33:BT37)</f>
        <v>0</v>
      </c>
      <c r="BU38" s="260">
        <f t="shared" si="300"/>
        <v>0</v>
      </c>
      <c r="BV38" s="260">
        <f t="shared" si="300"/>
        <v>0</v>
      </c>
      <c r="BW38" s="260">
        <f t="shared" si="300"/>
        <v>0</v>
      </c>
      <c r="BX38" s="260">
        <f t="shared" si="300"/>
        <v>0</v>
      </c>
      <c r="BY38" s="273">
        <f t="shared" ca="1" si="300"/>
        <v>0</v>
      </c>
      <c r="BZ38" s="258">
        <f t="shared" ca="1" si="25"/>
        <v>0</v>
      </c>
      <c r="CA38" s="331">
        <f t="shared" ref="CA38:CF38" si="301">SUM(CA33:CA37)</f>
        <v>0</v>
      </c>
      <c r="CB38" s="257">
        <f t="shared" si="301"/>
        <v>0</v>
      </c>
      <c r="CC38" s="257">
        <f t="shared" si="301"/>
        <v>0</v>
      </c>
      <c r="CD38" s="257">
        <f t="shared" si="301"/>
        <v>0</v>
      </c>
      <c r="CE38" s="257">
        <f t="shared" si="301"/>
        <v>0</v>
      </c>
      <c r="CF38" s="257">
        <f t="shared" ca="1" si="301"/>
        <v>0</v>
      </c>
      <c r="CG38" s="258">
        <f t="shared" ca="1" si="28"/>
        <v>0</v>
      </c>
      <c r="CH38" s="331">
        <f t="shared" ref="CH38:CM38" si="302">SUM(CH33:CH37)</f>
        <v>0</v>
      </c>
      <c r="CI38" s="257">
        <f t="shared" si="302"/>
        <v>0</v>
      </c>
      <c r="CJ38" s="257">
        <f t="shared" si="302"/>
        <v>0</v>
      </c>
      <c r="CK38" s="257">
        <f t="shared" si="302"/>
        <v>0</v>
      </c>
      <c r="CL38" s="257">
        <f t="shared" si="302"/>
        <v>0</v>
      </c>
      <c r="CM38" s="257">
        <f t="shared" ca="1" si="302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U38" s="44">
        <f>SUM(CU33:CU37)</f>
        <v>0</v>
      </c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301</v>
      </c>
      <c r="B39" s="44">
        <v>2018</v>
      </c>
      <c r="C39" s="88">
        <v>23</v>
      </c>
      <c r="D39" s="97">
        <f t="shared" ref="D39" si="303">G39*H39</f>
        <v>0</v>
      </c>
      <c r="E39" s="201">
        <f t="shared" ref="E39" si="304">IFERROR(D39*F39,0)</f>
        <v>0</v>
      </c>
      <c r="F39" s="181">
        <f t="shared" si="45"/>
        <v>0</v>
      </c>
      <c r="G39" s="175">
        <f t="shared" si="176"/>
        <v>0</v>
      </c>
      <c r="H39" s="202">
        <f t="shared" si="176"/>
        <v>0</v>
      </c>
      <c r="I39" s="202">
        <f t="shared" si="176"/>
        <v>0</v>
      </c>
      <c r="J39" s="175">
        <f>IFERROR(VLOOKUP($B39 &amp; $C39&amp;J$4&amp;$A39,tblForecast,J$2,FALSE),0)+IFERROR(VLOOKUP($B39 &amp; $C39 &amp; J$4 &amp; $A39,tblForecast,J$2+1,FALSE),0)</f>
        <v>0</v>
      </c>
      <c r="K39" s="296">
        <f>IFERROR(VLOOKUP($B39 &amp; $C39&amp;K$4&amp;$A39,tblForecast,K$2+2,FALSE),0)</f>
        <v>0</v>
      </c>
      <c r="L39" s="90">
        <f t="shared" ref="L39" si="305">Q39*AM39</f>
        <v>0</v>
      </c>
      <c r="M39" s="90">
        <f t="shared" ref="M39" si="306">R39*AN39</f>
        <v>0</v>
      </c>
      <c r="N39" s="90">
        <f t="shared" ref="N39" si="307">S39*AO39</f>
        <v>0</v>
      </c>
      <c r="O39" s="90">
        <f t="shared" ref="O39" ca="1" si="308">T39*AP39</f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8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" si="309">IFERROR(IF(Q38&lt;&gt;0,Q39/Q38,0),0)</f>
        <v>0</v>
      </c>
      <c r="W39" s="324">
        <f t="shared" ref="W39" si="310">IFERROR(IF(R38&lt;&gt;0,R39/R38,0),0)</f>
        <v>0</v>
      </c>
      <c r="X39" s="244">
        <f t="shared" ref="X39" ca="1" si="311">IFERROR(IF(T38&lt;&gt;0,T39/T38,0),0)</f>
        <v>0</v>
      </c>
      <c r="Y39" s="97">
        <f t="shared" ref="Y39" si="312">IFERROR(L39*AD39,0)</f>
        <v>0</v>
      </c>
      <c r="Z39" s="90">
        <f t="shared" ref="Z39" si="313">IFERROR(M39*AE39,0)</f>
        <v>0</v>
      </c>
      <c r="AA39" s="90">
        <f t="shared" ref="AA39" si="314">IFERROR(N39*AF39,0)</f>
        <v>0</v>
      </c>
      <c r="AB39" s="90">
        <f t="shared" ref="AB39" ca="1" si="315">IFERROR(O39*AG39,0)</f>
        <v>0</v>
      </c>
      <c r="AC39" s="91">
        <f t="shared" ca="1" si="9"/>
        <v>0</v>
      </c>
      <c r="AD39" s="75">
        <f t="shared" ref="AD39" si="316">IF(AM39&lt;&gt;0,1-AR39/AM39,0)</f>
        <v>0</v>
      </c>
      <c r="AE39" s="93">
        <f t="shared" ref="AE39" si="317">IF(AN39&lt;&gt;0,1-AS39/AN39,0)</f>
        <v>0</v>
      </c>
      <c r="AF39" s="93">
        <f t="shared" ref="AF39" si="318">IF(AO39&lt;&gt;0,1-AT39/AO39,0)</f>
        <v>0</v>
      </c>
      <c r="AG39" s="93">
        <f t="shared" ref="AG39" ca="1" si="319">IF(AP39&lt;&gt;0,1-AU39/AP39,0)</f>
        <v>0</v>
      </c>
      <c r="AH39" s="104">
        <f>IFERROR(VLOOKUP($B39 &amp; $C39&amp;AH$4,tblForecast,AH$2,FALSE),0)</f>
        <v>0</v>
      </c>
      <c r="AI39" s="94">
        <f t="shared" si="181"/>
        <v>0</v>
      </c>
      <c r="AJ39" s="94">
        <f t="shared" si="181"/>
        <v>0</v>
      </c>
      <c r="AK39" s="94">
        <f ca="1">IFERROR(CF39/BY39,0)</f>
        <v>0</v>
      </c>
      <c r="AL39" s="91">
        <f t="shared" ca="1" si="146"/>
        <v>0</v>
      </c>
      <c r="AM39" s="104">
        <f>IFERROR(VLOOKUP($B39 &amp; $C39&amp;AM$4,tblForecast,AM$2,FALSE),0)</f>
        <v>0</v>
      </c>
      <c r="AN39" s="94">
        <f t="shared" si="182"/>
        <v>0</v>
      </c>
      <c r="AO39" s="94">
        <f t="shared" si="182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83"/>
        <v>0</v>
      </c>
      <c r="AT39" s="94">
        <f t="shared" si="183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32"/>
        <v>0</v>
      </c>
      <c r="AX39" s="181">
        <f t="shared" si="132"/>
        <v>0</v>
      </c>
      <c r="AY39" s="181">
        <f t="shared" si="132"/>
        <v>0</v>
      </c>
      <c r="AZ39" s="181">
        <f t="shared" ca="1" si="132"/>
        <v>0</v>
      </c>
      <c r="BA39" s="225">
        <f t="shared" ref="BA39" si="320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85"/>
        <v>0</v>
      </c>
      <c r="BD39" s="226">
        <f t="shared" ref="BD39" ca="1" si="321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" si="322">IF(Q39&lt;&gt;0,BA39/Q39,0)</f>
        <v>0</v>
      </c>
      <c r="BI39" s="186">
        <f t="shared" ref="BI39" ca="1" si="323">IF(T39&lt;&gt;0,BD39/T39,0)</f>
        <v>0</v>
      </c>
      <c r="BJ39" s="183">
        <f t="shared" ref="BJ39" si="324">IF(BA39&lt;&gt;0,Q39/BA39,0)</f>
        <v>0</v>
      </c>
      <c r="BK39" s="96">
        <f t="shared" ref="BK39" ca="1" si="325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8"/>
        <v>0</v>
      </c>
      <c r="BU39" s="226">
        <f t="shared" si="188"/>
        <v>0</v>
      </c>
      <c r="BV39" s="226">
        <f>IFERROR(VLOOKUP($B39 &amp; $C39&amp;BV$4,tblForecast,BV$2,FALSE),0)</f>
        <v>0</v>
      </c>
      <c r="BW39" s="226">
        <f t="shared" si="189"/>
        <v>0</v>
      </c>
      <c r="BX39" s="226">
        <f t="shared" si="189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90"/>
        <v>0</v>
      </c>
      <c r="CB39" s="90">
        <f t="shared" si="190"/>
        <v>0</v>
      </c>
      <c r="CC39" s="90">
        <f>IFERROR(VLOOKUP($B39 &amp; $C39&amp;CC$4,tblForecast,CC$2,FALSE),0)</f>
        <v>0</v>
      </c>
      <c r="CD39" s="90">
        <f t="shared" si="191"/>
        <v>0</v>
      </c>
      <c r="CE39" s="90">
        <f t="shared" si="191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92"/>
        <v>0</v>
      </c>
      <c r="CI39" s="90">
        <f t="shared" si="192"/>
        <v>0</v>
      </c>
      <c r="CJ39" s="90">
        <f>IFERROR(VLOOKUP($B39 &amp; $C39&amp;CJ$4,tblForecast,CJ$2,FALSE),0)</f>
        <v>0</v>
      </c>
      <c r="CK39" s="90">
        <f t="shared" si="193"/>
        <v>0</v>
      </c>
      <c r="CL39" s="90">
        <f t="shared" si="193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>
        <f>IFERROR(VLOOKUP($B39 &amp; $C39&amp;CU$4,tblForecast,CU$2,FALSE),0)</f>
        <v>0</v>
      </c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</v>
      </c>
      <c r="DA39" s="277">
        <f t="shared" ref="DA39" si="326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301</v>
      </c>
      <c r="B40" s="44">
        <v>2018</v>
      </c>
      <c r="C40" s="88">
        <v>24</v>
      </c>
      <c r="D40" s="97">
        <f t="shared" ref="D40:D42" si="327">G40*H40</f>
        <v>0</v>
      </c>
      <c r="E40" s="201">
        <f t="shared" ref="E40:E42" si="328">IFERROR(D40*F40,0)</f>
        <v>0</v>
      </c>
      <c r="F40" s="181">
        <f t="shared" ref="F40:F42" si="329">IF(H40&lt;&gt;0,1-I40/H40,0)</f>
        <v>0</v>
      </c>
      <c r="G40" s="175">
        <f t="shared" si="176"/>
        <v>0</v>
      </c>
      <c r="H40" s="202">
        <f t="shared" si="176"/>
        <v>0</v>
      </c>
      <c r="I40" s="202">
        <f t="shared" si="176"/>
        <v>0</v>
      </c>
      <c r="J40" s="175">
        <f>IFERROR(VLOOKUP($B40 &amp; $C40&amp;J$4&amp;$A40,tblForecast,J$2,FALSE),0)+IFERROR(VLOOKUP($B40 &amp; $C40 &amp; J$4 &amp; $A40,tblForecast,J$2+1,FALSE),0)</f>
        <v>0</v>
      </c>
      <c r="K40" s="296">
        <f>IFERROR(VLOOKUP($B40 &amp; $C40&amp;K$4&amp;$A40,tblForecast,K$2+2,FALSE),0)</f>
        <v>0</v>
      </c>
      <c r="L40" s="90">
        <f t="shared" ref="L40:L42" si="330">Q40*AM40</f>
        <v>0</v>
      </c>
      <c r="M40" s="90">
        <f t="shared" ref="M40:M42" si="331">R40*AN40</f>
        <v>0</v>
      </c>
      <c r="N40" s="90">
        <f t="shared" ref="N40:N42" si="332">S40*AO40</f>
        <v>0</v>
      </c>
      <c r="O40" s="90">
        <f t="shared" ref="O40:O42" ca="1" si="333">T40*AP40</f>
        <v>0</v>
      </c>
      <c r="P40" s="91">
        <f t="shared" ref="P40:P42" ca="1" si="334">IFERROR(L40/O40-1,)</f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8"/>
        <v>0</v>
      </c>
      <c r="T40" s="238">
        <f ca="1">SUMIFS(OFFSET(tblForecast,,T$2,,1),OFFSET(tblForecast,,,,1),$B40-IF(CompareVer="LY",1,0)&amp; $C40 &amp;T$4)</f>
        <v>0</v>
      </c>
      <c r="U40" s="91">
        <f t="shared" ref="U40:U42" ca="1" si="335">IFERROR(Q40/T40-1,)</f>
        <v>0</v>
      </c>
      <c r="V40" s="243">
        <f t="shared" ref="V40:V42" si="336">IFERROR(IF(Q39&lt;&gt;0,Q40/Q39,0),0)</f>
        <v>0</v>
      </c>
      <c r="W40" s="324">
        <f t="shared" ref="W40:W42" si="337">IFERROR(IF(R39&lt;&gt;0,R40/R39,0),0)</f>
        <v>0</v>
      </c>
      <c r="X40" s="244">
        <f t="shared" ref="X40:X42" ca="1" si="338">IFERROR(IF(T39&lt;&gt;0,T40/T39,0),0)</f>
        <v>0</v>
      </c>
      <c r="Y40" s="97">
        <f t="shared" ref="Y40:Y42" si="339">IFERROR(L40*AD40,0)</f>
        <v>0</v>
      </c>
      <c r="Z40" s="90">
        <f t="shared" ref="Z40:Z42" si="340">IFERROR(M40*AE40,0)</f>
        <v>0</v>
      </c>
      <c r="AA40" s="90">
        <f t="shared" ref="AA40:AA42" si="341">IFERROR(N40*AF40,0)</f>
        <v>0</v>
      </c>
      <c r="AB40" s="90">
        <f t="shared" ref="AB40:AB42" ca="1" si="342">IFERROR(O40*AG40,0)</f>
        <v>0</v>
      </c>
      <c r="AC40" s="91">
        <f t="shared" ref="AC40:AC42" ca="1" si="343">IFERROR(Y40/AB40-1,)</f>
        <v>0</v>
      </c>
      <c r="AD40" s="75">
        <f t="shared" ref="AD40:AD42" si="344">IF(AM40&lt;&gt;0,1-AR40/AM40,0)</f>
        <v>0</v>
      </c>
      <c r="AE40" s="93">
        <f t="shared" ref="AE40:AE42" si="345">IF(AN40&lt;&gt;0,1-AS40/AN40,0)</f>
        <v>0</v>
      </c>
      <c r="AF40" s="93">
        <f t="shared" ref="AF40:AF42" si="346">IF(AO40&lt;&gt;0,1-AT40/AO40,0)</f>
        <v>0</v>
      </c>
      <c r="AG40" s="93">
        <f t="shared" ref="AG40:AG42" ca="1" si="347">IF(AP40&lt;&gt;0,1-AU40/AP40,0)</f>
        <v>0</v>
      </c>
      <c r="AH40" s="104">
        <f>IFERROR(VLOOKUP($B40 &amp; $C40&amp;AH$4,tblForecast,AH$2,FALSE),0)</f>
        <v>0</v>
      </c>
      <c r="AI40" s="94">
        <f t="shared" si="181"/>
        <v>0</v>
      </c>
      <c r="AJ40" s="94">
        <f t="shared" si="181"/>
        <v>0</v>
      </c>
      <c r="AK40" s="94">
        <f ca="1">IFERROR(CF40/BY40,0)</f>
        <v>0</v>
      </c>
      <c r="AL40" s="91">
        <f t="shared" ref="AL40:AL42" ca="1" si="348">IFERROR(AH40/AK40-1,)</f>
        <v>0</v>
      </c>
      <c r="AM40" s="104">
        <f>IFERROR(VLOOKUP($B40 &amp; $C40&amp;AM$4,tblForecast,AM$2,FALSE),0)</f>
        <v>0</v>
      </c>
      <c r="AN40" s="94">
        <f t="shared" si="182"/>
        <v>0</v>
      </c>
      <c r="AO40" s="94">
        <f t="shared" si="182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ref="AQ40:AQ42" ca="1" si="349">IFERROR(AM40/AP40-1,)</f>
        <v>0</v>
      </c>
      <c r="AR40" s="104">
        <f>IFERROR(VLOOKUP($B40 &amp; $C40&amp;AR$4,tblForecast,AR$2,FALSE),0)</f>
        <v>0</v>
      </c>
      <c r="AS40" s="94">
        <f t="shared" si="183"/>
        <v>0</v>
      </c>
      <c r="AT40" s="94">
        <f t="shared" si="183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ref="AV40:AV42" ca="1" si="350">IFERROR(AR40/AU40-1,)</f>
        <v>0</v>
      </c>
      <c r="AW40" s="180">
        <f t="shared" ref="AW40:AW42" si="351">IFERROR((AM40/AH40-1)*-1,0)</f>
        <v>0</v>
      </c>
      <c r="AX40" s="181">
        <f t="shared" ref="AX40:AX42" si="352">IFERROR((AN40/AI40-1)*-1,0)</f>
        <v>0</v>
      </c>
      <c r="AY40" s="181">
        <f t="shared" ref="AY40:AY42" si="353">IFERROR((AO40/AJ40-1)*-1,0)</f>
        <v>0</v>
      </c>
      <c r="AZ40" s="181">
        <f t="shared" ref="AZ40:AZ42" ca="1" si="354">IFERROR((AP40/AK40-1)*-1,0)</f>
        <v>0</v>
      </c>
      <c r="BA40" s="225">
        <f t="shared" ref="BA40:BA42" si="355">CW40+BF40</f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85"/>
        <v>0</v>
      </c>
      <c r="BD40" s="226">
        <f t="shared" ref="BD40:BD42" ca="1" si="356">CX40+BG40</f>
        <v>0</v>
      </c>
      <c r="BE40" s="176">
        <f t="shared" ref="BE40:BE42" ca="1" si="357">IFERROR(BA40/BD40-1,)</f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ref="BH40:BH42" si="358">IF(Q40&lt;&gt;0,BA40/Q40,0)</f>
        <v>0</v>
      </c>
      <c r="BI40" s="186">
        <f t="shared" ref="BI40:BI42" ca="1" si="359">IF(T40&lt;&gt;0,BD40/T40,0)</f>
        <v>0</v>
      </c>
      <c r="BJ40" s="183">
        <f t="shared" ref="BJ40:BJ42" si="360">IF(BA40&lt;&gt;0,Q40/BA40,0)</f>
        <v>0</v>
      </c>
      <c r="BK40" s="96">
        <f t="shared" ref="BK40:BK42" ca="1" si="361">IF(BD40&lt;&gt;0,T40/BD40,0)</f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ref="BR40:BR42" si="362">BN40-BP40</f>
        <v>0</v>
      </c>
      <c r="BS40" s="226">
        <f t="shared" ref="BS40:BS42" ca="1" si="363">BO40-BQ40</f>
        <v>0</v>
      </c>
      <c r="BT40" s="225">
        <f t="shared" si="188"/>
        <v>0</v>
      </c>
      <c r="BU40" s="226">
        <f t="shared" si="188"/>
        <v>0</v>
      </c>
      <c r="BV40" s="226">
        <f>IFERROR(VLOOKUP($B40 &amp; $C40&amp;BV$4,tblForecast,BV$2,FALSE),0)</f>
        <v>0</v>
      </c>
      <c r="BW40" s="226">
        <f t="shared" si="189"/>
        <v>0</v>
      </c>
      <c r="BX40" s="226">
        <f t="shared" si="189"/>
        <v>0</v>
      </c>
      <c r="BY40" s="175">
        <f ca="1">SUMIFS(OFFSET(tblForecast,,BY$2,,1),OFFSET(tblForecast,,,,1),$B40-IF(CompareVer="LY",1,0)&amp; $C40 &amp;BY$4)</f>
        <v>0</v>
      </c>
      <c r="BZ40" s="176">
        <f t="shared" ref="BZ40:BZ42" ca="1" si="364">IFERROR(BV40/BY40-1,)</f>
        <v>0</v>
      </c>
      <c r="CA40" s="90">
        <f t="shared" si="190"/>
        <v>0</v>
      </c>
      <c r="CB40" s="90">
        <f t="shared" si="190"/>
        <v>0</v>
      </c>
      <c r="CC40" s="90">
        <f>IFERROR(VLOOKUP($B40 &amp; $C40&amp;CC$4,tblForecast,CC$2,FALSE),0)</f>
        <v>0</v>
      </c>
      <c r="CD40" s="90">
        <f t="shared" si="191"/>
        <v>0</v>
      </c>
      <c r="CE40" s="90">
        <f t="shared" si="191"/>
        <v>0</v>
      </c>
      <c r="CF40" s="90">
        <f ca="1">SUMIFS(OFFSET(tblForecast,,CF$2,,1),OFFSET(tblForecast,,,,1),$B40-IF(CompareVer="LY",1,0)&amp; $C40 &amp;CF$4)</f>
        <v>0</v>
      </c>
      <c r="CG40" s="176">
        <f t="shared" ref="CG40:CG42" ca="1" si="365">IFERROR(CC40/CF40-1,)</f>
        <v>0</v>
      </c>
      <c r="CH40" s="90">
        <f t="shared" si="192"/>
        <v>0</v>
      </c>
      <c r="CI40" s="90">
        <f t="shared" si="192"/>
        <v>0</v>
      </c>
      <c r="CJ40" s="90">
        <f>IFERROR(VLOOKUP($B40 &amp; $C40&amp;CJ$4,tblForecast,CJ$2,FALSE),0)</f>
        <v>0</v>
      </c>
      <c r="CK40" s="90">
        <f t="shared" si="193"/>
        <v>0</v>
      </c>
      <c r="CL40" s="90">
        <f t="shared" si="193"/>
        <v>0</v>
      </c>
      <c r="CM40" s="90">
        <f ca="1">SUMIFS(OFFSET(tblForecast,,CM$2,,1),OFFSET(tblForecast,,,,1),$B40-IF(CompareVer="LY",1,0)&amp; $C40 &amp;CM$4)</f>
        <v>0</v>
      </c>
      <c r="CN40" s="176">
        <f t="shared" ref="CN40:CN42" ca="1" si="366">IFERROR(CJ40/CM40-1,)</f>
        <v>0</v>
      </c>
      <c r="CO40" s="177">
        <f t="shared" ref="CO40:CO42" si="367">IFERROR(CE40/BX40,0)</f>
        <v>0</v>
      </c>
      <c r="CP40" s="221">
        <f t="shared" ref="CP40:CP42" ca="1" si="368">IFERROR(CF40/BY40,0)</f>
        <v>0</v>
      </c>
      <c r="CQ40" s="176">
        <f t="shared" ref="CQ40:CQ42" ca="1" si="369">IFERROR(CL40/CP40-1,)</f>
        <v>0</v>
      </c>
      <c r="CR40" s="177">
        <f t="shared" ref="CR40:CR42" si="370">IFERROR(CL40/BX40,0)</f>
        <v>0</v>
      </c>
      <c r="CS40" s="221">
        <f t="shared" ref="CS40:CS42" ca="1" si="371">IFERROR(CM40/BY40,0)</f>
        <v>0</v>
      </c>
      <c r="CT40" s="176">
        <f t="shared" ref="CT40:CT42" ca="1" si="372">IFERROR(CO40/CS40-1,)</f>
        <v>0</v>
      </c>
      <c r="CU40" s="44">
        <f>IFERROR(VLOOKUP($B40 &amp; $C40&amp;CU$4,tblForecast,CU$2,FALSE),0)</f>
        <v>0</v>
      </c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ref="CY40:CY42" ca="1" si="373">IFERROR(CW40/CX40-1,)</f>
        <v>0</v>
      </c>
      <c r="CZ40" s="276">
        <f>IFERROR(VLOOKUP(Brand&amp;Channel&amp;Country&amp;$C40,tblDiscount,6,FALSE),0)</f>
        <v>0</v>
      </c>
      <c r="DA40" s="277">
        <f t="shared" ref="DA40:DA42" si="374">(1-CZ40)*DB40</f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301</v>
      </c>
      <c r="B41" s="44">
        <v>2018</v>
      </c>
      <c r="C41" s="88">
        <v>25</v>
      </c>
      <c r="D41" s="97">
        <f t="shared" si="327"/>
        <v>0</v>
      </c>
      <c r="E41" s="201">
        <f t="shared" si="328"/>
        <v>0</v>
      </c>
      <c r="F41" s="181">
        <f t="shared" si="329"/>
        <v>0</v>
      </c>
      <c r="G41" s="175">
        <f t="shared" si="176"/>
        <v>0</v>
      </c>
      <c r="H41" s="202">
        <f t="shared" si="176"/>
        <v>0</v>
      </c>
      <c r="I41" s="202">
        <f t="shared" si="176"/>
        <v>0</v>
      </c>
      <c r="J41" s="175">
        <f>IFERROR(VLOOKUP($B41 &amp; $C41&amp;J$4&amp;$A41,tblForecast,J$2,FALSE),0)+IFERROR(VLOOKUP($B41 &amp; $C41 &amp; J$4 &amp; $A41,tblForecast,J$2+1,FALSE),0)</f>
        <v>0</v>
      </c>
      <c r="K41" s="296">
        <f>IFERROR(VLOOKUP($B41 &amp; $C41&amp;K$4&amp;$A41,tblForecast,K$2+2,FALSE),0)</f>
        <v>0</v>
      </c>
      <c r="L41" s="90">
        <f t="shared" si="330"/>
        <v>0</v>
      </c>
      <c r="M41" s="90">
        <f t="shared" si="331"/>
        <v>0</v>
      </c>
      <c r="N41" s="90">
        <f t="shared" si="332"/>
        <v>0</v>
      </c>
      <c r="O41" s="90">
        <f t="shared" ca="1" si="333"/>
        <v>0</v>
      </c>
      <c r="P41" s="91">
        <f t="shared" ca="1" si="334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8"/>
        <v>0</v>
      </c>
      <c r="T41" s="238">
        <f ca="1">SUMIFS(OFFSET(tblForecast,,T$2,,1),OFFSET(tblForecast,,,,1),$B41-IF(CompareVer="LY",1,0)&amp; $C41 &amp;T$4)</f>
        <v>0</v>
      </c>
      <c r="U41" s="91">
        <f t="shared" ca="1" si="335"/>
        <v>0</v>
      </c>
      <c r="V41" s="243">
        <f t="shared" si="336"/>
        <v>0</v>
      </c>
      <c r="W41" s="324">
        <f t="shared" si="337"/>
        <v>0</v>
      </c>
      <c r="X41" s="244">
        <f t="shared" ca="1" si="338"/>
        <v>0</v>
      </c>
      <c r="Y41" s="97">
        <f t="shared" si="339"/>
        <v>0</v>
      </c>
      <c r="Z41" s="90">
        <f t="shared" si="340"/>
        <v>0</v>
      </c>
      <c r="AA41" s="90">
        <f t="shared" si="341"/>
        <v>0</v>
      </c>
      <c r="AB41" s="90">
        <f t="shared" ca="1" si="342"/>
        <v>0</v>
      </c>
      <c r="AC41" s="91">
        <f t="shared" ca="1" si="343"/>
        <v>0</v>
      </c>
      <c r="AD41" s="75">
        <f t="shared" si="344"/>
        <v>0</v>
      </c>
      <c r="AE41" s="93">
        <f t="shared" si="345"/>
        <v>0</v>
      </c>
      <c r="AF41" s="93">
        <f t="shared" si="346"/>
        <v>0</v>
      </c>
      <c r="AG41" s="93">
        <f t="shared" ca="1" si="347"/>
        <v>0</v>
      </c>
      <c r="AH41" s="104">
        <f>IFERROR(VLOOKUP($B41 &amp; $C41&amp;AH$4,tblForecast,AH$2,FALSE),0)</f>
        <v>0</v>
      </c>
      <c r="AI41" s="94">
        <f t="shared" si="181"/>
        <v>0</v>
      </c>
      <c r="AJ41" s="94">
        <f t="shared" si="181"/>
        <v>0</v>
      </c>
      <c r="AK41" s="94">
        <f ca="1">IFERROR(CF41/BY41,0)</f>
        <v>0</v>
      </c>
      <c r="AL41" s="91">
        <f t="shared" ca="1" si="348"/>
        <v>0</v>
      </c>
      <c r="AM41" s="104">
        <f>IFERROR(VLOOKUP($B41 &amp; $C41&amp;AM$4,tblForecast,AM$2,FALSE),0)</f>
        <v>0</v>
      </c>
      <c r="AN41" s="94">
        <f t="shared" si="182"/>
        <v>0</v>
      </c>
      <c r="AO41" s="94">
        <f t="shared" si="182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349"/>
        <v>0</v>
      </c>
      <c r="AR41" s="104">
        <f>IFERROR(VLOOKUP($B41 &amp; $C41&amp;AR$4,tblForecast,AR$2,FALSE),0)</f>
        <v>0</v>
      </c>
      <c r="AS41" s="94">
        <f t="shared" si="183"/>
        <v>0</v>
      </c>
      <c r="AT41" s="94">
        <f t="shared" si="183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350"/>
        <v>0</v>
      </c>
      <c r="AW41" s="180">
        <f t="shared" si="351"/>
        <v>0</v>
      </c>
      <c r="AX41" s="181">
        <f t="shared" si="352"/>
        <v>0</v>
      </c>
      <c r="AY41" s="181">
        <f t="shared" si="353"/>
        <v>0</v>
      </c>
      <c r="AZ41" s="181">
        <f t="shared" ca="1" si="354"/>
        <v>0</v>
      </c>
      <c r="BA41" s="225">
        <f t="shared" si="355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85"/>
        <v>0</v>
      </c>
      <c r="BD41" s="226">
        <f t="shared" ca="1" si="356"/>
        <v>0</v>
      </c>
      <c r="BE41" s="176">
        <f t="shared" ca="1" si="357"/>
        <v>0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358"/>
        <v>0</v>
      </c>
      <c r="BI41" s="186">
        <f t="shared" ca="1" si="359"/>
        <v>0</v>
      </c>
      <c r="BJ41" s="183">
        <f t="shared" si="360"/>
        <v>0</v>
      </c>
      <c r="BK41" s="96">
        <f t="shared" ca="1" si="361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0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362"/>
        <v>0</v>
      </c>
      <c r="BS41" s="226">
        <f t="shared" ca="1" si="363"/>
        <v>0</v>
      </c>
      <c r="BT41" s="225">
        <f t="shared" si="188"/>
        <v>0</v>
      </c>
      <c r="BU41" s="226">
        <f t="shared" si="188"/>
        <v>0</v>
      </c>
      <c r="BV41" s="226">
        <f>IFERROR(VLOOKUP($B41 &amp; $C41&amp;BV$4,tblForecast,BV$2,FALSE),0)</f>
        <v>0</v>
      </c>
      <c r="BW41" s="226">
        <f t="shared" si="189"/>
        <v>0</v>
      </c>
      <c r="BX41" s="226">
        <f t="shared" si="189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364"/>
        <v>0</v>
      </c>
      <c r="CA41" s="90">
        <f t="shared" si="190"/>
        <v>0</v>
      </c>
      <c r="CB41" s="90">
        <f t="shared" si="190"/>
        <v>0</v>
      </c>
      <c r="CC41" s="90">
        <f>IFERROR(VLOOKUP($B41 &amp; $C41&amp;CC$4,tblForecast,CC$2,FALSE),0)</f>
        <v>0</v>
      </c>
      <c r="CD41" s="90">
        <f t="shared" si="191"/>
        <v>0</v>
      </c>
      <c r="CE41" s="90">
        <f t="shared" si="191"/>
        <v>0</v>
      </c>
      <c r="CF41" s="90">
        <f ca="1">SUMIFS(OFFSET(tblForecast,,CF$2,,1),OFFSET(tblForecast,,,,1),$B41-IF(CompareVer="LY",1,0)&amp; $C41 &amp;CF$4)</f>
        <v>0</v>
      </c>
      <c r="CG41" s="176">
        <f t="shared" ca="1" si="365"/>
        <v>0</v>
      </c>
      <c r="CH41" s="90">
        <f t="shared" si="192"/>
        <v>0</v>
      </c>
      <c r="CI41" s="90">
        <f t="shared" si="192"/>
        <v>0</v>
      </c>
      <c r="CJ41" s="90">
        <f>IFERROR(VLOOKUP($B41 &amp; $C41&amp;CJ$4,tblForecast,CJ$2,FALSE),0)</f>
        <v>0</v>
      </c>
      <c r="CK41" s="90">
        <f t="shared" si="193"/>
        <v>0</v>
      </c>
      <c r="CL41" s="90">
        <f t="shared" si="193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66"/>
        <v>0</v>
      </c>
      <c r="CO41" s="177">
        <f t="shared" si="367"/>
        <v>0</v>
      </c>
      <c r="CP41" s="221">
        <f t="shared" ca="1" si="368"/>
        <v>0</v>
      </c>
      <c r="CQ41" s="176">
        <f t="shared" ca="1" si="369"/>
        <v>0</v>
      </c>
      <c r="CR41" s="177">
        <f t="shared" si="370"/>
        <v>0</v>
      </c>
      <c r="CS41" s="221">
        <f t="shared" ca="1" si="371"/>
        <v>0</v>
      </c>
      <c r="CT41" s="176">
        <f t="shared" ca="1" si="372"/>
        <v>0</v>
      </c>
      <c r="CU41" s="44">
        <f>IFERROR(VLOOKUP($B41 &amp; $C41&amp;CU$4,tblForecast,CU$2,FALSE),0)</f>
        <v>0</v>
      </c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73"/>
        <v>0</v>
      </c>
      <c r="CZ41" s="276">
        <f>IFERROR(VLOOKUP(Brand&amp;Channel&amp;Country&amp;$C41,tblDiscount,6,FALSE),0)</f>
        <v>0</v>
      </c>
      <c r="DA41" s="277">
        <f t="shared" si="374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301</v>
      </c>
      <c r="B42" s="44">
        <v>2018</v>
      </c>
      <c r="C42" s="88">
        <v>26</v>
      </c>
      <c r="D42" s="97">
        <f t="shared" si="327"/>
        <v>0</v>
      </c>
      <c r="E42" s="201">
        <f t="shared" si="328"/>
        <v>0</v>
      </c>
      <c r="F42" s="181">
        <f t="shared" si="329"/>
        <v>0</v>
      </c>
      <c r="G42" s="175">
        <f t="shared" si="176"/>
        <v>0</v>
      </c>
      <c r="H42" s="202">
        <f t="shared" si="176"/>
        <v>0</v>
      </c>
      <c r="I42" s="202">
        <f t="shared" si="176"/>
        <v>0</v>
      </c>
      <c r="J42" s="175">
        <f>IFERROR(VLOOKUP($B42 &amp; $C42&amp;J$4&amp;$A42,tblForecast,J$2,FALSE),0)+IFERROR(VLOOKUP($B42 &amp; $C42 &amp; J$4 &amp; $A42,tblForecast,J$2+1,FALSE),0)</f>
        <v>0</v>
      </c>
      <c r="K42" s="296">
        <f>IFERROR(VLOOKUP($B42 &amp; $C42&amp;K$4&amp;$A42,tblForecast,K$2+2,FALSE),0)</f>
        <v>0</v>
      </c>
      <c r="L42" s="90">
        <f t="shared" si="330"/>
        <v>0</v>
      </c>
      <c r="M42" s="90">
        <f t="shared" si="331"/>
        <v>0</v>
      </c>
      <c r="N42" s="90">
        <f t="shared" si="332"/>
        <v>0</v>
      </c>
      <c r="O42" s="90">
        <f t="shared" ca="1" si="333"/>
        <v>0</v>
      </c>
      <c r="P42" s="91">
        <f t="shared" ca="1" si="334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8"/>
        <v>0</v>
      </c>
      <c r="T42" s="238">
        <f ca="1">SUMIFS(OFFSET(tblForecast,,T$2,,1),OFFSET(tblForecast,,,,1),$B42-IF(CompareVer="LY",1,0)&amp; $C42 &amp;T$4)</f>
        <v>0</v>
      </c>
      <c r="U42" s="91">
        <f t="shared" ca="1" si="335"/>
        <v>0</v>
      </c>
      <c r="V42" s="243">
        <f t="shared" si="336"/>
        <v>0</v>
      </c>
      <c r="W42" s="324">
        <f t="shared" si="337"/>
        <v>0</v>
      </c>
      <c r="X42" s="244">
        <f t="shared" ca="1" si="338"/>
        <v>0</v>
      </c>
      <c r="Y42" s="97">
        <f t="shared" si="339"/>
        <v>0</v>
      </c>
      <c r="Z42" s="90">
        <f t="shared" si="340"/>
        <v>0</v>
      </c>
      <c r="AA42" s="90">
        <f t="shared" si="341"/>
        <v>0</v>
      </c>
      <c r="AB42" s="90">
        <f t="shared" ca="1" si="342"/>
        <v>0</v>
      </c>
      <c r="AC42" s="91">
        <f t="shared" ca="1" si="343"/>
        <v>0</v>
      </c>
      <c r="AD42" s="75">
        <f t="shared" si="344"/>
        <v>0</v>
      </c>
      <c r="AE42" s="93">
        <f t="shared" si="345"/>
        <v>0</v>
      </c>
      <c r="AF42" s="93">
        <f t="shared" si="346"/>
        <v>0</v>
      </c>
      <c r="AG42" s="93">
        <f t="shared" ca="1" si="347"/>
        <v>0</v>
      </c>
      <c r="AH42" s="104">
        <f>IFERROR(VLOOKUP($B42 &amp; $C42&amp;AH$4,tblForecast,AH$2,FALSE),0)</f>
        <v>0</v>
      </c>
      <c r="AI42" s="94">
        <f t="shared" si="181"/>
        <v>0</v>
      </c>
      <c r="AJ42" s="94">
        <f t="shared" si="181"/>
        <v>0</v>
      </c>
      <c r="AK42" s="94">
        <f ca="1">IFERROR(CF42/BY42,0)</f>
        <v>0</v>
      </c>
      <c r="AL42" s="91">
        <f t="shared" ca="1" si="348"/>
        <v>0</v>
      </c>
      <c r="AM42" s="104">
        <f>IFERROR(VLOOKUP($B42 &amp; $C42&amp;AM$4,tblForecast,AM$2,FALSE),0)</f>
        <v>0</v>
      </c>
      <c r="AN42" s="94">
        <f t="shared" si="182"/>
        <v>0</v>
      </c>
      <c r="AO42" s="94">
        <f t="shared" si="182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349"/>
        <v>0</v>
      </c>
      <c r="AR42" s="104">
        <f>IFERROR(VLOOKUP($B42 &amp; $C42&amp;AR$4,tblForecast,AR$2,FALSE),0)</f>
        <v>0</v>
      </c>
      <c r="AS42" s="94">
        <f t="shared" si="183"/>
        <v>0</v>
      </c>
      <c r="AT42" s="94">
        <f t="shared" si="183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350"/>
        <v>0</v>
      </c>
      <c r="AW42" s="180">
        <f t="shared" si="351"/>
        <v>0</v>
      </c>
      <c r="AX42" s="181">
        <f t="shared" si="352"/>
        <v>0</v>
      </c>
      <c r="AY42" s="181">
        <f t="shared" si="353"/>
        <v>0</v>
      </c>
      <c r="AZ42" s="181">
        <f t="shared" ca="1" si="354"/>
        <v>0</v>
      </c>
      <c r="BA42" s="225">
        <f t="shared" si="355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85"/>
        <v>0</v>
      </c>
      <c r="BD42" s="226">
        <f t="shared" ca="1" si="356"/>
        <v>0</v>
      </c>
      <c r="BE42" s="176">
        <f t="shared" ca="1" si="357"/>
        <v>0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358"/>
        <v>0</v>
      </c>
      <c r="BI42" s="186">
        <f t="shared" ca="1" si="359"/>
        <v>0</v>
      </c>
      <c r="BJ42" s="183">
        <f t="shared" si="360"/>
        <v>0</v>
      </c>
      <c r="BK42" s="96">
        <f t="shared" ca="1" si="361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362"/>
        <v>0</v>
      </c>
      <c r="BS42" s="226">
        <f t="shared" ca="1" si="363"/>
        <v>0</v>
      </c>
      <c r="BT42" s="225">
        <f t="shared" si="188"/>
        <v>0</v>
      </c>
      <c r="BU42" s="226">
        <f t="shared" si="188"/>
        <v>0</v>
      </c>
      <c r="BV42" s="226">
        <f>IFERROR(VLOOKUP($B42 &amp; $C42&amp;BV$4,tblForecast,BV$2,FALSE),0)</f>
        <v>0</v>
      </c>
      <c r="BW42" s="226">
        <f t="shared" si="189"/>
        <v>0</v>
      </c>
      <c r="BX42" s="226">
        <f t="shared" si="189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364"/>
        <v>0</v>
      </c>
      <c r="CA42" s="90">
        <f t="shared" si="190"/>
        <v>0</v>
      </c>
      <c r="CB42" s="90">
        <f t="shared" si="190"/>
        <v>0</v>
      </c>
      <c r="CC42" s="90">
        <f>IFERROR(VLOOKUP($B42 &amp; $C42&amp;CC$4,tblForecast,CC$2,FALSE),0)</f>
        <v>0</v>
      </c>
      <c r="CD42" s="90">
        <f t="shared" si="191"/>
        <v>0</v>
      </c>
      <c r="CE42" s="90">
        <f t="shared" si="191"/>
        <v>0</v>
      </c>
      <c r="CF42" s="90">
        <f ca="1">SUMIFS(OFFSET(tblForecast,,CF$2,,1),OFFSET(tblForecast,,,,1),$B42-IF(CompareVer="LY",1,0)&amp; $C42 &amp;CF$4)</f>
        <v>0</v>
      </c>
      <c r="CG42" s="176">
        <f t="shared" ca="1" si="365"/>
        <v>0</v>
      </c>
      <c r="CH42" s="90">
        <f t="shared" si="192"/>
        <v>0</v>
      </c>
      <c r="CI42" s="90">
        <f t="shared" si="192"/>
        <v>0</v>
      </c>
      <c r="CJ42" s="90">
        <f>IFERROR(VLOOKUP($B42 &amp; $C42&amp;CJ$4,tblForecast,CJ$2,FALSE),0)</f>
        <v>0</v>
      </c>
      <c r="CK42" s="90">
        <f t="shared" si="193"/>
        <v>0</v>
      </c>
      <c r="CL42" s="90">
        <f t="shared" si="193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66"/>
        <v>0</v>
      </c>
      <c r="CO42" s="177">
        <f t="shared" si="367"/>
        <v>0</v>
      </c>
      <c r="CP42" s="221">
        <f t="shared" ca="1" si="368"/>
        <v>0</v>
      </c>
      <c r="CQ42" s="176">
        <f t="shared" ca="1" si="369"/>
        <v>0</v>
      </c>
      <c r="CR42" s="177">
        <f t="shared" si="370"/>
        <v>0</v>
      </c>
      <c r="CS42" s="221">
        <f t="shared" ca="1" si="371"/>
        <v>0</v>
      </c>
      <c r="CT42" s="176">
        <f t="shared" ca="1" si="372"/>
        <v>0</v>
      </c>
      <c r="CU42" s="44">
        <f>IFERROR(VLOOKUP($B42 &amp; $C42&amp;CU$4,tblForecast,CU$2,FALSE),0)</f>
        <v>0</v>
      </c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73"/>
        <v>0</v>
      </c>
      <c r="CZ42" s="276">
        <f>IFERROR(VLOOKUP(Brand&amp;Channel&amp;Country&amp;$C42,tblDiscount,6,FALSE),0)</f>
        <v>0</v>
      </c>
      <c r="DA42" s="277">
        <f t="shared" si="374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375">SUM(D39:D42)</f>
        <v>0</v>
      </c>
      <c r="E43" s="253">
        <f t="shared" ref="E43" si="376">SUM(E39:E42)</f>
        <v>0</v>
      </c>
      <c r="F43" s="254">
        <f t="shared" si="45"/>
        <v>0</v>
      </c>
      <c r="G43" s="255">
        <f>SUM(G39:G42)</f>
        <v>0</v>
      </c>
      <c r="H43" s="256">
        <f>IFERROR(D43/G43,0)</f>
        <v>0</v>
      </c>
      <c r="I43" s="256">
        <f>IFERROR(SUMPRODUCT(I39:I42,G39:G42)/G43,0)</f>
        <v>0</v>
      </c>
      <c r="J43" s="255">
        <f>SUM(J39:J42)</f>
        <v>0</v>
      </c>
      <c r="K43" s="297">
        <f>SUM(K39:K42)</f>
        <v>0</v>
      </c>
      <c r="L43" s="257">
        <f>SUM(L39:L42)</f>
        <v>0</v>
      </c>
      <c r="M43" s="257">
        <f t="shared" ref="M43:O43" si="377">SUM(M39:M42)</f>
        <v>0</v>
      </c>
      <c r="N43" s="257">
        <f t="shared" si="377"/>
        <v>0</v>
      </c>
      <c r="O43" s="257">
        <f t="shared" ca="1" si="377"/>
        <v>0</v>
      </c>
      <c r="P43" s="258">
        <f t="shared" ca="1" si="39"/>
        <v>0</v>
      </c>
      <c r="Q43" s="259">
        <f>SUM(Q39:Q42)</f>
        <v>0</v>
      </c>
      <c r="R43" s="260">
        <f t="shared" ref="R43:S43" si="378">SUM(R39:R42)</f>
        <v>0</v>
      </c>
      <c r="S43" s="260">
        <f t="shared" si="378"/>
        <v>0</v>
      </c>
      <c r="T43" s="260">
        <f ca="1">SUM(T39:T42)</f>
        <v>0</v>
      </c>
      <c r="U43" s="258">
        <f t="shared" ca="1" si="7"/>
        <v>0</v>
      </c>
      <c r="V43" s="261">
        <f t="shared" ref="V43:X43" si="379">V42</f>
        <v>0</v>
      </c>
      <c r="W43" s="325">
        <f t="shared" si="379"/>
        <v>0</v>
      </c>
      <c r="X43" s="262">
        <f t="shared" ca="1" si="379"/>
        <v>0</v>
      </c>
      <c r="Y43" s="252">
        <f>SUM(Y39:Y42)</f>
        <v>0</v>
      </c>
      <c r="Z43" s="257">
        <f t="shared" ref="Z43:AB43" si="380">SUM(Z39:Z42)</f>
        <v>0</v>
      </c>
      <c r="AA43" s="257">
        <f t="shared" si="380"/>
        <v>0</v>
      </c>
      <c r="AB43" s="257">
        <f t="shared" ca="1" si="380"/>
        <v>0</v>
      </c>
      <c r="AC43" s="258">
        <f t="shared" ca="1" si="9"/>
        <v>0</v>
      </c>
      <c r="AD43" s="263">
        <f t="shared" ref="AD43:AG44" si="381">IFERROR(Y43/L43,0)</f>
        <v>0</v>
      </c>
      <c r="AE43" s="264">
        <f t="shared" si="381"/>
        <v>0</v>
      </c>
      <c r="AF43" s="264">
        <f t="shared" si="381"/>
        <v>0</v>
      </c>
      <c r="AG43" s="264">
        <f t="shared" ca="1" si="381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382">IFERROR(SUMPRODUCT(AJ39:AJ42,S39:S42)/S43,0)</f>
        <v>0</v>
      </c>
      <c r="AK43" s="266">
        <f t="shared" ca="1" si="382"/>
        <v>0</v>
      </c>
      <c r="AL43" s="258">
        <f t="shared" ca="1" si="146"/>
        <v>0</v>
      </c>
      <c r="AM43" s="265">
        <f t="shared" ref="AM43:AP44" si="383">IF(Q43&lt;&gt;0,L43/Q43,0)</f>
        <v>0</v>
      </c>
      <c r="AN43" s="266">
        <f t="shared" si="383"/>
        <v>0</v>
      </c>
      <c r="AO43" s="266">
        <f t="shared" si="383"/>
        <v>0</v>
      </c>
      <c r="AP43" s="266">
        <f t="shared" ca="1" si="383"/>
        <v>0</v>
      </c>
      <c r="AQ43" s="258">
        <f t="shared" ca="1" si="14"/>
        <v>0</v>
      </c>
      <c r="AR43" s="265">
        <f t="shared" ref="AR43:AU44" si="384">IFERROR((L43*(1-AD43))/Q43,0)</f>
        <v>0</v>
      </c>
      <c r="AS43" s="266">
        <f t="shared" si="384"/>
        <v>0</v>
      </c>
      <c r="AT43" s="266">
        <f t="shared" si="384"/>
        <v>0</v>
      </c>
      <c r="AU43" s="266">
        <f t="shared" ca="1" si="384"/>
        <v>0</v>
      </c>
      <c r="AV43" s="258">
        <f t="shared" ca="1" si="16"/>
        <v>0</v>
      </c>
      <c r="AW43" s="267">
        <f t="shared" ref="AW43:AZ45" si="385">IFERROR((AM43/AH43-1)*-1,0)</f>
        <v>0</v>
      </c>
      <c r="AX43" s="268">
        <f t="shared" si="385"/>
        <v>0</v>
      </c>
      <c r="AY43" s="268">
        <f t="shared" si="385"/>
        <v>0</v>
      </c>
      <c r="AZ43" s="268">
        <f t="shared" ca="1" si="385"/>
        <v>0</v>
      </c>
      <c r="BA43" s="259">
        <f>BA42</f>
        <v>0</v>
      </c>
      <c r="BB43" s="260">
        <f t="shared" ref="BB43:BD44" si="386">BB42</f>
        <v>0</v>
      </c>
      <c r="BC43" s="260">
        <f t="shared" si="386"/>
        <v>0</v>
      </c>
      <c r="BD43" s="260">
        <f t="shared" ca="1" si="386"/>
        <v>0</v>
      </c>
      <c r="BE43" s="258">
        <f t="shared" ca="1" si="19"/>
        <v>0</v>
      </c>
      <c r="BF43" s="260">
        <f t="shared" ref="BF43:BG44" si="387">BF42</f>
        <v>0</v>
      </c>
      <c r="BG43" s="260">
        <f t="shared" ca="1" si="387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388">IF(BA43&lt;&gt;0,(Q43/COUNTIF(BJ39:BJ42,"&lt;&gt;0"))/BA43,0)</f>
        <v>0</v>
      </c>
      <c r="BK43" s="272">
        <f t="shared" ref="BK43" ca="1" si="389">IF(BD43&lt;&gt;0,(T43/COUNTIF(BK39:BK42,"&lt;&gt;0"))/BD43,0)</f>
        <v>0</v>
      </c>
      <c r="BL43" s="259">
        <f>SUM(BL39:BL42)</f>
        <v>0</v>
      </c>
      <c r="BM43" s="260">
        <f ca="1">SUM(BM39:BM42)</f>
        <v>0</v>
      </c>
      <c r="BN43" s="259">
        <f>SUM(BN39:BN42)</f>
        <v>0</v>
      </c>
      <c r="BO43" s="260">
        <f t="shared" ref="BO43:BQ43" ca="1" si="390">SUM(BO39:BO42)</f>
        <v>0</v>
      </c>
      <c r="BP43" s="259">
        <f>SUM(BP39:BP42)</f>
        <v>0</v>
      </c>
      <c r="BQ43" s="260">
        <f t="shared" ca="1" si="390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391">SUM(BT39:BT42)</f>
        <v>0</v>
      </c>
      <c r="BU43" s="260">
        <f t="shared" si="391"/>
        <v>0</v>
      </c>
      <c r="BV43" s="260">
        <f t="shared" si="391"/>
        <v>0</v>
      </c>
      <c r="BW43" s="260">
        <f t="shared" si="391"/>
        <v>0</v>
      </c>
      <c r="BX43" s="260">
        <f t="shared" si="391"/>
        <v>0</v>
      </c>
      <c r="BY43" s="273">
        <f t="shared" ca="1" si="391"/>
        <v>0</v>
      </c>
      <c r="BZ43" s="258">
        <f t="shared" ca="1" si="25"/>
        <v>0</v>
      </c>
      <c r="CA43" s="331">
        <f t="shared" ref="CA43:CF43" si="392">SUM(CA39:CA42)</f>
        <v>0</v>
      </c>
      <c r="CB43" s="257">
        <f t="shared" si="392"/>
        <v>0</v>
      </c>
      <c r="CC43" s="257">
        <f t="shared" si="392"/>
        <v>0</v>
      </c>
      <c r="CD43" s="257">
        <f t="shared" si="392"/>
        <v>0</v>
      </c>
      <c r="CE43" s="257">
        <f t="shared" si="392"/>
        <v>0</v>
      </c>
      <c r="CF43" s="257">
        <f t="shared" ca="1" si="392"/>
        <v>0</v>
      </c>
      <c r="CG43" s="258">
        <f t="shared" ca="1" si="28"/>
        <v>0</v>
      </c>
      <c r="CH43" s="331">
        <f t="shared" ref="CH43:CM43" si="393">SUM(CH39:CH42)</f>
        <v>0</v>
      </c>
      <c r="CI43" s="257">
        <f t="shared" si="393"/>
        <v>0</v>
      </c>
      <c r="CJ43" s="257">
        <f t="shared" si="393"/>
        <v>0</v>
      </c>
      <c r="CK43" s="257">
        <f t="shared" si="393"/>
        <v>0</v>
      </c>
      <c r="CL43" s="257">
        <f t="shared" si="393"/>
        <v>0</v>
      </c>
      <c r="CM43" s="257">
        <f t="shared" ca="1" si="393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>
        <f>SUM(CU39:CU42)</f>
        <v>0</v>
      </c>
      <c r="CW43" s="100">
        <f>CW42</f>
        <v>0</v>
      </c>
      <c r="CX43" s="101">
        <f ca="1">CX42</f>
        <v>0</v>
      </c>
      <c r="CY43" s="99">
        <f t="shared" ca="1" si="36"/>
        <v>0</v>
      </c>
      <c r="CZ43" s="276"/>
      <c r="DA43" s="277"/>
      <c r="DB43" s="277"/>
      <c r="DC43" s="278"/>
    </row>
    <row r="44" spans="1:107" ht="16.5" thickBot="1" x14ac:dyDescent="0.3">
      <c r="C44" s="105" t="s">
        <v>278</v>
      </c>
      <c r="D44" s="52">
        <f t="shared" ref="D44" si="394">D32+D38+D43</f>
        <v>0</v>
      </c>
      <c r="E44" s="204">
        <f t="shared" ref="E44" si="395">E32+E38+E43</f>
        <v>0</v>
      </c>
      <c r="F44" s="205">
        <f t="shared" si="45"/>
        <v>0</v>
      </c>
      <c r="G44" s="203">
        <f>G32+G38+G43</f>
        <v>0</v>
      </c>
      <c r="H44" s="206">
        <f>IFERROR(D44/G44,0)</f>
        <v>0</v>
      </c>
      <c r="I44" s="58">
        <f>IFERROR((I32*G32+I38*G38+I43*G43)/G44,0)</f>
        <v>0</v>
      </c>
      <c r="J44" s="203">
        <f t="shared" ref="J44" si="396">J32+J38+J43</f>
        <v>0</v>
      </c>
      <c r="K44" s="298">
        <f t="shared" ref="K44" si="397">K32+K38+K43</f>
        <v>0</v>
      </c>
      <c r="L44" s="53">
        <f>L32+L38+L43</f>
        <v>0</v>
      </c>
      <c r="M44" s="53">
        <f t="shared" ref="M44:O44" si="398">M32+M38+M43</f>
        <v>0</v>
      </c>
      <c r="N44" s="53">
        <f t="shared" si="398"/>
        <v>0</v>
      </c>
      <c r="O44" s="53">
        <f t="shared" ca="1" si="398"/>
        <v>0</v>
      </c>
      <c r="P44" s="54">
        <f t="shared" ca="1" si="39"/>
        <v>0</v>
      </c>
      <c r="Q44" s="227">
        <f>Q32+Q38+Q43</f>
        <v>0</v>
      </c>
      <c r="R44" s="228">
        <f t="shared" ref="R44:S44" si="399">R32+R38+R43</f>
        <v>0</v>
      </c>
      <c r="S44" s="228">
        <f t="shared" si="399"/>
        <v>0</v>
      </c>
      <c r="T44" s="228">
        <f ca="1">T32+T38+T43</f>
        <v>0</v>
      </c>
      <c r="U44" s="54">
        <f t="shared" ca="1" si="7"/>
        <v>0</v>
      </c>
      <c r="V44" s="245">
        <f t="shared" ref="V44:X44" si="400">V43</f>
        <v>0</v>
      </c>
      <c r="W44" s="326">
        <f t="shared" si="400"/>
        <v>0</v>
      </c>
      <c r="X44" s="246">
        <f t="shared" ca="1" si="400"/>
        <v>0</v>
      </c>
      <c r="Y44" s="52">
        <f>Y32+Y38+Y43</f>
        <v>0</v>
      </c>
      <c r="Z44" s="53">
        <f t="shared" ref="Z44:AB44" si="401">Z32+Z38+Z43</f>
        <v>0</v>
      </c>
      <c r="AA44" s="53">
        <f t="shared" si="401"/>
        <v>0</v>
      </c>
      <c r="AB44" s="53">
        <f t="shared" ca="1" si="401"/>
        <v>0</v>
      </c>
      <c r="AC44" s="54">
        <f t="shared" ca="1" si="9"/>
        <v>0</v>
      </c>
      <c r="AD44" s="77">
        <f t="shared" si="381"/>
        <v>0</v>
      </c>
      <c r="AE44" s="78">
        <f t="shared" si="381"/>
        <v>0</v>
      </c>
      <c r="AF44" s="78">
        <f t="shared" si="381"/>
        <v>0</v>
      </c>
      <c r="AG44" s="78">
        <f t="shared" ca="1" si="381"/>
        <v>0</v>
      </c>
      <c r="AH44" s="58">
        <f t="shared" ref="AH44:AL44" si="402">IFERROR((AH32*Q32+AH38*Q38+AH43*Q43)/Q44,0)</f>
        <v>0</v>
      </c>
      <c r="AI44" s="58">
        <f t="shared" si="402"/>
        <v>0</v>
      </c>
      <c r="AJ44" s="58">
        <f t="shared" si="402"/>
        <v>0</v>
      </c>
      <c r="AK44" s="58">
        <f t="shared" ca="1" si="402"/>
        <v>0</v>
      </c>
      <c r="AL44" s="54">
        <f t="shared" ca="1" si="402"/>
        <v>0</v>
      </c>
      <c r="AM44" s="57">
        <f t="shared" si="383"/>
        <v>0</v>
      </c>
      <c r="AN44" s="58">
        <f t="shared" si="383"/>
        <v>0</v>
      </c>
      <c r="AO44" s="58">
        <f t="shared" si="383"/>
        <v>0</v>
      </c>
      <c r="AP44" s="58">
        <f t="shared" ca="1" si="383"/>
        <v>0</v>
      </c>
      <c r="AQ44" s="54">
        <f t="shared" ca="1" si="14"/>
        <v>0</v>
      </c>
      <c r="AR44" s="57">
        <f t="shared" si="384"/>
        <v>0</v>
      </c>
      <c r="AS44" s="58">
        <f t="shared" si="384"/>
        <v>0</v>
      </c>
      <c r="AT44" s="58">
        <f t="shared" si="384"/>
        <v>0</v>
      </c>
      <c r="AU44" s="58">
        <f t="shared" ca="1" si="384"/>
        <v>0</v>
      </c>
      <c r="AV44" s="54">
        <f t="shared" ca="1" si="16"/>
        <v>0</v>
      </c>
      <c r="AW44" s="59">
        <f t="shared" si="385"/>
        <v>0</v>
      </c>
      <c r="AX44" s="60">
        <f t="shared" si="385"/>
        <v>0</v>
      </c>
      <c r="AY44" s="60">
        <f t="shared" si="385"/>
        <v>0</v>
      </c>
      <c r="AZ44" s="60">
        <f t="shared" ca="1" si="385"/>
        <v>0</v>
      </c>
      <c r="BA44" s="234">
        <f>BA43</f>
        <v>0</v>
      </c>
      <c r="BB44" s="228">
        <f t="shared" si="386"/>
        <v>0</v>
      </c>
      <c r="BC44" s="228">
        <f t="shared" si="386"/>
        <v>0</v>
      </c>
      <c r="BD44" s="228">
        <f t="shared" ca="1" si="386"/>
        <v>0</v>
      </c>
      <c r="BE44" s="54">
        <f t="shared" ca="1" si="19"/>
        <v>0</v>
      </c>
      <c r="BF44" s="228">
        <f t="shared" si="387"/>
        <v>0</v>
      </c>
      <c r="BG44" s="228">
        <f t="shared" ca="1" si="387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403">IF(BA44&lt;&gt;0,(Q44/13)/BA44,0)</f>
        <v>0</v>
      </c>
      <c r="BK44" s="61">
        <f t="shared" ref="BK44" ca="1" si="404">IF(BD44&lt;&gt;0,(T44/13)/BD44,0)</f>
        <v>0</v>
      </c>
      <c r="BL44" s="227">
        <f t="shared" ref="BL44:BQ44" si="405">BL32+BL38+BL43</f>
        <v>0</v>
      </c>
      <c r="BM44" s="228">
        <f t="shared" ca="1" si="405"/>
        <v>0</v>
      </c>
      <c r="BN44" s="227">
        <f t="shared" si="405"/>
        <v>0</v>
      </c>
      <c r="BO44" s="228">
        <f t="shared" ca="1" si="405"/>
        <v>0</v>
      </c>
      <c r="BP44" s="227">
        <f t="shared" si="405"/>
        <v>0</v>
      </c>
      <c r="BQ44" s="228">
        <f t="shared" ca="1" si="405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406">BT32+BT38+BT43</f>
        <v>0</v>
      </c>
      <c r="BU44" s="228">
        <f t="shared" si="406"/>
        <v>0</v>
      </c>
      <c r="BV44" s="228">
        <f t="shared" si="406"/>
        <v>0</v>
      </c>
      <c r="BW44" s="228">
        <f t="shared" si="406"/>
        <v>0</v>
      </c>
      <c r="BX44" s="228">
        <f t="shared" si="406"/>
        <v>0</v>
      </c>
      <c r="BY44" s="56">
        <f t="shared" ca="1" si="406"/>
        <v>0</v>
      </c>
      <c r="BZ44" s="54">
        <f t="shared" ca="1" si="25"/>
        <v>0</v>
      </c>
      <c r="CA44" s="332">
        <f t="shared" ref="CA44:CF44" si="407">CA32+CA38+CA43</f>
        <v>0</v>
      </c>
      <c r="CB44" s="53">
        <f t="shared" si="407"/>
        <v>0</v>
      </c>
      <c r="CC44" s="53">
        <f t="shared" si="407"/>
        <v>0</v>
      </c>
      <c r="CD44" s="53">
        <f t="shared" si="407"/>
        <v>0</v>
      </c>
      <c r="CE44" s="53">
        <f t="shared" si="407"/>
        <v>0</v>
      </c>
      <c r="CF44" s="53">
        <f t="shared" ca="1" si="407"/>
        <v>0</v>
      </c>
      <c r="CG44" s="54">
        <f t="shared" ca="1" si="28"/>
        <v>0</v>
      </c>
      <c r="CH44" s="332">
        <f t="shared" ref="CH44:CM44" si="408">CH32+CH38+CH43</f>
        <v>0</v>
      </c>
      <c r="CI44" s="53">
        <f t="shared" si="408"/>
        <v>0</v>
      </c>
      <c r="CJ44" s="53">
        <f t="shared" si="408"/>
        <v>0</v>
      </c>
      <c r="CK44" s="53">
        <f t="shared" si="408"/>
        <v>0</v>
      </c>
      <c r="CL44" s="53">
        <f t="shared" si="408"/>
        <v>0</v>
      </c>
      <c r="CM44" s="53">
        <f t="shared" ca="1" si="408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>
        <f>CU32+CU38+CU43</f>
        <v>0</v>
      </c>
      <c r="CW44" s="55">
        <f>CW43</f>
        <v>0</v>
      </c>
      <c r="CX44" s="56">
        <f ca="1">CX43</f>
        <v>0</v>
      </c>
      <c r="CY44" s="54">
        <f t="shared" ca="1" si="36"/>
        <v>0</v>
      </c>
      <c r="CZ44" s="276"/>
      <c r="DA44" s="277"/>
      <c r="DB44" s="277"/>
      <c r="DC44" s="278"/>
    </row>
    <row r="45" spans="1:107" x14ac:dyDescent="0.25">
      <c r="A45" s="44" t="s">
        <v>301</v>
      </c>
      <c r="B45" s="44">
        <v>2018</v>
      </c>
      <c r="C45" s="88">
        <v>27</v>
      </c>
      <c r="D45" s="97">
        <f t="shared" ref="D45" si="409">G45*H45</f>
        <v>0</v>
      </c>
      <c r="E45" s="201">
        <f t="shared" ref="E45" si="410">IFERROR(D45*F45,0)</f>
        <v>0</v>
      </c>
      <c r="F45" s="181">
        <f t="shared" si="45"/>
        <v>0</v>
      </c>
      <c r="G45" s="175">
        <f t="shared" ref="G45:I50" si="411">IFERROR(VLOOKUP($B45 &amp; $C45&amp;G$4&amp;$A45,tblForecast,G$2,FALSE),0)</f>
        <v>0</v>
      </c>
      <c r="H45" s="202">
        <f t="shared" si="411"/>
        <v>0</v>
      </c>
      <c r="I45" s="202">
        <f t="shared" si="411"/>
        <v>0</v>
      </c>
      <c r="J45" s="175">
        <f>IFERROR(VLOOKUP($B45 &amp; $C45&amp;J$4&amp;$A45,tblForecast,J$2,FALSE),0)+IFERROR(VLOOKUP($B45 &amp; $C45 &amp; J$4 &amp; $A45,tblForecast,J$2+1,FALSE),0)</f>
        <v>0</v>
      </c>
      <c r="K45" s="296">
        <f>IFERROR(VLOOKUP($B45 &amp; $C45&amp;K$4&amp;$A45,tblForecast,K$2+2,FALSE),0)</f>
        <v>0</v>
      </c>
      <c r="L45" s="90">
        <f t="shared" ref="L45" si="412">Q45*AM45</f>
        <v>0</v>
      </c>
      <c r="M45" s="90">
        <f t="shared" ref="M45" si="413">R45*AN45</f>
        <v>0</v>
      </c>
      <c r="N45" s="90">
        <f t="shared" ref="N45" si="414">S45*AO45</f>
        <v>0</v>
      </c>
      <c r="O45" s="90">
        <f t="shared" ref="O45" ca="1" si="415">T45*AP45</f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50" si="416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" si="417">IFERROR(L45*AD45,0)</f>
        <v>0</v>
      </c>
      <c r="Z45" s="90">
        <f t="shared" ref="Z45" si="418">IFERROR(M45*AE45,0)</f>
        <v>0</v>
      </c>
      <c r="AA45" s="90">
        <f t="shared" ref="AA45" si="419">IFERROR(N45*AF45,0)</f>
        <v>0</v>
      </c>
      <c r="AB45" s="90">
        <f t="shared" ref="AB45" ca="1" si="420">IFERROR(O45*AG45,0)</f>
        <v>0</v>
      </c>
      <c r="AC45" s="91">
        <f t="shared" ca="1" si="9"/>
        <v>0</v>
      </c>
      <c r="AD45" s="75">
        <f t="shared" ref="AD45" si="421">IF(AM45&lt;&gt;0,1-AR45/AM45,0)</f>
        <v>0</v>
      </c>
      <c r="AE45" s="93">
        <f t="shared" ref="AE45" si="422">IF(AN45&lt;&gt;0,1-AS45/AN45,0)</f>
        <v>0</v>
      </c>
      <c r="AF45" s="93">
        <f t="shared" ref="AF45" si="423">IF(AO45&lt;&gt;0,1-AT45/AO45,0)</f>
        <v>0</v>
      </c>
      <c r="AG45" s="93">
        <f t="shared" ref="AG45" ca="1" si="424">IF(AP45&lt;&gt;0,1-AU45/AP45,0)</f>
        <v>0</v>
      </c>
      <c r="AH45" s="104">
        <f>IFERROR(VLOOKUP($B45 &amp; $C45&amp;AH$4,tblForecast,AH$2,FALSE),0)</f>
        <v>0</v>
      </c>
      <c r="AI45" s="94">
        <f t="shared" ref="AI45:AJ50" si="425">IFERROR(VLOOKUP($B45 &amp; $C45&amp;AI$4,tblForecast,AI$2,FALSE),0)</f>
        <v>0</v>
      </c>
      <c r="AJ45" s="94">
        <f t="shared" si="425"/>
        <v>0</v>
      </c>
      <c r="AK45" s="94">
        <f ca="1">IFERROR(CF45/BY45,0)</f>
        <v>0</v>
      </c>
      <c r="AL45" s="91">
        <f t="shared" ref="AL45" ca="1" si="426">IFERROR(AH45/AK45-1,)</f>
        <v>0</v>
      </c>
      <c r="AM45" s="104">
        <f>IFERROR(VLOOKUP($B45 &amp; $C45&amp;AM$4,tblForecast,AM$2,FALSE),0)</f>
        <v>0</v>
      </c>
      <c r="AN45" s="94">
        <f t="shared" ref="AN45:AO50" si="427">IFERROR(VLOOKUP($B45 &amp; $C45&amp;AN$4,tblForecast,AN$2,FALSE),0)</f>
        <v>0</v>
      </c>
      <c r="AO45" s="94">
        <f t="shared" si="427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50" si="428">IFERROR(VLOOKUP($B45 &amp; $C45&amp;AS$4,tblForecast,AS$2,FALSE),0)</f>
        <v>0</v>
      </c>
      <c r="AT45" s="94">
        <f t="shared" si="428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385"/>
        <v>0</v>
      </c>
      <c r="AX45" s="181">
        <f t="shared" si="385"/>
        <v>0</v>
      </c>
      <c r="AY45" s="181">
        <f t="shared" si="385"/>
        <v>0</v>
      </c>
      <c r="AZ45" s="181">
        <f t="shared" ca="1" si="385"/>
        <v>0</v>
      </c>
      <c r="BA45" s="225">
        <f t="shared" ref="BA45" si="429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50" si="430">IFERROR(VLOOKUP($B45 &amp; $C45&amp;BC$4,tblForecast,BC$2,FALSE),0)</f>
        <v>0</v>
      </c>
      <c r="BD45" s="226">
        <f t="shared" ref="BD45" ca="1" si="431">CX45+BG45</f>
        <v>0</v>
      </c>
      <c r="BE45" s="176">
        <f t="shared" ca="1" si="19"/>
        <v>0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0</v>
      </c>
      <c r="BH45" s="178">
        <f t="shared" ref="BH45" si="432">IF(Q45&lt;&gt;0,BA45/Q45,0)</f>
        <v>0</v>
      </c>
      <c r="BI45" s="186">
        <f t="shared" ref="BI45" ca="1" si="433">IF(T45&lt;&gt;0,BD45/T45,0)</f>
        <v>0</v>
      </c>
      <c r="BJ45" s="183">
        <f t="shared" ref="BJ45" si="434">IF(BA45&lt;&gt;0,Q45/BA45,0)</f>
        <v>0</v>
      </c>
      <c r="BK45" s="96">
        <f t="shared" ref="BK45" ca="1" si="435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0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50" si="436">IFERROR(VLOOKUP($B45 &amp; $C45&amp;BT$4,tblForecast,BT$2,FALSE),0)</f>
        <v>0</v>
      </c>
      <c r="BU45" s="226">
        <f t="shared" si="436"/>
        <v>0</v>
      </c>
      <c r="BV45" s="226">
        <f>IFERROR(VLOOKUP($B45 &amp; $C45&amp;BV$4,tblForecast,BV$2,FALSE),0)</f>
        <v>0</v>
      </c>
      <c r="BW45" s="226">
        <f t="shared" ref="BW45:BX50" si="437">IFERROR(VLOOKUP($B45 &amp; $C45&amp;BW$4,tblForecast,BW$2,FALSE),0)</f>
        <v>0</v>
      </c>
      <c r="BX45" s="226">
        <f t="shared" si="437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50" si="438">IFERROR(VLOOKUP($B45 &amp; $C45&amp;CA$4,tblForecast,CA$2,FALSE),0)</f>
        <v>0</v>
      </c>
      <c r="CB45" s="90">
        <f t="shared" si="438"/>
        <v>0</v>
      </c>
      <c r="CC45" s="90">
        <f>IFERROR(VLOOKUP($B45 &amp; $C45&amp;CC$4,tblForecast,CC$2,FALSE),0)</f>
        <v>0</v>
      </c>
      <c r="CD45" s="90">
        <f t="shared" ref="CD45:CE50" si="439">IFERROR(VLOOKUP($B45 &amp; $C45&amp;CD$4,tblForecast,CD$2,FALSE),0)</f>
        <v>0</v>
      </c>
      <c r="CE45" s="90">
        <f t="shared" si="439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50" si="440">IFERROR(VLOOKUP($B45 &amp; $C45&amp;CH$4,tblForecast,CH$2,FALSE),0)</f>
        <v>0</v>
      </c>
      <c r="CI45" s="90">
        <f t="shared" si="440"/>
        <v>0</v>
      </c>
      <c r="CJ45" s="90">
        <f>IFERROR(VLOOKUP($B45 &amp; $C45&amp;CJ$4,tblForecast,CJ$2,FALSE),0)</f>
        <v>0</v>
      </c>
      <c r="CK45" s="90">
        <f t="shared" ref="CK45:CL50" si="441">IFERROR(VLOOKUP($B45 &amp; $C45&amp;CK$4,tblForecast,CK$2,FALSE),0)</f>
        <v>0</v>
      </c>
      <c r="CL45" s="90">
        <f t="shared" si="441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>
        <f>IFERROR(VLOOKUP($B45 &amp; $C45&amp;CU$4,tblForecast,CU$2,FALSE),0)</f>
        <v>0</v>
      </c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6">
        <f>IFERROR(VLOOKUP(Brand&amp;Channel&amp;Country&amp;$C45,tblDiscount,6,FALSE),0)</f>
        <v>0</v>
      </c>
      <c r="DA45" s="277">
        <f t="shared" ref="DA45" si="442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301</v>
      </c>
      <c r="B46" s="44">
        <v>2018</v>
      </c>
      <c r="C46" s="88">
        <v>28</v>
      </c>
      <c r="D46" s="97">
        <f t="shared" ref="D46:D47" si="443">G46*H46</f>
        <v>0</v>
      </c>
      <c r="E46" s="201">
        <f t="shared" ref="E46:E47" si="444">IFERROR(D46*F46,0)</f>
        <v>0</v>
      </c>
      <c r="F46" s="181">
        <f t="shared" ref="F46:F47" si="445">IF(H46&lt;&gt;0,1-I46/H46,0)</f>
        <v>0</v>
      </c>
      <c r="G46" s="175">
        <f t="shared" si="411"/>
        <v>0</v>
      </c>
      <c r="H46" s="202">
        <f t="shared" si="411"/>
        <v>0</v>
      </c>
      <c r="I46" s="202">
        <f t="shared" si="411"/>
        <v>0</v>
      </c>
      <c r="J46" s="175">
        <f>IFERROR(VLOOKUP($B46 &amp; $C46&amp;J$4&amp;$A46,tblForecast,J$2,FALSE),0)+IFERROR(VLOOKUP($B46 &amp; $C46 &amp; J$4 &amp; $A46,tblForecast,J$2+1,FALSE),0)</f>
        <v>0</v>
      </c>
      <c r="K46" s="296">
        <f>IFERROR(VLOOKUP($B46 &amp; $C46&amp;K$4&amp;$A46,tblForecast,K$2+2,FALSE),0)</f>
        <v>0</v>
      </c>
      <c r="L46" s="90">
        <f t="shared" ref="L46:L47" si="446">Q46*AM46</f>
        <v>0</v>
      </c>
      <c r="M46" s="90">
        <f t="shared" ref="M46:M47" si="447">R46*AN46</f>
        <v>0</v>
      </c>
      <c r="N46" s="90">
        <f t="shared" ref="N46:N47" si="448">S46*AO46</f>
        <v>0</v>
      </c>
      <c r="O46" s="90">
        <f t="shared" ref="O46:O47" ca="1" si="449">T46*AP46</f>
        <v>0</v>
      </c>
      <c r="P46" s="91">
        <f t="shared" ref="P46:P47" ca="1" si="450">IFERROR(L46/O46-1,)</f>
        <v>0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416"/>
        <v>0</v>
      </c>
      <c r="T46" s="238">
        <f ca="1">SUMIFS(OFFSET(tblForecast,,T$2,,1),OFFSET(tblForecast,,,,1),$B46-IF(CompareVer="LY",1,0)&amp; $C46 &amp;T$4)</f>
        <v>0</v>
      </c>
      <c r="U46" s="91">
        <f t="shared" ref="U46:U47" ca="1" si="451">IFERROR(Q46/T46-1,)</f>
        <v>0</v>
      </c>
      <c r="V46" s="247">
        <f t="shared" ref="V46:V47" si="452">IFERROR(IF(Q45&lt;&gt;0,Q46/Q45,0),0)</f>
        <v>0</v>
      </c>
      <c r="W46" s="327">
        <f t="shared" ref="W46:W47" si="453">IFERROR(IF(R45&lt;&gt;0,R46/R45,0),0)</f>
        <v>0</v>
      </c>
      <c r="X46" s="248">
        <f t="shared" ref="X46:X47" ca="1" si="454">IFERROR(IF(T45&lt;&gt;0,T46/T45,0),0)</f>
        <v>0</v>
      </c>
      <c r="Y46" s="97">
        <f t="shared" ref="Y46:Y47" si="455">IFERROR(L46*AD46,0)</f>
        <v>0</v>
      </c>
      <c r="Z46" s="90">
        <f t="shared" ref="Z46:Z47" si="456">IFERROR(M46*AE46,0)</f>
        <v>0</v>
      </c>
      <c r="AA46" s="90">
        <f t="shared" ref="AA46:AA47" si="457">IFERROR(N46*AF46,0)</f>
        <v>0</v>
      </c>
      <c r="AB46" s="90">
        <f t="shared" ref="AB46:AB47" ca="1" si="458">IFERROR(O46*AG46,0)</f>
        <v>0</v>
      </c>
      <c r="AC46" s="91">
        <f t="shared" ref="AC46:AC47" ca="1" si="459">IFERROR(Y46/AB46-1,)</f>
        <v>0</v>
      </c>
      <c r="AD46" s="75">
        <f t="shared" ref="AD46:AD47" si="460">IF(AM46&lt;&gt;0,1-AR46/AM46,0)</f>
        <v>0</v>
      </c>
      <c r="AE46" s="93">
        <f t="shared" ref="AE46:AE47" si="461">IF(AN46&lt;&gt;0,1-AS46/AN46,0)</f>
        <v>0</v>
      </c>
      <c r="AF46" s="93">
        <f t="shared" ref="AF46:AF47" si="462">IF(AO46&lt;&gt;0,1-AT46/AO46,0)</f>
        <v>0</v>
      </c>
      <c r="AG46" s="93">
        <f t="shared" ref="AG46:AG47" ca="1" si="463">IF(AP46&lt;&gt;0,1-AU46/AP46,0)</f>
        <v>0</v>
      </c>
      <c r="AH46" s="104">
        <f>IFERROR(VLOOKUP($B46 &amp; $C46&amp;AH$4,tblForecast,AH$2,FALSE),0)</f>
        <v>0</v>
      </c>
      <c r="AI46" s="94">
        <f t="shared" si="425"/>
        <v>0</v>
      </c>
      <c r="AJ46" s="94">
        <f t="shared" si="425"/>
        <v>0</v>
      </c>
      <c r="AK46" s="94">
        <f ca="1">IFERROR(CF46/BY46,0)</f>
        <v>0</v>
      </c>
      <c r="AL46" s="91">
        <f t="shared" ref="AL46:AL47" ca="1" si="464">IFERROR(AH46/AK46-1,)</f>
        <v>0</v>
      </c>
      <c r="AM46" s="104">
        <f>IFERROR(VLOOKUP($B46 &amp; $C46&amp;AM$4,tblForecast,AM$2,FALSE),0)</f>
        <v>0</v>
      </c>
      <c r="AN46" s="94">
        <f t="shared" si="427"/>
        <v>0</v>
      </c>
      <c r="AO46" s="94">
        <f t="shared" si="427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ref="AQ46:AQ47" ca="1" si="465">IFERROR(AM46/AP46-1,)</f>
        <v>0</v>
      </c>
      <c r="AR46" s="104">
        <f>IFERROR(VLOOKUP($B46 &amp; $C46&amp;AR$4,tblForecast,AR$2,FALSE),0)</f>
        <v>0</v>
      </c>
      <c r="AS46" s="94">
        <f t="shared" si="428"/>
        <v>0</v>
      </c>
      <c r="AT46" s="94">
        <f t="shared" si="428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ref="AV46:AV47" ca="1" si="466">IFERROR(AR46/AU46-1,)</f>
        <v>0</v>
      </c>
      <c r="AW46" s="180">
        <f t="shared" ref="AW46:AW47" si="467">IFERROR((AM46/AH46-1)*-1,0)</f>
        <v>0</v>
      </c>
      <c r="AX46" s="181">
        <f t="shared" ref="AX46:AX47" si="468">IFERROR((AN46/AI46-1)*-1,0)</f>
        <v>0</v>
      </c>
      <c r="AY46" s="181">
        <f t="shared" ref="AY46:AY47" si="469">IFERROR((AO46/AJ46-1)*-1,0)</f>
        <v>0</v>
      </c>
      <c r="AZ46" s="181">
        <f t="shared" ref="AZ46:AZ47" ca="1" si="470">IFERROR((AP46/AK46-1)*-1,0)</f>
        <v>0</v>
      </c>
      <c r="BA46" s="225">
        <f t="shared" ref="BA46:BA47" si="471">CW46+BF46</f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430"/>
        <v>0</v>
      </c>
      <c r="BD46" s="226">
        <f t="shared" ref="BD46:BD47" ca="1" si="472">CX46+BG46</f>
        <v>0</v>
      </c>
      <c r="BE46" s="176">
        <f t="shared" ref="BE46:BE47" ca="1" si="473">IFERROR(BA46/BD46-1,)</f>
        <v>0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0</v>
      </c>
      <c r="BH46" s="178">
        <f t="shared" ref="BH46:BH47" si="474">IF(Q46&lt;&gt;0,BA46/Q46,0)</f>
        <v>0</v>
      </c>
      <c r="BI46" s="186">
        <f t="shared" ref="BI46:BI47" ca="1" si="475">IF(T46&lt;&gt;0,BD46/T46,0)</f>
        <v>0</v>
      </c>
      <c r="BJ46" s="183">
        <f t="shared" ref="BJ46:BJ47" si="476">IF(BA46&lt;&gt;0,Q46/BA46,0)</f>
        <v>0</v>
      </c>
      <c r="BK46" s="96">
        <f t="shared" ref="BK46:BK47" ca="1" si="477">IF(BD46&lt;&gt;0,T46/BD46,0)</f>
        <v>0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ref="BR46:BR47" si="478">BN46-BP46</f>
        <v>0</v>
      </c>
      <c r="BS46" s="226">
        <f t="shared" ref="BS46:BS47" ca="1" si="479">BO46-BQ46</f>
        <v>0</v>
      </c>
      <c r="BT46" s="225">
        <f t="shared" si="436"/>
        <v>0</v>
      </c>
      <c r="BU46" s="226">
        <f t="shared" si="436"/>
        <v>0</v>
      </c>
      <c r="BV46" s="226">
        <f>IFERROR(VLOOKUP($B46 &amp; $C46&amp;BV$4,tblForecast,BV$2,FALSE),0)</f>
        <v>0</v>
      </c>
      <c r="BW46" s="226">
        <f t="shared" si="437"/>
        <v>0</v>
      </c>
      <c r="BX46" s="226">
        <f t="shared" si="437"/>
        <v>0</v>
      </c>
      <c r="BY46" s="175">
        <f ca="1">SUMIFS(OFFSET(tblForecast,,BY$2,,1),OFFSET(tblForecast,,,,1),$B46-IF(CompareVer="LY",1,0)&amp; $C46 &amp;BY$4)</f>
        <v>0</v>
      </c>
      <c r="BZ46" s="176">
        <f t="shared" ref="BZ46:BZ47" ca="1" si="480">IFERROR(BV46/BY46-1,)</f>
        <v>0</v>
      </c>
      <c r="CA46" s="90">
        <f t="shared" si="438"/>
        <v>0</v>
      </c>
      <c r="CB46" s="90">
        <f t="shared" si="438"/>
        <v>0</v>
      </c>
      <c r="CC46" s="90">
        <f>IFERROR(VLOOKUP($B46 &amp; $C46&amp;CC$4,tblForecast,CC$2,FALSE),0)</f>
        <v>0</v>
      </c>
      <c r="CD46" s="90">
        <f t="shared" si="439"/>
        <v>0</v>
      </c>
      <c r="CE46" s="90">
        <f t="shared" si="439"/>
        <v>0</v>
      </c>
      <c r="CF46" s="90">
        <f ca="1">SUMIFS(OFFSET(tblForecast,,CF$2,,1),OFFSET(tblForecast,,,,1),$B46-IF(CompareVer="LY",1,0)&amp; $C46 &amp;CF$4)</f>
        <v>0</v>
      </c>
      <c r="CG46" s="176">
        <f t="shared" ref="CG46:CG47" ca="1" si="481">IFERROR(CC46/CF46-1,)</f>
        <v>0</v>
      </c>
      <c r="CH46" s="90">
        <f t="shared" si="440"/>
        <v>0</v>
      </c>
      <c r="CI46" s="90">
        <f t="shared" si="440"/>
        <v>0</v>
      </c>
      <c r="CJ46" s="90">
        <f>IFERROR(VLOOKUP($B46 &amp; $C46&amp;CJ$4,tblForecast,CJ$2,FALSE),0)</f>
        <v>0</v>
      </c>
      <c r="CK46" s="90">
        <f t="shared" si="441"/>
        <v>0</v>
      </c>
      <c r="CL46" s="90">
        <f t="shared" si="441"/>
        <v>0</v>
      </c>
      <c r="CM46" s="90">
        <f ca="1">SUMIFS(OFFSET(tblForecast,,CM$2,,1),OFFSET(tblForecast,,,,1),$B46-IF(CompareVer="LY",1,0)&amp; $C46 &amp;CM$4)</f>
        <v>0</v>
      </c>
      <c r="CN46" s="176">
        <f t="shared" ref="CN46:CN47" ca="1" si="482">IFERROR(CJ46/CM46-1,)</f>
        <v>0</v>
      </c>
      <c r="CO46" s="177">
        <f t="shared" ref="CO46:CO47" si="483">IFERROR(CE46/BX46,0)</f>
        <v>0</v>
      </c>
      <c r="CP46" s="221">
        <f t="shared" ref="CP46:CP47" ca="1" si="484">IFERROR(CF46/BY46,0)</f>
        <v>0</v>
      </c>
      <c r="CQ46" s="176">
        <f t="shared" ref="CQ46:CQ47" ca="1" si="485">IFERROR(CL46/CP46-1,)</f>
        <v>0</v>
      </c>
      <c r="CR46" s="177">
        <f t="shared" ref="CR46:CR47" si="486">IFERROR(CL46/BX46,0)</f>
        <v>0</v>
      </c>
      <c r="CS46" s="221">
        <f t="shared" ref="CS46:CS47" ca="1" si="487">IFERROR(CM46/BY46,0)</f>
        <v>0</v>
      </c>
      <c r="CT46" s="176">
        <f t="shared" ref="CT46:CT47" ca="1" si="488">IFERROR(CO46/CS46-1,)</f>
        <v>0</v>
      </c>
      <c r="CU46" s="44">
        <f>IFERROR(VLOOKUP($B46 &amp; $C46&amp;CU$4,tblForecast,CU$2,FALSE),0)</f>
        <v>0</v>
      </c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ref="CY46:CY47" ca="1" si="489">IFERROR(CW46/CX46-1,)</f>
        <v>0</v>
      </c>
      <c r="CZ46" s="276">
        <f>IFERROR(VLOOKUP(Brand&amp;Channel&amp;Country&amp;$C46,tblDiscount,6,FALSE),0)</f>
        <v>0</v>
      </c>
      <c r="DA46" s="277">
        <f t="shared" ref="DA46:DA47" si="490">(1-CZ46)*DB46</f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301</v>
      </c>
      <c r="B47" s="44">
        <v>2018</v>
      </c>
      <c r="C47" s="88">
        <v>29</v>
      </c>
      <c r="D47" s="97">
        <f t="shared" si="443"/>
        <v>0</v>
      </c>
      <c r="E47" s="201">
        <f t="shared" si="444"/>
        <v>0</v>
      </c>
      <c r="F47" s="181">
        <f t="shared" si="445"/>
        <v>0</v>
      </c>
      <c r="G47" s="175">
        <f t="shared" si="411"/>
        <v>0</v>
      </c>
      <c r="H47" s="202">
        <f t="shared" si="411"/>
        <v>0</v>
      </c>
      <c r="I47" s="202">
        <f t="shared" si="411"/>
        <v>0</v>
      </c>
      <c r="J47" s="175">
        <f>IFERROR(VLOOKUP($B47 &amp; $C47&amp;J$4&amp;$A47,tblForecast,J$2,FALSE),0)+IFERROR(VLOOKUP($B47 &amp; $C47 &amp; J$4 &amp; $A47,tblForecast,J$2+1,FALSE),0)</f>
        <v>0</v>
      </c>
      <c r="K47" s="296">
        <f>IFERROR(VLOOKUP($B47 &amp; $C47&amp;K$4&amp;$A47,tblForecast,K$2+2,FALSE),0)</f>
        <v>0</v>
      </c>
      <c r="L47" s="90">
        <f t="shared" si="446"/>
        <v>0</v>
      </c>
      <c r="M47" s="90">
        <f t="shared" si="447"/>
        <v>0</v>
      </c>
      <c r="N47" s="90">
        <f t="shared" si="448"/>
        <v>0</v>
      </c>
      <c r="O47" s="90">
        <f t="shared" ca="1" si="449"/>
        <v>0</v>
      </c>
      <c r="P47" s="91">
        <f t="shared" ca="1" si="450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416"/>
        <v>0</v>
      </c>
      <c r="T47" s="238">
        <f ca="1">SUMIFS(OFFSET(tblForecast,,T$2,,1),OFFSET(tblForecast,,,,1),$B47-IF(CompareVer="LY",1,0)&amp; $C47 &amp;T$4)</f>
        <v>0</v>
      </c>
      <c r="U47" s="91">
        <f t="shared" ca="1" si="451"/>
        <v>0</v>
      </c>
      <c r="V47" s="247">
        <f t="shared" si="452"/>
        <v>0</v>
      </c>
      <c r="W47" s="327">
        <f t="shared" si="453"/>
        <v>0</v>
      </c>
      <c r="X47" s="248">
        <f t="shared" ca="1" si="454"/>
        <v>0</v>
      </c>
      <c r="Y47" s="97">
        <f t="shared" si="455"/>
        <v>0</v>
      </c>
      <c r="Z47" s="90">
        <f t="shared" si="456"/>
        <v>0</v>
      </c>
      <c r="AA47" s="90">
        <f t="shared" si="457"/>
        <v>0</v>
      </c>
      <c r="AB47" s="90">
        <f t="shared" ca="1" si="458"/>
        <v>0</v>
      </c>
      <c r="AC47" s="91">
        <f t="shared" ca="1" si="459"/>
        <v>0</v>
      </c>
      <c r="AD47" s="75">
        <f t="shared" si="460"/>
        <v>0</v>
      </c>
      <c r="AE47" s="93">
        <f t="shared" si="461"/>
        <v>0</v>
      </c>
      <c r="AF47" s="93">
        <f t="shared" si="462"/>
        <v>0</v>
      </c>
      <c r="AG47" s="93">
        <f t="shared" ca="1" si="463"/>
        <v>0</v>
      </c>
      <c r="AH47" s="104">
        <f>IFERROR(VLOOKUP($B47 &amp; $C47&amp;AH$4,tblForecast,AH$2,FALSE),0)</f>
        <v>0</v>
      </c>
      <c r="AI47" s="94">
        <f t="shared" si="425"/>
        <v>0</v>
      </c>
      <c r="AJ47" s="94">
        <f t="shared" si="425"/>
        <v>0</v>
      </c>
      <c r="AK47" s="94">
        <f ca="1">IFERROR(CF47/BY47,0)</f>
        <v>0</v>
      </c>
      <c r="AL47" s="91">
        <f t="shared" ca="1" si="464"/>
        <v>0</v>
      </c>
      <c r="AM47" s="104">
        <f>IFERROR(VLOOKUP($B47 &amp; $C47&amp;AM$4,tblForecast,AM$2,FALSE),0)</f>
        <v>0</v>
      </c>
      <c r="AN47" s="94">
        <f t="shared" si="427"/>
        <v>0</v>
      </c>
      <c r="AO47" s="94">
        <f t="shared" si="427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465"/>
        <v>0</v>
      </c>
      <c r="AR47" s="104">
        <f>IFERROR(VLOOKUP($B47 &amp; $C47&amp;AR$4,tblForecast,AR$2,FALSE),0)</f>
        <v>0</v>
      </c>
      <c r="AS47" s="94">
        <f t="shared" si="428"/>
        <v>0</v>
      </c>
      <c r="AT47" s="94">
        <f t="shared" si="428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466"/>
        <v>0</v>
      </c>
      <c r="AW47" s="180">
        <f t="shared" si="467"/>
        <v>0</v>
      </c>
      <c r="AX47" s="181">
        <f t="shared" si="468"/>
        <v>0</v>
      </c>
      <c r="AY47" s="181">
        <f t="shared" si="469"/>
        <v>0</v>
      </c>
      <c r="AZ47" s="181">
        <f t="shared" ca="1" si="470"/>
        <v>0</v>
      </c>
      <c r="BA47" s="225">
        <f t="shared" si="471"/>
        <v>0</v>
      </c>
      <c r="BB47" s="226">
        <f>IF(IFERROR(VLOOKUP($B47 &amp; $C47&amp;BB$4,tblForecast,BB$2,FALSE),0)=0,BA47,IFERROR(VLOOKUP($B47 &amp; $C47&amp;BB$4,tblForecast,BB$2,FALSE),0))</f>
        <v>0</v>
      </c>
      <c r="BC47" s="226">
        <f t="shared" si="430"/>
        <v>0</v>
      </c>
      <c r="BD47" s="226">
        <f t="shared" ca="1" si="472"/>
        <v>0</v>
      </c>
      <c r="BE47" s="176">
        <f t="shared" ca="1" si="473"/>
        <v>0</v>
      </c>
      <c r="BF47" s="226">
        <f>IFERROR(VLOOKUP($B47 &amp; $C47&amp;BF$4,tblForecast,BF$2,FALSE),0)</f>
        <v>0</v>
      </c>
      <c r="BG47" s="226">
        <f ca="1">SUMIFS(OFFSET(tblForecast,,BG$2,,1),OFFSET(tblForecast,,,,1),$B47-IF(CompareVer="LY",1,0)&amp; $C47 &amp;BG$4)</f>
        <v>0</v>
      </c>
      <c r="BH47" s="178">
        <f t="shared" si="474"/>
        <v>0</v>
      </c>
      <c r="BI47" s="186">
        <f t="shared" ca="1" si="475"/>
        <v>0</v>
      </c>
      <c r="BJ47" s="183">
        <f t="shared" si="476"/>
        <v>0</v>
      </c>
      <c r="BK47" s="96">
        <f t="shared" ca="1" si="477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78"/>
        <v>0</v>
      </c>
      <c r="BS47" s="226">
        <f t="shared" ca="1" si="479"/>
        <v>0</v>
      </c>
      <c r="BT47" s="225">
        <f t="shared" si="436"/>
        <v>0</v>
      </c>
      <c r="BU47" s="226">
        <f t="shared" si="436"/>
        <v>0</v>
      </c>
      <c r="BV47" s="226">
        <f>IFERROR(VLOOKUP($B47 &amp; $C47&amp;BV$4,tblForecast,BV$2,FALSE),0)</f>
        <v>0</v>
      </c>
      <c r="BW47" s="226">
        <f t="shared" si="437"/>
        <v>0</v>
      </c>
      <c r="BX47" s="226">
        <f t="shared" si="437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480"/>
        <v>0</v>
      </c>
      <c r="CA47" s="90">
        <f t="shared" si="438"/>
        <v>0</v>
      </c>
      <c r="CB47" s="90">
        <f t="shared" si="438"/>
        <v>0</v>
      </c>
      <c r="CC47" s="90">
        <f>IFERROR(VLOOKUP($B47 &amp; $C47&amp;CC$4,tblForecast,CC$2,FALSE),0)</f>
        <v>0</v>
      </c>
      <c r="CD47" s="90">
        <f t="shared" si="439"/>
        <v>0</v>
      </c>
      <c r="CE47" s="90">
        <f t="shared" si="439"/>
        <v>0</v>
      </c>
      <c r="CF47" s="90">
        <f ca="1">SUMIFS(OFFSET(tblForecast,,CF$2,,1),OFFSET(tblForecast,,,,1),$B47-IF(CompareVer="LY",1,0)&amp; $C47 &amp;CF$4)</f>
        <v>0</v>
      </c>
      <c r="CG47" s="176">
        <f t="shared" ca="1" si="481"/>
        <v>0</v>
      </c>
      <c r="CH47" s="90">
        <f t="shared" si="440"/>
        <v>0</v>
      </c>
      <c r="CI47" s="90">
        <f t="shared" si="440"/>
        <v>0</v>
      </c>
      <c r="CJ47" s="90">
        <f>IFERROR(VLOOKUP($B47 &amp; $C47&amp;CJ$4,tblForecast,CJ$2,FALSE),0)</f>
        <v>0</v>
      </c>
      <c r="CK47" s="90">
        <f t="shared" si="441"/>
        <v>0</v>
      </c>
      <c r="CL47" s="90">
        <f t="shared" si="441"/>
        <v>0</v>
      </c>
      <c r="CM47" s="90">
        <f ca="1">SUMIFS(OFFSET(tblForecast,,CM$2,,1),OFFSET(tblForecast,,,,1),$B47-IF(CompareVer="LY",1,0)&amp; $C47 &amp;CM$4)</f>
        <v>0</v>
      </c>
      <c r="CN47" s="176">
        <f t="shared" ca="1" si="482"/>
        <v>0</v>
      </c>
      <c r="CO47" s="177">
        <f t="shared" si="483"/>
        <v>0</v>
      </c>
      <c r="CP47" s="221">
        <f t="shared" ca="1" si="484"/>
        <v>0</v>
      </c>
      <c r="CQ47" s="176">
        <f t="shared" ca="1" si="485"/>
        <v>0</v>
      </c>
      <c r="CR47" s="177">
        <f t="shared" si="486"/>
        <v>0</v>
      </c>
      <c r="CS47" s="221">
        <f t="shared" ca="1" si="487"/>
        <v>0</v>
      </c>
      <c r="CT47" s="176">
        <f t="shared" ca="1" si="488"/>
        <v>0</v>
      </c>
      <c r="CU47" s="44">
        <f>IFERROR(VLOOKUP($B47 &amp; $C47&amp;CU$4,tblForecast,CU$2,FALSE),0)</f>
        <v>0</v>
      </c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489"/>
        <v>0</v>
      </c>
      <c r="CZ47" s="276">
        <f>IFERROR(VLOOKUP(Brand&amp;Channel&amp;Country&amp;$C47,tblDiscount,6,FALSE),0)</f>
        <v>0</v>
      </c>
      <c r="DA47" s="277">
        <f t="shared" si="490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301</v>
      </c>
      <c r="B48" s="44">
        <v>2018</v>
      </c>
      <c r="C48" s="88">
        <v>30</v>
      </c>
      <c r="D48" s="97">
        <f t="shared" ref="D48" si="491">G48*H48</f>
        <v>0</v>
      </c>
      <c r="E48" s="201">
        <f t="shared" ref="E48" si="492">IFERROR(D48*F48,0)</f>
        <v>0</v>
      </c>
      <c r="F48" s="181">
        <f t="shared" ref="F48" si="493">IF(H48&lt;&gt;0,1-I48/H48,0)</f>
        <v>0</v>
      </c>
      <c r="G48" s="175">
        <f t="shared" si="411"/>
        <v>0</v>
      </c>
      <c r="H48" s="202">
        <f t="shared" si="411"/>
        <v>0</v>
      </c>
      <c r="I48" s="202">
        <f t="shared" si="411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$C48&amp;K$4&amp;$A48,tblForecast,K$2+2,FALSE),0)</f>
        <v>0</v>
      </c>
      <c r="L48" s="90">
        <f t="shared" ref="L48" si="494">Q48*AM48</f>
        <v>0</v>
      </c>
      <c r="M48" s="90">
        <f t="shared" ref="M48" si="495">R48*AN48</f>
        <v>0</v>
      </c>
      <c r="N48" s="90">
        <f t="shared" ref="N48" si="496">S48*AO48</f>
        <v>0</v>
      </c>
      <c r="O48" s="90">
        <f t="shared" ref="O48" ca="1" si="497">T48*AP48</f>
        <v>0</v>
      </c>
      <c r="P48" s="91">
        <f t="shared" ref="P48" ca="1" si="498">IFERROR(L48/O48-1,)</f>
        <v>0</v>
      </c>
      <c r="Q48" s="236">
        <f>IFERROR(VLOOKUP($B48 &amp; $C48&amp;Q$4,tblForecast,Q$2,FALSE),0)</f>
        <v>0</v>
      </c>
      <c r="R48" s="238">
        <f>IF(IFERROR(VLOOKUP($B48 &amp; $C48&amp;R$4,tblForecast,R$2,FALSE),0)=0,Q48,IFERROR(VLOOKUP($B48 &amp; $C48&amp;R$4,tblForecast,R$2,FALSE),0))</f>
        <v>0</v>
      </c>
      <c r="S48" s="238">
        <f t="shared" si="416"/>
        <v>0</v>
      </c>
      <c r="T48" s="238">
        <f ca="1">SUMIFS(OFFSET(tblForecast,,T$2,,1),OFFSET(tblForecast,,,,1),$B48-IF(CompareVer="LY",1,0)&amp; $C48 &amp;T$4)</f>
        <v>0</v>
      </c>
      <c r="U48" s="91">
        <f t="shared" ref="U48" ca="1" si="499">IFERROR(Q48/T48-1,)</f>
        <v>0</v>
      </c>
      <c r="V48" s="247">
        <f t="shared" ref="V48" si="500">IFERROR(IF(Q47&lt;&gt;0,Q48/Q47,0),0)</f>
        <v>0</v>
      </c>
      <c r="W48" s="327">
        <f t="shared" ref="W48" si="501">IFERROR(IF(R47&lt;&gt;0,R48/R47,0),0)</f>
        <v>0</v>
      </c>
      <c r="X48" s="248">
        <f t="shared" ref="X48" ca="1" si="502">IFERROR(IF(T47&lt;&gt;0,T48/T47,0),0)</f>
        <v>0</v>
      </c>
      <c r="Y48" s="97">
        <f t="shared" ref="Y48" si="503">IFERROR(L48*AD48,0)</f>
        <v>0</v>
      </c>
      <c r="Z48" s="90">
        <f t="shared" ref="Z48" si="504">IFERROR(M48*AE48,0)</f>
        <v>0</v>
      </c>
      <c r="AA48" s="90">
        <f t="shared" ref="AA48" si="505">IFERROR(N48*AF48,0)</f>
        <v>0</v>
      </c>
      <c r="AB48" s="90">
        <f t="shared" ref="AB48" ca="1" si="506">IFERROR(O48*AG48,0)</f>
        <v>0</v>
      </c>
      <c r="AC48" s="91">
        <f t="shared" ref="AC48" ca="1" si="507">IFERROR(Y48/AB48-1,)</f>
        <v>0</v>
      </c>
      <c r="AD48" s="75">
        <f t="shared" ref="AD48" si="508">IF(AM48&lt;&gt;0,1-AR48/AM48,0)</f>
        <v>0</v>
      </c>
      <c r="AE48" s="93">
        <f t="shared" ref="AE48" si="509">IF(AN48&lt;&gt;0,1-AS48/AN48,0)</f>
        <v>0</v>
      </c>
      <c r="AF48" s="93">
        <f t="shared" ref="AF48" si="510">IF(AO48&lt;&gt;0,1-AT48/AO48,0)</f>
        <v>0</v>
      </c>
      <c r="AG48" s="93">
        <f t="shared" ref="AG48" ca="1" si="511">IF(AP48&lt;&gt;0,1-AU48/AP48,0)</f>
        <v>0</v>
      </c>
      <c r="AH48" s="104">
        <f>IFERROR(VLOOKUP($B48 &amp; $C48&amp;AH$4,tblForecast,AH$2,FALSE),0)</f>
        <v>0</v>
      </c>
      <c r="AI48" s="94">
        <f t="shared" si="425"/>
        <v>0</v>
      </c>
      <c r="AJ48" s="94">
        <f t="shared" si="425"/>
        <v>0</v>
      </c>
      <c r="AK48" s="94">
        <f ca="1">IFERROR(CF48/BY48,0)</f>
        <v>0</v>
      </c>
      <c r="AL48" s="91">
        <f t="shared" ref="AL48" ca="1" si="512">IFERROR(AH48/AK48-1,)</f>
        <v>0</v>
      </c>
      <c r="AM48" s="104">
        <f>IFERROR(VLOOKUP($B48 &amp; $C48&amp;AM$4,tblForecast,AM$2,FALSE),0)</f>
        <v>0</v>
      </c>
      <c r="AN48" s="94">
        <f t="shared" si="427"/>
        <v>0</v>
      </c>
      <c r="AO48" s="94">
        <f t="shared" si="427"/>
        <v>0</v>
      </c>
      <c r="AP48" s="94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91">
        <f t="shared" ref="AQ48" ca="1" si="513">IFERROR(AM48/AP48-1,)</f>
        <v>0</v>
      </c>
      <c r="AR48" s="104">
        <f>IFERROR(VLOOKUP($B48 &amp; $C48&amp;AR$4,tblForecast,AR$2,FALSE),0)</f>
        <v>0</v>
      </c>
      <c r="AS48" s="94">
        <f t="shared" si="428"/>
        <v>0</v>
      </c>
      <c r="AT48" s="94">
        <f t="shared" si="428"/>
        <v>0</v>
      </c>
      <c r="AU48" s="94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91">
        <f t="shared" ref="AV48" ca="1" si="514">IFERROR(AR48/AU48-1,)</f>
        <v>0</v>
      </c>
      <c r="AW48" s="180">
        <f t="shared" ref="AW48" si="515">IFERROR((AM48/AH48-1)*-1,0)</f>
        <v>0</v>
      </c>
      <c r="AX48" s="181">
        <f t="shared" ref="AX48" si="516">IFERROR((AN48/AI48-1)*-1,0)</f>
        <v>0</v>
      </c>
      <c r="AY48" s="181">
        <f t="shared" ref="AY48" si="517">IFERROR((AO48/AJ48-1)*-1,0)</f>
        <v>0</v>
      </c>
      <c r="AZ48" s="181">
        <f t="shared" ref="AZ48" ca="1" si="518">IFERROR((AP48/AK48-1)*-1,0)</f>
        <v>0</v>
      </c>
      <c r="BA48" s="225">
        <f t="shared" ref="BA48" si="519">CW48+BF48</f>
        <v>0</v>
      </c>
      <c r="BB48" s="226">
        <f>IF(IFERROR(VLOOKUP($B48 &amp; $C48&amp;BB$4,tblForecast,BB$2,FALSE),0)=0,BA48,IFERROR(VLOOKUP($B48 &amp; $C48&amp;BB$4,tblForecast,BB$2,FALSE),0))</f>
        <v>0</v>
      </c>
      <c r="BC48" s="226">
        <f t="shared" si="430"/>
        <v>0</v>
      </c>
      <c r="BD48" s="226">
        <f t="shared" ref="BD48" ca="1" si="520">CX48+BG48</f>
        <v>0</v>
      </c>
      <c r="BE48" s="176">
        <f t="shared" ref="BE48" ca="1" si="521">IFERROR(BA48/BD48-1,)</f>
        <v>0</v>
      </c>
      <c r="BF48" s="226">
        <f>IFERROR(VLOOKUP($B48 &amp; $C48&amp;BF$4,tblForecast,BF$2,FALSE),0)</f>
        <v>0</v>
      </c>
      <c r="BG48" s="226">
        <f ca="1">SUMIFS(OFFSET(tblForecast,,BG$2,,1),OFFSET(tblForecast,,,,1),$B48-IF(CompareVer="LY",1,0)&amp; $C48 &amp;BG$4)</f>
        <v>0</v>
      </c>
      <c r="BH48" s="178">
        <f t="shared" ref="BH48" si="522">IF(Q48&lt;&gt;0,BA48/Q48,0)</f>
        <v>0</v>
      </c>
      <c r="BI48" s="186">
        <f t="shared" ref="BI48" ca="1" si="523">IF(T48&lt;&gt;0,BD48/T48,0)</f>
        <v>0</v>
      </c>
      <c r="BJ48" s="183">
        <f t="shared" ref="BJ48" si="524">IF(BA48&lt;&gt;0,Q48/BA48,0)</f>
        <v>0</v>
      </c>
      <c r="BK48" s="96">
        <f t="shared" ref="BK48" ca="1" si="525">IF(BD48&lt;&gt;0,T48/BD48,0)</f>
        <v>0</v>
      </c>
      <c r="BL48" s="225">
        <f>IFERROR(VLOOKUP($B48 &amp; $C48&amp;BL$4,tblForecast,BL$2,FALSE),0)</f>
        <v>0</v>
      </c>
      <c r="BM48" s="226">
        <f ca="1">SUMIFS(OFFSET(tblForecast,,BM$2,,1),OFFSET(tblForecast,,,,1),$B48-IF(CompareVer="LY",1,0)&amp; $C48 &amp;BM$4)</f>
        <v>0</v>
      </c>
      <c r="BN48" s="225">
        <f>IFERROR(VLOOKUP($B48 &amp; $C48&amp;BN$4,tblForecast,BN$2,FALSE),0)</f>
        <v>0</v>
      </c>
      <c r="BO48" s="226">
        <f ca="1">SUMIFS(OFFSET(tblForecast,,BO$2,,1),OFFSET(tblForecast,,,,1),$B48-IF(CompareVer="LY",1,0)&amp; $C48 &amp;BO$4)</f>
        <v>0</v>
      </c>
      <c r="BP48" s="225">
        <f>IFERROR(VLOOKUP($B48 &amp; $C48&amp;BP$4,tblForecast,BP$2,FALSE),0)</f>
        <v>0</v>
      </c>
      <c r="BQ48" s="226">
        <f ca="1">SUMIFS(OFFSET(tblForecast,,BQ$2,,1),OFFSET(tblForecast,,,,1),$B48-IF(CompareVer="LY",1,0)&amp; $C48 &amp;BQ$4)</f>
        <v>0</v>
      </c>
      <c r="BR48" s="225">
        <f t="shared" ref="BR48" si="526">BN48-BP48</f>
        <v>0</v>
      </c>
      <c r="BS48" s="226">
        <f t="shared" ref="BS48" ca="1" si="527">BO48-BQ48</f>
        <v>0</v>
      </c>
      <c r="BT48" s="225">
        <f t="shared" si="436"/>
        <v>0</v>
      </c>
      <c r="BU48" s="226">
        <f t="shared" si="436"/>
        <v>0</v>
      </c>
      <c r="BV48" s="226">
        <f>IFERROR(VLOOKUP($B48 &amp; $C48&amp;BV$4,tblForecast,BV$2,FALSE),0)</f>
        <v>0</v>
      </c>
      <c r="BW48" s="226">
        <f t="shared" si="437"/>
        <v>0</v>
      </c>
      <c r="BX48" s="226">
        <f t="shared" si="437"/>
        <v>0</v>
      </c>
      <c r="BY48" s="175">
        <f ca="1">SUMIFS(OFFSET(tblForecast,,BY$2,,1),OFFSET(tblForecast,,,,1),$B48-IF(CompareVer="LY",1,0)&amp; $C48 &amp;BY$4)</f>
        <v>0</v>
      </c>
      <c r="BZ48" s="176">
        <f t="shared" ref="BZ48" ca="1" si="528">IFERROR(BV48/BY48-1,)</f>
        <v>0</v>
      </c>
      <c r="CA48" s="90">
        <f t="shared" si="438"/>
        <v>0</v>
      </c>
      <c r="CB48" s="90">
        <f t="shared" si="438"/>
        <v>0</v>
      </c>
      <c r="CC48" s="90">
        <f>IFERROR(VLOOKUP($B48 &amp; $C48&amp;CC$4,tblForecast,CC$2,FALSE),0)</f>
        <v>0</v>
      </c>
      <c r="CD48" s="90">
        <f t="shared" si="439"/>
        <v>0</v>
      </c>
      <c r="CE48" s="90">
        <f t="shared" si="439"/>
        <v>0</v>
      </c>
      <c r="CF48" s="90">
        <f ca="1">SUMIFS(OFFSET(tblForecast,,CF$2,,1),OFFSET(tblForecast,,,,1),$B48-IF(CompareVer="LY",1,0)&amp; $C48 &amp;CF$4)</f>
        <v>0</v>
      </c>
      <c r="CG48" s="176">
        <f t="shared" ref="CG48" ca="1" si="529">IFERROR(CC48/CF48-1,)</f>
        <v>0</v>
      </c>
      <c r="CH48" s="90">
        <f t="shared" si="440"/>
        <v>0</v>
      </c>
      <c r="CI48" s="90">
        <f t="shared" si="440"/>
        <v>0</v>
      </c>
      <c r="CJ48" s="90">
        <f>IFERROR(VLOOKUP($B48 &amp; $C48&amp;CJ$4,tblForecast,CJ$2,FALSE),0)</f>
        <v>0</v>
      </c>
      <c r="CK48" s="90">
        <f t="shared" si="441"/>
        <v>0</v>
      </c>
      <c r="CL48" s="90">
        <f t="shared" si="441"/>
        <v>0</v>
      </c>
      <c r="CM48" s="90">
        <f ca="1">SUMIFS(OFFSET(tblForecast,,CM$2,,1),OFFSET(tblForecast,,,,1),$B48-IF(CompareVer="LY",1,0)&amp; $C48 &amp;CM$4)</f>
        <v>0</v>
      </c>
      <c r="CN48" s="176">
        <f t="shared" ref="CN48" ca="1" si="530">IFERROR(CJ48/CM48-1,)</f>
        <v>0</v>
      </c>
      <c r="CO48" s="177">
        <f t="shared" ref="CO48" si="531">IFERROR(CE48/BX48,0)</f>
        <v>0</v>
      </c>
      <c r="CP48" s="221">
        <f t="shared" ref="CP48" ca="1" si="532">IFERROR(CF48/BY48,0)</f>
        <v>0</v>
      </c>
      <c r="CQ48" s="176">
        <f t="shared" ref="CQ48" ca="1" si="533">IFERROR(CL48/CP48-1,)</f>
        <v>0</v>
      </c>
      <c r="CR48" s="177">
        <f t="shared" ref="CR48" si="534">IFERROR(CL48/BX48,0)</f>
        <v>0</v>
      </c>
      <c r="CS48" s="221">
        <f t="shared" ref="CS48" ca="1" si="535">IFERROR(CM48/BY48,0)</f>
        <v>0</v>
      </c>
      <c r="CT48" s="176">
        <f t="shared" ref="CT48" ca="1" si="536">IFERROR(CO48/CS48-1,)</f>
        <v>0</v>
      </c>
      <c r="CU48" s="44">
        <f>IFERROR(VLOOKUP($B48 &amp; $C48&amp;CU$4,tblForecast,CU$2,FALSE),0)</f>
        <v>0</v>
      </c>
      <c r="CV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ref="CY48" ca="1" si="537">IFERROR(CW48/CX48-1,)</f>
        <v>0</v>
      </c>
      <c r="CZ48" s="276">
        <f>IFERROR(VLOOKUP(Brand&amp;Channel&amp;Country&amp;$C48,tblDiscount,6,FALSE),0)</f>
        <v>0</v>
      </c>
      <c r="DA48" s="277">
        <f t="shared" ref="DA48" si="538">(1-CZ48)*DB48</f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279</v>
      </c>
      <c r="D49" s="252">
        <f t="shared" ref="D49" si="539">SUM(D45:D48)</f>
        <v>0</v>
      </c>
      <c r="E49" s="253">
        <f t="shared" ref="E49" si="540">SUM(E45:E48)</f>
        <v>0</v>
      </c>
      <c r="F49" s="254">
        <f t="shared" si="45"/>
        <v>0</v>
      </c>
      <c r="G49" s="255">
        <f>SUM(G45:G48)</f>
        <v>0</v>
      </c>
      <c r="H49" s="256">
        <f>IFERROR(D49/G49,0)</f>
        <v>0</v>
      </c>
      <c r="I49" s="256">
        <f>IFERROR(SUMPRODUCT(I45:I48,G45:G48)/G49,0)</f>
        <v>0</v>
      </c>
      <c r="J49" s="255">
        <f>SUM(J45:J48)</f>
        <v>0</v>
      </c>
      <c r="K49" s="297">
        <f>SUM(K45:K48)</f>
        <v>0</v>
      </c>
      <c r="L49" s="257">
        <f>SUM(L45:L48)</f>
        <v>0</v>
      </c>
      <c r="M49" s="257">
        <f t="shared" ref="M49:O49" si="541">SUM(M45:M48)</f>
        <v>0</v>
      </c>
      <c r="N49" s="257">
        <f t="shared" si="541"/>
        <v>0</v>
      </c>
      <c r="O49" s="257">
        <f t="shared" ca="1" si="541"/>
        <v>0</v>
      </c>
      <c r="P49" s="258">
        <f t="shared" ca="1" si="39"/>
        <v>0</v>
      </c>
      <c r="Q49" s="260">
        <f t="shared" ref="Q49" si="542">SUM(Q45:Q48)</f>
        <v>0</v>
      </c>
      <c r="R49" s="260">
        <f t="shared" ref="R49:S49" si="543">SUM(R45:R48)</f>
        <v>0</v>
      </c>
      <c r="S49" s="260">
        <f t="shared" si="543"/>
        <v>0</v>
      </c>
      <c r="T49" s="260">
        <f ca="1">SUM(T45:T48)</f>
        <v>0</v>
      </c>
      <c r="U49" s="258">
        <f t="shared" ca="1" si="7"/>
        <v>0</v>
      </c>
      <c r="V49" s="261">
        <f>V48</f>
        <v>0</v>
      </c>
      <c r="W49" s="325">
        <f>W48</f>
        <v>0</v>
      </c>
      <c r="X49" s="262">
        <f ca="1">X48</f>
        <v>0</v>
      </c>
      <c r="Y49" s="252">
        <f>SUM(Y45:Y48)</f>
        <v>0</v>
      </c>
      <c r="Z49" s="257">
        <f t="shared" ref="Z49:AB49" si="544">SUM(Z45:Z48)</f>
        <v>0</v>
      </c>
      <c r="AA49" s="257">
        <f t="shared" si="544"/>
        <v>0</v>
      </c>
      <c r="AB49" s="257">
        <f t="shared" ca="1" si="544"/>
        <v>0</v>
      </c>
      <c r="AC49" s="258">
        <f t="shared" ca="1" si="9"/>
        <v>0</v>
      </c>
      <c r="AD49" s="263">
        <f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</v>
      </c>
      <c r="AH49" s="265">
        <f>IFERROR(SUMPRODUCT(AH45:AH48,Q45:Q48)/Q49,0)</f>
        <v>0</v>
      </c>
      <c r="AI49" s="266">
        <f>IFERROR(SUMPRODUCT(AI45:AI48,R45:R48)/R49,0)</f>
        <v>0</v>
      </c>
      <c r="AJ49" s="266">
        <f t="shared" ref="AJ49:AK49" si="545">IFERROR(SUMPRODUCT(AJ45:AJ48,S45:S48)/S49,0)</f>
        <v>0</v>
      </c>
      <c r="AK49" s="266">
        <f t="shared" ca="1" si="545"/>
        <v>0</v>
      </c>
      <c r="AL49" s="258">
        <f t="shared" ref="AL49:AL60" ca="1" si="546">IFERROR(AH49/AK49-1,)</f>
        <v>0</v>
      </c>
      <c r="AM49" s="265">
        <f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0</v>
      </c>
      <c r="AQ49" s="258">
        <f t="shared" ca="1" si="14"/>
        <v>0</v>
      </c>
      <c r="AR49" s="265">
        <f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0</v>
      </c>
      <c r="AV49" s="258">
        <f t="shared" ca="1" si="16"/>
        <v>0</v>
      </c>
      <c r="AW49" s="267">
        <f>IFERROR(SUMPRODUCT(AW45:AW48,V45:V48)/V49,0)</f>
        <v>0</v>
      </c>
      <c r="AX49" s="268">
        <f t="shared" ref="AX49:AZ49" ca="1" si="547">IFERROR(SUMPRODUCT(AX45:AX48,X45:X48)/X49,0)</f>
        <v>0</v>
      </c>
      <c r="AY49" s="268">
        <f t="shared" si="547"/>
        <v>0</v>
      </c>
      <c r="AZ49" s="268">
        <f t="shared" ca="1" si="547"/>
        <v>0</v>
      </c>
      <c r="BA49" s="259">
        <f>BA48</f>
        <v>0</v>
      </c>
      <c r="BB49" s="260">
        <f t="shared" ref="BB49:BD49" si="548">BB48</f>
        <v>0</v>
      </c>
      <c r="BC49" s="260">
        <f t="shared" si="548"/>
        <v>0</v>
      </c>
      <c r="BD49" s="260">
        <f t="shared" ca="1" si="548"/>
        <v>0</v>
      </c>
      <c r="BE49" s="258">
        <f t="shared" ca="1" si="19"/>
        <v>0</v>
      </c>
      <c r="BF49" s="260">
        <f>BF48</f>
        <v>0</v>
      </c>
      <c r="BG49" s="260">
        <f ca="1">BG48</f>
        <v>0</v>
      </c>
      <c r="BH49" s="269">
        <f>IF(Q49&lt;&gt;0,(BA49*COUNTIF(BH45:BH48,"&lt;&gt;0")/Q49),0)</f>
        <v>0</v>
      </c>
      <c r="BI49" s="270">
        <f ca="1">IF(T49&lt;&gt;0,(BD49*COUNTIF(BI45:BI48,"&lt;&gt;0")/T49),0)</f>
        <v>0</v>
      </c>
      <c r="BJ49" s="271">
        <f t="shared" ref="BJ49" si="549">IF(BA49&lt;&gt;0,(Q49/COUNTIF(BJ45:BJ48,"&lt;&gt;0"))/BA49,0)</f>
        <v>0</v>
      </c>
      <c r="BK49" s="272">
        <f t="shared" ref="BK49" ca="1" si="550">IF(BD49&lt;&gt;0,(T49/COUNTIF(BK45:BK48,"&lt;&gt;0"))/BD49,0)</f>
        <v>0</v>
      </c>
      <c r="BL49" s="259">
        <f>SUM(BL45:BL48)</f>
        <v>0</v>
      </c>
      <c r="BM49" s="260">
        <f ca="1">SUM(BM45:BM48)</f>
        <v>0</v>
      </c>
      <c r="BN49" s="259">
        <f>SUM(BN45:BN48)</f>
        <v>0</v>
      </c>
      <c r="BO49" s="260">
        <f t="shared" ref="BO49:BQ49" ca="1" si="551">SUM(BO45:BO48)</f>
        <v>0</v>
      </c>
      <c r="BP49" s="259">
        <f>SUM(BP45:BP48)</f>
        <v>0</v>
      </c>
      <c r="BQ49" s="260">
        <f t="shared" ca="1" si="551"/>
        <v>0</v>
      </c>
      <c r="BR49" s="259">
        <f t="shared" si="43"/>
        <v>0</v>
      </c>
      <c r="BS49" s="260">
        <f t="shared" ca="1" si="22"/>
        <v>0</v>
      </c>
      <c r="BT49" s="259">
        <f>SUM(BT45:BT48)</f>
        <v>0</v>
      </c>
      <c r="BU49" s="260">
        <f>SUM(BU45:BU48)</f>
        <v>0</v>
      </c>
      <c r="BV49" s="260">
        <f>SUM(BV45:BV48)</f>
        <v>0</v>
      </c>
      <c r="BW49" s="260">
        <f t="shared" ref="BW49:BX49" si="552">SUM(BW45:BW48)</f>
        <v>0</v>
      </c>
      <c r="BX49" s="260">
        <f t="shared" si="552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553">SUM(CB45:CB48)</f>
        <v>0</v>
      </c>
      <c r="CC49" s="257">
        <f t="shared" si="553"/>
        <v>0</v>
      </c>
      <c r="CD49" s="257">
        <f t="shared" si="553"/>
        <v>0</v>
      </c>
      <c r="CE49" s="257">
        <f t="shared" si="553"/>
        <v>0</v>
      </c>
      <c r="CF49" s="257">
        <f t="shared" ca="1" si="553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554">SUM(CI45:CI48)</f>
        <v>0</v>
      </c>
      <c r="CJ49" s="257">
        <f t="shared" si="554"/>
        <v>0</v>
      </c>
      <c r="CK49" s="257">
        <f t="shared" si="554"/>
        <v>0</v>
      </c>
      <c r="CL49" s="257">
        <f t="shared" si="554"/>
        <v>0</v>
      </c>
      <c r="CM49" s="257">
        <f t="shared" ca="1" si="554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>
        <f t="shared" ref="CU49" si="555">SUM(CU45:CU48)</f>
        <v>0</v>
      </c>
      <c r="CW49" s="100">
        <f>CW48</f>
        <v>0</v>
      </c>
      <c r="CX49" s="101">
        <f ca="1">CX48</f>
        <v>0</v>
      </c>
      <c r="CY49" s="99">
        <f t="shared" ca="1" si="36"/>
        <v>0</v>
      </c>
      <c r="CZ49" s="276"/>
      <c r="DA49" s="277"/>
      <c r="DB49" s="277"/>
      <c r="DC49" s="278"/>
    </row>
    <row r="50" spans="1:107" x14ac:dyDescent="0.25">
      <c r="A50" s="44" t="s">
        <v>301</v>
      </c>
      <c r="B50" s="44">
        <v>2018</v>
      </c>
      <c r="C50" s="88">
        <v>31</v>
      </c>
      <c r="D50" s="97">
        <f t="shared" ref="D50" si="556">G50*H50</f>
        <v>0</v>
      </c>
      <c r="E50" s="201">
        <f t="shared" ref="E50" si="557">IFERROR(D50*F50,0)</f>
        <v>0</v>
      </c>
      <c r="F50" s="181">
        <f t="shared" si="45"/>
        <v>0</v>
      </c>
      <c r="G50" s="175">
        <f t="shared" si="411"/>
        <v>0</v>
      </c>
      <c r="H50" s="202">
        <f t="shared" si="411"/>
        <v>0</v>
      </c>
      <c r="I50" s="202">
        <f t="shared" si="411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$C50&amp;K$4&amp;$A50,tblForecast,K$2+2,FALSE),0)</f>
        <v>0</v>
      </c>
      <c r="L50" s="90">
        <f t="shared" ref="L50" si="558">Q50*AM50</f>
        <v>0</v>
      </c>
      <c r="M50" s="90">
        <f t="shared" ref="M50" si="559">R50*AN50</f>
        <v>0</v>
      </c>
      <c r="N50" s="90">
        <f t="shared" ref="N50" si="560">S50*AO50</f>
        <v>0</v>
      </c>
      <c r="O50" s="90">
        <f t="shared" ref="O50" ca="1" si="561">T50*AP50</f>
        <v>0</v>
      </c>
      <c r="P50" s="91">
        <f t="shared" ca="1" si="39"/>
        <v>0</v>
      </c>
      <c r="Q50" s="236">
        <f>IFERROR(VLOOKUP($B50 &amp; $C50&amp;Q$4,tblForecast,Q$2,FALSE),0)</f>
        <v>0</v>
      </c>
      <c r="R50" s="238">
        <f>IF(IFERROR(VLOOKUP($B50 &amp; $C50&amp;R$4,tblForecast,R$2,FALSE),0)=0,Q50,IFERROR(VLOOKUP($B50 &amp; $C50&amp;R$4,tblForecast,R$2,FALSE),0))</f>
        <v>0</v>
      </c>
      <c r="S50" s="238">
        <f t="shared" si="416"/>
        <v>0</v>
      </c>
      <c r="T50" s="238">
        <f ca="1">SUMIFS(OFFSET(tblForecast,,T$2,,1),OFFSET(tblForecast,,,,1),$B50-IF(CompareVer="LY",1,0)&amp; $C50 &amp;T$4)</f>
        <v>0</v>
      </c>
      <c r="U50" s="91">
        <f t="shared" ca="1" si="7"/>
        <v>0</v>
      </c>
      <c r="V50" s="247">
        <f t="shared" ref="V50" si="562">IFERROR(IF(Q49&lt;&gt;0,Q50/Q49,0),0)</f>
        <v>0</v>
      </c>
      <c r="W50" s="327">
        <f t="shared" ref="W50" si="563">IFERROR(IF(R49&lt;&gt;0,R50/R49,0),0)</f>
        <v>0</v>
      </c>
      <c r="X50" s="248">
        <f t="shared" ref="X50" ca="1" si="564">IFERROR(IF(T49&lt;&gt;0,T50/T49,0),0)</f>
        <v>0</v>
      </c>
      <c r="Y50" s="97">
        <f t="shared" ref="Y50" si="565">IFERROR(L50*AD50,0)</f>
        <v>0</v>
      </c>
      <c r="Z50" s="90">
        <f t="shared" ref="Z50" si="566">IFERROR(M50*AE50,0)</f>
        <v>0</v>
      </c>
      <c r="AA50" s="90">
        <f t="shared" ref="AA50" si="567">IFERROR(N50*AF50,0)</f>
        <v>0</v>
      </c>
      <c r="AB50" s="90">
        <f t="shared" ref="AB50" ca="1" si="568">IFERROR(O50*AG50,0)</f>
        <v>0</v>
      </c>
      <c r="AC50" s="91">
        <f t="shared" ca="1" si="9"/>
        <v>0</v>
      </c>
      <c r="AD50" s="75">
        <f t="shared" ref="AD50" si="569">IF(AM50&lt;&gt;0,1-AR50/AM50,0)</f>
        <v>0</v>
      </c>
      <c r="AE50" s="93">
        <f t="shared" ref="AE50" si="570">IF(AN50&lt;&gt;0,1-AS50/AN50,0)</f>
        <v>0</v>
      </c>
      <c r="AF50" s="93">
        <f t="shared" ref="AF50" si="571">IF(AO50&lt;&gt;0,1-AT50/AO50,0)</f>
        <v>0</v>
      </c>
      <c r="AG50" s="93">
        <f t="shared" ref="AG50" ca="1" si="572">IF(AP50&lt;&gt;0,1-AU50/AP50,0)</f>
        <v>0</v>
      </c>
      <c r="AH50" s="104">
        <f>IFERROR(VLOOKUP($B50 &amp; $C50&amp;AH$4,tblForecast,AH$2,FALSE),0)</f>
        <v>0</v>
      </c>
      <c r="AI50" s="94">
        <f t="shared" si="425"/>
        <v>0</v>
      </c>
      <c r="AJ50" s="94">
        <f t="shared" si="425"/>
        <v>0</v>
      </c>
      <c r="AK50" s="94">
        <f ca="1">IFERROR(CF50/BY50,0)</f>
        <v>0</v>
      </c>
      <c r="AL50" s="91">
        <f t="shared" ca="1" si="546"/>
        <v>0</v>
      </c>
      <c r="AM50" s="104">
        <f>IFERROR(VLOOKUP($B50 &amp; $C50&amp;AM$4,tblForecast,AM$2,FALSE),0)</f>
        <v>0</v>
      </c>
      <c r="AN50" s="94">
        <f t="shared" si="427"/>
        <v>0</v>
      </c>
      <c r="AO50" s="94">
        <f t="shared" si="427"/>
        <v>0</v>
      </c>
      <c r="AP50" s="94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91">
        <f t="shared" ca="1" si="14"/>
        <v>0</v>
      </c>
      <c r="AR50" s="104">
        <f>IFERROR(VLOOKUP($B50 &amp; $C50&amp;AR$4,tblForecast,AR$2,FALSE),0)</f>
        <v>0</v>
      </c>
      <c r="AS50" s="94">
        <f t="shared" si="428"/>
        <v>0</v>
      </c>
      <c r="AT50" s="94">
        <f t="shared" si="428"/>
        <v>0</v>
      </c>
      <c r="AU50" s="94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91">
        <f t="shared" ca="1" si="16"/>
        <v>0</v>
      </c>
      <c r="AW50" s="180">
        <f t="shared" ref="AW50" si="573">IFERROR((AM50/AH50-1)*-1,0)</f>
        <v>0</v>
      </c>
      <c r="AX50" s="181">
        <f t="shared" ref="AX50" si="574">IFERROR((AN50/AI50-1)*-1,0)</f>
        <v>0</v>
      </c>
      <c r="AY50" s="181">
        <f t="shared" ref="AY50" si="575">IFERROR((AO50/AJ50-1)*-1,0)</f>
        <v>0</v>
      </c>
      <c r="AZ50" s="181">
        <f t="shared" ref="AZ50" ca="1" si="576">IFERROR((AP50/AK50-1)*-1,0)</f>
        <v>0</v>
      </c>
      <c r="BA50" s="225">
        <f t="shared" ref="BA50" si="577">CW50+BF50</f>
        <v>0</v>
      </c>
      <c r="BB50" s="226">
        <f>IF(IFERROR(VLOOKUP($B50 &amp; $C50&amp;BB$4,tblForecast,BB$2,FALSE),0)=0,BA50,IFERROR(VLOOKUP($B50 &amp; $C50&amp;BB$4,tblForecast,BB$2,FALSE),0))</f>
        <v>0</v>
      </c>
      <c r="BC50" s="226">
        <f t="shared" si="430"/>
        <v>0</v>
      </c>
      <c r="BD50" s="226">
        <f t="shared" ref="BD50" ca="1" si="578">CX50+BG50</f>
        <v>0</v>
      </c>
      <c r="BE50" s="176">
        <f t="shared" ca="1" si="19"/>
        <v>0</v>
      </c>
      <c r="BF50" s="226">
        <f>IFERROR(VLOOKUP($B50 &amp; $C50&amp;BF$4,tblForecast,BF$2,FALSE),0)</f>
        <v>0</v>
      </c>
      <c r="BG50" s="226">
        <f ca="1">SUMIFS(OFFSET(tblForecast,,BG$2,,1),OFFSET(tblForecast,,,,1),$B50-IF(CompareVer="LY",1,0)&amp; $C50 &amp;BG$4)</f>
        <v>0</v>
      </c>
      <c r="BH50" s="178">
        <f t="shared" ref="BH50" si="579">IF(Q50&lt;&gt;0,BA50/Q50,0)</f>
        <v>0</v>
      </c>
      <c r="BI50" s="186">
        <f t="shared" ref="BI50" ca="1" si="580">IF(T50&lt;&gt;0,BD50/T50,0)</f>
        <v>0</v>
      </c>
      <c r="BJ50" s="183">
        <f t="shared" ref="BJ50" si="581">IF(BA50&lt;&gt;0,Q50/BA50,0)</f>
        <v>0</v>
      </c>
      <c r="BK50" s="96">
        <f t="shared" ref="BK50" ca="1" si="582">IF(BD50&lt;&gt;0,T50/BD50,0)</f>
        <v>0</v>
      </c>
      <c r="BL50" s="225">
        <f>IFERROR(VLOOKUP($B50 &amp; $C50&amp;BL$4,tblForecast,BL$2,FALSE),0)</f>
        <v>0</v>
      </c>
      <c r="BM50" s="226">
        <f ca="1">SUMIFS(OFFSET(tblForecast,,BM$2,,1),OFFSET(tblForecast,,,,1),$B50-IF(CompareVer="LY",1,0)&amp; $C50 &amp;BM$4)</f>
        <v>0</v>
      </c>
      <c r="BN50" s="225">
        <f>IFERROR(VLOOKUP($B50 &amp; $C50&amp;BN$4,tblForecast,BN$2,FALSE),0)</f>
        <v>0</v>
      </c>
      <c r="BO50" s="226">
        <f ca="1">SUMIFS(OFFSET(tblForecast,,BO$2,,1),OFFSET(tblForecast,,,,1),$B50-IF(CompareVer="LY",1,0)&amp; $C50 &amp;BO$4)</f>
        <v>0</v>
      </c>
      <c r="BP50" s="225">
        <f>IFERROR(VLOOKUP($B50 &amp; $C50&amp;BP$4,tblForecast,BP$2,FALSE),0)</f>
        <v>0</v>
      </c>
      <c r="BQ50" s="226">
        <f ca="1">SUMIFS(OFFSET(tblForecast,,BQ$2,,1),OFFSET(tblForecast,,,,1),$B50-IF(CompareVer="LY",1,0)&amp; $C50 &amp;BQ$4)</f>
        <v>0</v>
      </c>
      <c r="BR50" s="225">
        <f t="shared" si="43"/>
        <v>0</v>
      </c>
      <c r="BS50" s="226">
        <f t="shared" ca="1" si="22"/>
        <v>0</v>
      </c>
      <c r="BT50" s="225">
        <f t="shared" si="436"/>
        <v>0</v>
      </c>
      <c r="BU50" s="226">
        <f t="shared" si="436"/>
        <v>0</v>
      </c>
      <c r="BV50" s="226">
        <f>IFERROR(VLOOKUP($B50 &amp; $C50&amp;BV$4,tblForecast,BV$2,FALSE),0)</f>
        <v>0</v>
      </c>
      <c r="BW50" s="226">
        <f t="shared" si="437"/>
        <v>0</v>
      </c>
      <c r="BX50" s="226">
        <f t="shared" si="437"/>
        <v>0</v>
      </c>
      <c r="BY50" s="175">
        <f ca="1">SUMIFS(OFFSET(tblForecast,,BY$2,,1),OFFSET(tblForecast,,,,1),$B50-IF(CompareVer="LY",1,0)&amp; $C50 &amp;BY$4)</f>
        <v>0</v>
      </c>
      <c r="BZ50" s="176">
        <f t="shared" ca="1" si="25"/>
        <v>0</v>
      </c>
      <c r="CA50" s="90">
        <f t="shared" si="438"/>
        <v>0</v>
      </c>
      <c r="CB50" s="90">
        <f t="shared" si="438"/>
        <v>0</v>
      </c>
      <c r="CC50" s="90">
        <f>IFERROR(VLOOKUP($B50 &amp; $C50&amp;CC$4,tblForecast,CC$2,FALSE),0)</f>
        <v>0</v>
      </c>
      <c r="CD50" s="90">
        <f t="shared" si="439"/>
        <v>0</v>
      </c>
      <c r="CE50" s="90">
        <f t="shared" si="439"/>
        <v>0</v>
      </c>
      <c r="CF50" s="90">
        <f ca="1">SUMIFS(OFFSET(tblForecast,,CF$2,,1),OFFSET(tblForecast,,,,1),$B50-IF(CompareVer="LY",1,0)&amp; $C50 &amp;CF$4)</f>
        <v>0</v>
      </c>
      <c r="CG50" s="176">
        <f t="shared" ca="1" si="28"/>
        <v>0</v>
      </c>
      <c r="CH50" s="90">
        <f t="shared" si="440"/>
        <v>0</v>
      </c>
      <c r="CI50" s="90">
        <f t="shared" si="440"/>
        <v>0</v>
      </c>
      <c r="CJ50" s="90">
        <f>IFERROR(VLOOKUP($B50 &amp; $C50&amp;CJ$4,tblForecast,CJ$2,FALSE),0)</f>
        <v>0</v>
      </c>
      <c r="CK50" s="90">
        <f t="shared" si="441"/>
        <v>0</v>
      </c>
      <c r="CL50" s="90">
        <f t="shared" si="441"/>
        <v>0</v>
      </c>
      <c r="CM50" s="90">
        <f ca="1">SUMIFS(OFFSET(tblForecast,,CM$2,,1),OFFSET(tblForecast,,,,1),$B50-IF(CompareVer="LY",1,0)&amp; $C50 &amp;CM$4)</f>
        <v>0</v>
      </c>
      <c r="CN50" s="176">
        <f t="shared" ca="1" si="31"/>
        <v>0</v>
      </c>
      <c r="CO50" s="177">
        <f t="shared" si="46"/>
        <v>0</v>
      </c>
      <c r="CP50" s="221">
        <f t="shared" ca="1" si="46"/>
        <v>0</v>
      </c>
      <c r="CQ50" s="176">
        <f t="shared" ca="1" si="33"/>
        <v>0</v>
      </c>
      <c r="CR50" s="177">
        <f t="shared" si="44"/>
        <v>0</v>
      </c>
      <c r="CS50" s="221">
        <f t="shared" ca="1" si="34"/>
        <v>0</v>
      </c>
      <c r="CT50" s="176">
        <f t="shared" ca="1" si="47"/>
        <v>0</v>
      </c>
      <c r="CU50" s="44">
        <f t="shared" ref="CU50:CU81" si="583">IFERROR(VLOOKUP($B50 &amp; $C50&amp;CU$4,tblForecast,CU$2,FALSE),0)</f>
        <v>0</v>
      </c>
      <c r="CV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6">
        <f>IFERROR(VLOOKUP(Brand&amp;Channel&amp;Country&amp;$C50,tblDiscount,6,FALSE),0)</f>
        <v>0</v>
      </c>
      <c r="DA50" s="277">
        <f t="shared" ref="DA50" si="584"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478</v>
      </c>
      <c r="B51" s="44">
        <v>2018</v>
      </c>
      <c r="C51" s="88">
        <v>32</v>
      </c>
      <c r="D51" s="51">
        <f t="shared" ref="D51:D54" si="585">G51*H51</f>
        <v>0</v>
      </c>
      <c r="E51" s="201">
        <f t="shared" ref="E51:E54" si="586">IFERROR(D51*F51,0)</f>
        <v>0</v>
      </c>
      <c r="F51" s="181">
        <f t="shared" si="45"/>
        <v>0</v>
      </c>
      <c r="G51" s="175">
        <f t="shared" ref="G51:I54" si="587">IFERROR(VLOOKUP($B51 &amp; $C51&amp;G$4&amp;$A51,tblForecast,G$2,FALSE),0)</f>
        <v>0</v>
      </c>
      <c r="H51" s="202">
        <f t="shared" si="587"/>
        <v>0</v>
      </c>
      <c r="I51" s="202">
        <f t="shared" si="587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ref="L51:O54" ca="1" si="588">Q51*AM51</f>
        <v>0</v>
      </c>
      <c r="M51" s="90">
        <f t="shared" si="588"/>
        <v>0</v>
      </c>
      <c r="N51" s="46">
        <f t="shared" si="588"/>
        <v>0</v>
      </c>
      <c r="O51" s="46">
        <f t="shared" ca="1" si="588"/>
        <v>0</v>
      </c>
      <c r="P51" s="47">
        <f t="shared" ca="1" si="39"/>
        <v>0</v>
      </c>
      <c r="Q51" s="240">
        <f ca="1">IF(NewPlan,T51,Q50*W51)</f>
        <v>0</v>
      </c>
      <c r="R51" s="238">
        <f>IFERROR(VLOOKUP($B51 &amp; $C51&amp;R$4,tblForecast,R$2,FALSE),0)</f>
        <v>0</v>
      </c>
      <c r="S51" s="238">
        <f t="shared" ref="S51:S54" si="589">IFERROR(VLOOKUP($B51 &amp; $C51&amp;S$4,tblForecast,S$2,FALSE),0)</f>
        <v>0</v>
      </c>
      <c r="T51" s="238">
        <f ca="1">SUMIFS(OFFSET(tblForecast,,T$2,,1),OFFSET(tblForecast,,,,1),$B51-IF(CompareVer="LY",1,0)&amp; $C51 &amp;T$4)</f>
        <v>0</v>
      </c>
      <c r="U51" s="91">
        <f t="shared" ca="1" si="7"/>
        <v>0</v>
      </c>
      <c r="V51" s="247">
        <f t="shared" ref="V51:V54" si="590">IFERROR(IF(Q50&lt;&gt;0,Q51/Q50,0),0)</f>
        <v>0</v>
      </c>
      <c r="W51" s="327">
        <f ca="1">IFERROR(IF(R50&lt;&gt;0,R51/R50,X51),0)</f>
        <v>0</v>
      </c>
      <c r="X51" s="248">
        <f t="shared" ref="X51:X54" ca="1" si="591">IFERROR(IF(T50&lt;&gt;0,T51/T50,0),0)</f>
        <v>0</v>
      </c>
      <c r="Y51" s="51">
        <f t="shared" ref="Y51:AB54" ca="1" si="592">IFERROR(L51*AD51,0)</f>
        <v>0</v>
      </c>
      <c r="Z51" s="46">
        <f t="shared" si="592"/>
        <v>0</v>
      </c>
      <c r="AA51" s="46">
        <f t="shared" si="592"/>
        <v>0</v>
      </c>
      <c r="AB51" s="46">
        <f t="shared" ca="1" si="592"/>
        <v>0</v>
      </c>
      <c r="AC51" s="91">
        <f t="shared" ca="1" si="9"/>
        <v>0</v>
      </c>
      <c r="AD51" s="75">
        <f>IF(AM51&lt;&gt;0,1-AR51/AM51,0)</f>
        <v>0</v>
      </c>
      <c r="AE51" s="93">
        <f t="shared" ref="AE51:AG54" si="593">IF(AN51&lt;&gt;0,1-AS51/AN51,0)</f>
        <v>0</v>
      </c>
      <c r="AF51" s="93">
        <f t="shared" si="593"/>
        <v>0</v>
      </c>
      <c r="AG51" s="76">
        <f t="shared" ca="1" si="593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ref="AI51:AJ54" si="594">IFERROR(VLOOKUP($B51 &amp; $C51&amp;AI$4,tblForecast,AI$2,FALSE),0)</f>
        <v>0</v>
      </c>
      <c r="AJ51" s="94">
        <f t="shared" si="594"/>
        <v>0</v>
      </c>
      <c r="AK51" s="49">
        <f ca="1">IFERROR(CF51/BY51,0)</f>
        <v>0</v>
      </c>
      <c r="AL51" s="47">
        <f t="shared" ca="1" si="546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ref="AN51:AO54" si="595">IFERROR(VLOOKUP($B51 &amp; $C51&amp;AN$4,tblForecast,AN$2,FALSE),0)</f>
        <v>0</v>
      </c>
      <c r="AO51" s="94">
        <f t="shared" si="595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ref="AS51:AT54" si="596">IFERROR(VLOOKUP($B51 &amp; $C51&amp;AS$4,tblForecast,AS$2,FALSE),0)</f>
        <v>0</v>
      </c>
      <c r="AT51" s="94">
        <f t="shared" si="596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0">
        <f t="shared" ref="AW51:AZ54" si="597">IFERROR((AM51/AH51-1)*-1,0)</f>
        <v>0</v>
      </c>
      <c r="AX51" s="191">
        <f t="shared" si="597"/>
        <v>0</v>
      </c>
      <c r="AY51" s="191">
        <f t="shared" si="597"/>
        <v>0</v>
      </c>
      <c r="AZ51" s="191">
        <f t="shared" ca="1" si="597"/>
        <v>0</v>
      </c>
      <c r="BA51" s="233">
        <f ca="1">IF(BA50+BV51+BL51+BR51-Q51&lt;0,0,BA50+BV51+BL51+BR51-Q51)</f>
        <v>0</v>
      </c>
      <c r="BB51" s="229">
        <f ca="1">IF(IFERROR(VLOOKUP($B51 &amp; $C51&amp;BB$4,tblForecast,BB$2,FALSE),0)=0,BA51,IFERROR(VLOOKUP($B51 &amp; $C51&amp;BB$4,tblForecast,BB$2,FALSE),0))</f>
        <v>0</v>
      </c>
      <c r="BC51" s="229">
        <f ca="1">SUMIFS(OFFSET(tblForecast,,BC$2,,1),OFFSET(tblForecast,,,,1),$B51-IF(CompareVer="LY",1,0)&amp; $C51 &amp;BC$4)</f>
        <v>0</v>
      </c>
      <c r="BD51" s="229">
        <f t="shared" ref="BD51:BD54" ca="1" si="598">CX51+BG51</f>
        <v>0</v>
      </c>
      <c r="BE51" s="193">
        <f t="shared" ca="1" si="19"/>
        <v>0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0</v>
      </c>
      <c r="BH51" s="178">
        <f ca="1">IF(Q51&lt;&gt;0,BA51/Q51,0)</f>
        <v>0</v>
      </c>
      <c r="BI51" s="182">
        <f ca="1">IF(T51&lt;&gt;0,BD51/T51,0)</f>
        <v>0</v>
      </c>
      <c r="BJ51" s="194">
        <f t="shared" ref="BJ51:BJ54" ca="1" si="599">IF(BA51&lt;&gt;0,Q51/BA51,0)</f>
        <v>0</v>
      </c>
      <c r="BK51" s="50">
        <f t="shared" ref="BK51:BK54" ca="1" si="600">IF(BD51&lt;&gt;0,T51/BD51,0)</f>
        <v>0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0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0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0</v>
      </c>
      <c r="BR51" s="225">
        <f t="shared" si="43"/>
        <v>0</v>
      </c>
      <c r="BS51" s="229">
        <f t="shared" ca="1" si="22"/>
        <v>0</v>
      </c>
      <c r="BT51" s="232">
        <f t="shared" ref="BT51:BU54" si="601">IFERROR(VLOOKUP($B51 &amp; $C51&amp;BT$4,tblForecast,BT$2,FALSE),0)</f>
        <v>0</v>
      </c>
      <c r="BU51" s="229">
        <f t="shared" si="601"/>
        <v>0</v>
      </c>
      <c r="BV51" s="229">
        <f>IF($A51="a",IFERROR(VLOOKUP($B51 &amp; $C51&amp;BV$4,tblForecast,BV$2,FALSE),0),BT51+BU51)</f>
        <v>0</v>
      </c>
      <c r="BW51" s="229">
        <f t="shared" ref="BW51:BX54" si="602">IFERROR(VLOOKUP($B51 &amp; $C51&amp;BW$4,tblForecast,BW$2,FALSE),0)</f>
        <v>0</v>
      </c>
      <c r="BX51" s="229">
        <f t="shared" si="602"/>
        <v>0</v>
      </c>
      <c r="BY51" s="192">
        <f ca="1">SUMIFS(OFFSET(tblForecast,,BY$2,,1),OFFSET(tblForecast,,,,1),$B51-IF(CompareVer="LY",1,0)&amp; $C51 &amp;BY$4)</f>
        <v>0</v>
      </c>
      <c r="BZ51" s="193">
        <f t="shared" ca="1" si="25"/>
        <v>0</v>
      </c>
      <c r="CA51" s="330">
        <f t="shared" ref="CA51:CB54" si="603">IFERROR(VLOOKUP($B51 &amp; $C51&amp;CA$4,tblForecast,CA$2,FALSE),0)</f>
        <v>0</v>
      </c>
      <c r="CB51" s="46">
        <f t="shared" si="603"/>
        <v>0</v>
      </c>
      <c r="CC51" s="46">
        <f>IF($A51="a",IFERROR(VLOOKUP($B51 &amp; $C51&amp;CC$4,tblForecast,CC$2,FALSE),0),CA51+CB51)</f>
        <v>0</v>
      </c>
      <c r="CD51" s="46">
        <f t="shared" ref="CD51:CE54" si="604">IFERROR(VLOOKUP($B51 &amp; $C51&amp;CD$4,tblForecast,CD$2,FALSE),0)</f>
        <v>0</v>
      </c>
      <c r="CE51" s="46">
        <f t="shared" si="604"/>
        <v>0</v>
      </c>
      <c r="CF51" s="46">
        <f ca="1">SUMIFS(OFFSET(tblForecast,,CF$2,,1),OFFSET(tblForecast,,,,1),$B51-IF(CompareVer="LY",1,0)&amp; $C51 &amp;CF$4)</f>
        <v>0</v>
      </c>
      <c r="CG51" s="193">
        <f t="shared" ca="1" si="28"/>
        <v>0</v>
      </c>
      <c r="CH51" s="330">
        <f t="shared" ref="CH51:CI54" si="605">IFERROR(VLOOKUP($B51 &amp; $C51&amp;CH$4,tblForecast,CH$2,FALSE),0)</f>
        <v>0</v>
      </c>
      <c r="CI51" s="46">
        <f t="shared" si="605"/>
        <v>0</v>
      </c>
      <c r="CJ51" s="46">
        <f>IF($A51="a",IFERROR(VLOOKUP($B51 &amp; $C51&amp;CJ$4,tblForecast,CJ$2,FALSE),0),CH51+CI51)</f>
        <v>0</v>
      </c>
      <c r="CK51" s="46">
        <f t="shared" ref="CK51:CL54" si="606">IFERROR(VLOOKUP($B51 &amp; $C51&amp;CK$4,tblForecast,CK$2,FALSE),0)</f>
        <v>0</v>
      </c>
      <c r="CL51" s="46">
        <f t="shared" si="606"/>
        <v>0</v>
      </c>
      <c r="CM51" s="46">
        <f ca="1">SUMIFS(OFFSET(tblForecast,,CM$2,,1),OFFSET(tblForecast,,,,1),$B51-IF(CompareVer="LY",1,0)&amp; $C51 &amp;CM$4)</f>
        <v>0</v>
      </c>
      <c r="CN51" s="193">
        <f t="shared" ca="1" si="31"/>
        <v>0</v>
      </c>
      <c r="CO51" s="177">
        <f t="shared" si="46"/>
        <v>0</v>
      </c>
      <c r="CP51" s="221">
        <f t="shared" ca="1" si="46"/>
        <v>0</v>
      </c>
      <c r="CQ51" s="193">
        <f t="shared" ca="1" si="33"/>
        <v>0</v>
      </c>
      <c r="CR51" s="177">
        <f t="shared" si="44"/>
        <v>0</v>
      </c>
      <c r="CS51" s="221">
        <f t="shared" ca="1" si="34"/>
        <v>0</v>
      </c>
      <c r="CT51" s="193">
        <f t="shared" ca="1" si="47"/>
        <v>0</v>
      </c>
      <c r="CU51" s="398">
        <f t="shared" si="583"/>
        <v>0</v>
      </c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6">
        <f>IFERROR(VLOOKUP(Brand&amp;Channel&amp;Country&amp;$C51,tblDiscount,6,FALSE),0)</f>
        <v>0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478</v>
      </c>
      <c r="B52" s="44">
        <v>2018</v>
      </c>
      <c r="C52" s="88">
        <v>33</v>
      </c>
      <c r="D52" s="51">
        <f t="shared" si="585"/>
        <v>0</v>
      </c>
      <c r="E52" s="201">
        <f t="shared" si="586"/>
        <v>0</v>
      </c>
      <c r="F52" s="181">
        <f t="shared" si="45"/>
        <v>0</v>
      </c>
      <c r="G52" s="175">
        <f t="shared" si="587"/>
        <v>0</v>
      </c>
      <c r="H52" s="202">
        <f t="shared" si="587"/>
        <v>0</v>
      </c>
      <c r="I52" s="202">
        <f t="shared" si="587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588"/>
        <v>0</v>
      </c>
      <c r="M52" s="90">
        <f t="shared" si="588"/>
        <v>0</v>
      </c>
      <c r="N52" s="46">
        <f t="shared" si="588"/>
        <v>0</v>
      </c>
      <c r="O52" s="46">
        <f t="shared" ca="1" si="588"/>
        <v>0</v>
      </c>
      <c r="P52" s="47">
        <f t="shared" ca="1" si="39"/>
        <v>0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589"/>
        <v>0</v>
      </c>
      <c r="T52" s="238">
        <f ca="1">SUMIFS(OFFSET(tblForecast,,T$2,,1),OFFSET(tblForecast,,,,1),$B52-IF(CompareVer="LY",1,0)&amp; $C52 &amp;T$4)</f>
        <v>0</v>
      </c>
      <c r="U52" s="91">
        <f t="shared" ca="1" si="7"/>
        <v>0</v>
      </c>
      <c r="V52" s="247">
        <f t="shared" ca="1" si="590"/>
        <v>0</v>
      </c>
      <c r="W52" s="327">
        <f ca="1">IFERROR(IF(R51&lt;&gt;0,R52/R51,X52),0)</f>
        <v>0</v>
      </c>
      <c r="X52" s="248">
        <f t="shared" ca="1" si="591"/>
        <v>0</v>
      </c>
      <c r="Y52" s="51">
        <f t="shared" ca="1" si="592"/>
        <v>0</v>
      </c>
      <c r="Z52" s="46">
        <f t="shared" si="592"/>
        <v>0</v>
      </c>
      <c r="AA52" s="46">
        <f t="shared" si="592"/>
        <v>0</v>
      </c>
      <c r="AB52" s="46">
        <f t="shared" ca="1" si="592"/>
        <v>0</v>
      </c>
      <c r="AC52" s="91">
        <f t="shared" ca="1" si="9"/>
        <v>0</v>
      </c>
      <c r="AD52" s="75">
        <f>IF(AM52&lt;&gt;0,1-AR52/AM52,0)</f>
        <v>0</v>
      </c>
      <c r="AE52" s="93">
        <f t="shared" si="593"/>
        <v>0</v>
      </c>
      <c r="AF52" s="93">
        <f t="shared" si="593"/>
        <v>0</v>
      </c>
      <c r="AG52" s="76">
        <f t="shared" ca="1" si="593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594"/>
        <v>0</v>
      </c>
      <c r="AJ52" s="94">
        <f t="shared" si="594"/>
        <v>0</v>
      </c>
      <c r="AK52" s="49">
        <f ca="1">IFERROR(CF52/BY52,0)</f>
        <v>0</v>
      </c>
      <c r="AL52" s="47">
        <f t="shared" ca="1" si="546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595"/>
        <v>0</v>
      </c>
      <c r="AO52" s="94">
        <f t="shared" si="595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596"/>
        <v>0</v>
      </c>
      <c r="AT52" s="94">
        <f t="shared" si="596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0">
        <f t="shared" si="597"/>
        <v>0</v>
      </c>
      <c r="AX52" s="191">
        <f t="shared" si="597"/>
        <v>0</v>
      </c>
      <c r="AY52" s="191">
        <f t="shared" si="597"/>
        <v>0</v>
      </c>
      <c r="AZ52" s="191">
        <f t="shared" ca="1" si="597"/>
        <v>0</v>
      </c>
      <c r="BA52" s="233">
        <f ca="1">IF(BA51+BV52+BL52+BR52-Q52&lt;0,0,BA51+BV52+BL52+BR52-Q52)</f>
        <v>0</v>
      </c>
      <c r="BB52" s="229">
        <f ca="1">IF(IFERROR(VLOOKUP($B52 &amp; $C52&amp;BB$4,tblForecast,BB$2,FALSE),0)=0,BA52,IFERROR(VLOOKUP($B52 &amp; $C52&amp;BB$4,tblForecast,BB$2,FALSE),0))</f>
        <v>0</v>
      </c>
      <c r="BC52" s="229">
        <f ca="1">SUMIFS(OFFSET(tblForecast,,BC$2,,1),OFFSET(tblForecast,,,,1),$B52-IF(CompareVer="LY",1,0)&amp; $C52 &amp;BC$4)</f>
        <v>0</v>
      </c>
      <c r="BD52" s="229">
        <f t="shared" ca="1" si="598"/>
        <v>0</v>
      </c>
      <c r="BE52" s="193">
        <f t="shared" ca="1" si="19"/>
        <v>0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0</v>
      </c>
      <c r="BH52" s="178">
        <f ca="1">IF(Q52&lt;&gt;0,BA52/Q52,0)</f>
        <v>0</v>
      </c>
      <c r="BI52" s="182">
        <f ca="1">IF(T52&lt;&gt;0,BD52/T52,0)</f>
        <v>0</v>
      </c>
      <c r="BJ52" s="194">
        <f t="shared" ca="1" si="599"/>
        <v>0</v>
      </c>
      <c r="BK52" s="50">
        <f t="shared" ca="1" si="600"/>
        <v>0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0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0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0</v>
      </c>
      <c r="BR52" s="225">
        <f t="shared" si="43"/>
        <v>0</v>
      </c>
      <c r="BS52" s="229">
        <f t="shared" ca="1" si="22"/>
        <v>0</v>
      </c>
      <c r="BT52" s="232">
        <f t="shared" si="601"/>
        <v>0</v>
      </c>
      <c r="BU52" s="229">
        <f t="shared" si="601"/>
        <v>0</v>
      </c>
      <c r="BV52" s="229">
        <f>IF($A52="a",IFERROR(VLOOKUP($B52 &amp; $C52&amp;BV$4,tblForecast,BV$2,FALSE),0),BT52+BU52)</f>
        <v>0</v>
      </c>
      <c r="BW52" s="229">
        <f t="shared" si="602"/>
        <v>0</v>
      </c>
      <c r="BX52" s="229">
        <f t="shared" si="602"/>
        <v>0</v>
      </c>
      <c r="BY52" s="192">
        <f ca="1">SUMIFS(OFFSET(tblForecast,,BY$2,,1),OFFSET(tblForecast,,,,1),$B52-IF(CompareVer="LY",1,0)&amp; $C52 &amp;BY$4)</f>
        <v>0</v>
      </c>
      <c r="BZ52" s="193">
        <f t="shared" ca="1" si="25"/>
        <v>0</v>
      </c>
      <c r="CA52" s="330">
        <f t="shared" si="603"/>
        <v>0</v>
      </c>
      <c r="CB52" s="46">
        <f t="shared" si="603"/>
        <v>0</v>
      </c>
      <c r="CC52" s="46">
        <f>IF($A52="a",IFERROR(VLOOKUP($B52 &amp; $C52&amp;CC$4,tblForecast,CC$2,FALSE),0),CA52+CB52)</f>
        <v>0</v>
      </c>
      <c r="CD52" s="46">
        <f t="shared" si="604"/>
        <v>0</v>
      </c>
      <c r="CE52" s="46">
        <f t="shared" si="604"/>
        <v>0</v>
      </c>
      <c r="CF52" s="46">
        <f ca="1">SUMIFS(OFFSET(tblForecast,,CF$2,,1),OFFSET(tblForecast,,,,1),$B52-IF(CompareVer="LY",1,0)&amp; $C52 &amp;CF$4)</f>
        <v>0</v>
      </c>
      <c r="CG52" s="193">
        <f t="shared" ca="1" si="28"/>
        <v>0</v>
      </c>
      <c r="CH52" s="330">
        <f t="shared" si="605"/>
        <v>0</v>
      </c>
      <c r="CI52" s="46">
        <f t="shared" si="605"/>
        <v>0</v>
      </c>
      <c r="CJ52" s="46">
        <f>IF($A52="a",IFERROR(VLOOKUP($B52 &amp; $C52&amp;CJ$4,tblForecast,CJ$2,FALSE),0),CH52+CI52)</f>
        <v>0</v>
      </c>
      <c r="CK52" s="46">
        <f t="shared" si="606"/>
        <v>0</v>
      </c>
      <c r="CL52" s="46">
        <f t="shared" si="606"/>
        <v>0</v>
      </c>
      <c r="CM52" s="46">
        <f ca="1">SUMIFS(OFFSET(tblForecast,,CM$2,,1),OFFSET(tblForecast,,,,1),$B52-IF(CompareVer="LY",1,0)&amp; $C52 &amp;CM$4)</f>
        <v>0</v>
      </c>
      <c r="CN52" s="193">
        <f t="shared" ca="1" si="31"/>
        <v>0</v>
      </c>
      <c r="CO52" s="177">
        <f t="shared" si="46"/>
        <v>0</v>
      </c>
      <c r="CP52" s="221">
        <f t="shared" ca="1" si="46"/>
        <v>0</v>
      </c>
      <c r="CQ52" s="193">
        <f t="shared" ca="1" si="33"/>
        <v>0</v>
      </c>
      <c r="CR52" s="177">
        <f t="shared" si="44"/>
        <v>0</v>
      </c>
      <c r="CS52" s="221">
        <f t="shared" ca="1" si="34"/>
        <v>0</v>
      </c>
      <c r="CT52" s="193">
        <f t="shared" ca="1" si="47"/>
        <v>0</v>
      </c>
      <c r="CU52" s="44">
        <f t="shared" si="583"/>
        <v>0</v>
      </c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6">
        <f>IFERROR(VLOOKUP(Brand&amp;Channel&amp;Country&amp;$C52,tblDiscount,6,FALSE),0)</f>
        <v>0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478</v>
      </c>
      <c r="B53" s="44">
        <v>2018</v>
      </c>
      <c r="C53" s="88">
        <v>34</v>
      </c>
      <c r="D53" s="51">
        <f t="shared" si="585"/>
        <v>0</v>
      </c>
      <c r="E53" s="201">
        <f t="shared" si="586"/>
        <v>0</v>
      </c>
      <c r="F53" s="181">
        <f t="shared" si="45"/>
        <v>0</v>
      </c>
      <c r="G53" s="175">
        <f t="shared" si="587"/>
        <v>0</v>
      </c>
      <c r="H53" s="202">
        <f t="shared" si="587"/>
        <v>0</v>
      </c>
      <c r="I53" s="202">
        <f t="shared" si="587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588"/>
        <v>0</v>
      </c>
      <c r="M53" s="90">
        <f t="shared" si="588"/>
        <v>0</v>
      </c>
      <c r="N53" s="46">
        <f t="shared" si="588"/>
        <v>0</v>
      </c>
      <c r="O53" s="46">
        <f t="shared" ca="1" si="588"/>
        <v>0</v>
      </c>
      <c r="P53" s="47">
        <f t="shared" ca="1" si="39"/>
        <v>0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589"/>
        <v>0</v>
      </c>
      <c r="T53" s="238">
        <f ca="1">SUMIFS(OFFSET(tblForecast,,T$2,,1),OFFSET(tblForecast,,,,1),$B53-IF(CompareVer="LY",1,0)&amp; $C53 &amp;T$4)</f>
        <v>0</v>
      </c>
      <c r="U53" s="91">
        <f t="shared" ca="1" si="7"/>
        <v>0</v>
      </c>
      <c r="V53" s="247">
        <f t="shared" ca="1" si="590"/>
        <v>0</v>
      </c>
      <c r="W53" s="327">
        <f ca="1">IFERROR(IF(R52&lt;&gt;0,R53/R52,X53),0)</f>
        <v>0</v>
      </c>
      <c r="X53" s="248">
        <f t="shared" ca="1" si="591"/>
        <v>0</v>
      </c>
      <c r="Y53" s="51">
        <f t="shared" ca="1" si="592"/>
        <v>0</v>
      </c>
      <c r="Z53" s="46">
        <f t="shared" si="592"/>
        <v>0</v>
      </c>
      <c r="AA53" s="46">
        <f t="shared" si="592"/>
        <v>0</v>
      </c>
      <c r="AB53" s="46">
        <f t="shared" ca="1" si="592"/>
        <v>0</v>
      </c>
      <c r="AC53" s="91">
        <f t="shared" ca="1" si="9"/>
        <v>0</v>
      </c>
      <c r="AD53" s="75">
        <f>IF(AM53&lt;&gt;0,1-AR53/AM53,0)</f>
        <v>0</v>
      </c>
      <c r="AE53" s="93">
        <f t="shared" si="593"/>
        <v>0</v>
      </c>
      <c r="AF53" s="93">
        <f t="shared" si="593"/>
        <v>0</v>
      </c>
      <c r="AG53" s="76">
        <f t="shared" ca="1" si="593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594"/>
        <v>0</v>
      </c>
      <c r="AJ53" s="94">
        <f t="shared" si="594"/>
        <v>0</v>
      </c>
      <c r="AK53" s="49">
        <f ca="1">IFERROR(CF53/BY53,0)</f>
        <v>0</v>
      </c>
      <c r="AL53" s="47">
        <f t="shared" ca="1" si="546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595"/>
        <v>0</v>
      </c>
      <c r="AO53" s="94">
        <f t="shared" si="595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596"/>
        <v>0</v>
      </c>
      <c r="AT53" s="94">
        <f t="shared" si="596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0">
        <f t="shared" si="597"/>
        <v>0</v>
      </c>
      <c r="AX53" s="191">
        <f t="shared" si="597"/>
        <v>0</v>
      </c>
      <c r="AY53" s="191">
        <f t="shared" si="597"/>
        <v>0</v>
      </c>
      <c r="AZ53" s="191">
        <f t="shared" ca="1" si="597"/>
        <v>0</v>
      </c>
      <c r="BA53" s="233">
        <f ca="1">IF(BA52+BV53+BL53+BR53-Q53&lt;0,0,BA52+BV53+BL53+BR53-Q53)</f>
        <v>0</v>
      </c>
      <c r="BB53" s="229">
        <f ca="1">IF(IFERROR(VLOOKUP($B53 &amp; $C53&amp;BB$4,tblForecast,BB$2,FALSE),0)=0,BA53,IFERROR(VLOOKUP($B53 &amp; $C53&amp;BB$4,tblForecast,BB$2,FALSE),0))</f>
        <v>0</v>
      </c>
      <c r="BC53" s="229">
        <f ca="1">SUMIFS(OFFSET(tblForecast,,BC$2,,1),OFFSET(tblForecast,,,,1),$B53-IF(CompareVer="LY",1,0)&amp; $C53 &amp;BC$4)</f>
        <v>0</v>
      </c>
      <c r="BD53" s="229">
        <f t="shared" ca="1" si="598"/>
        <v>0</v>
      </c>
      <c r="BE53" s="193">
        <f t="shared" ca="1" si="19"/>
        <v>0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0</v>
      </c>
      <c r="BH53" s="178">
        <f ca="1">IF(Q53&lt;&gt;0,BA53/Q53,0)</f>
        <v>0</v>
      </c>
      <c r="BI53" s="182">
        <f ca="1">IF(T53&lt;&gt;0,BD53/T53,0)</f>
        <v>0</v>
      </c>
      <c r="BJ53" s="194">
        <f t="shared" ca="1" si="599"/>
        <v>0</v>
      </c>
      <c r="BK53" s="50">
        <f t="shared" ca="1" si="600"/>
        <v>0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0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0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0</v>
      </c>
      <c r="BR53" s="225">
        <f t="shared" si="43"/>
        <v>0</v>
      </c>
      <c r="BS53" s="229">
        <f t="shared" ca="1" si="22"/>
        <v>0</v>
      </c>
      <c r="BT53" s="232">
        <f t="shared" si="601"/>
        <v>0</v>
      </c>
      <c r="BU53" s="229">
        <f t="shared" si="601"/>
        <v>0</v>
      </c>
      <c r="BV53" s="229">
        <f>IF($A53="a",IFERROR(VLOOKUP($B53 &amp; $C53&amp;BV$4,tblForecast,BV$2,FALSE),0),BT53+BU53)</f>
        <v>0</v>
      </c>
      <c r="BW53" s="229">
        <f t="shared" si="602"/>
        <v>0</v>
      </c>
      <c r="BX53" s="229">
        <f t="shared" si="602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603"/>
        <v>0</v>
      </c>
      <c r="CB53" s="46">
        <f t="shared" si="603"/>
        <v>0</v>
      </c>
      <c r="CC53" s="46">
        <f>IF($A53="a",IFERROR(VLOOKUP($B53 &amp; $C53&amp;CC$4,tblForecast,CC$2,FALSE),0),CA53+CB53)</f>
        <v>0</v>
      </c>
      <c r="CD53" s="46">
        <f t="shared" si="604"/>
        <v>0</v>
      </c>
      <c r="CE53" s="46">
        <f t="shared" si="604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605"/>
        <v>0</v>
      </c>
      <c r="CI53" s="46">
        <f t="shared" si="605"/>
        <v>0</v>
      </c>
      <c r="CJ53" s="46">
        <f>IF($A53="a",IFERROR(VLOOKUP($B53 &amp; $C53&amp;CJ$4,tblForecast,CJ$2,FALSE),0),CH53+CI53)</f>
        <v>0</v>
      </c>
      <c r="CK53" s="46">
        <f t="shared" si="606"/>
        <v>0</v>
      </c>
      <c r="CL53" s="46">
        <f t="shared" si="606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>
        <f t="shared" si="583"/>
        <v>0</v>
      </c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6">
        <f>IFERROR(VLOOKUP(Brand&amp;Channel&amp;Country&amp;$C53,tblDiscount,6,FALSE),0)</f>
        <v>0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478</v>
      </c>
      <c r="B54" s="44">
        <v>2018</v>
      </c>
      <c r="C54" s="88">
        <v>35</v>
      </c>
      <c r="D54" s="51">
        <f t="shared" si="585"/>
        <v>0</v>
      </c>
      <c r="E54" s="201">
        <f t="shared" si="586"/>
        <v>0</v>
      </c>
      <c r="F54" s="181">
        <f t="shared" si="45"/>
        <v>0</v>
      </c>
      <c r="G54" s="175">
        <f t="shared" si="587"/>
        <v>0</v>
      </c>
      <c r="H54" s="202">
        <f t="shared" si="587"/>
        <v>0</v>
      </c>
      <c r="I54" s="202">
        <f t="shared" si="587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588"/>
        <v>0</v>
      </c>
      <c r="M54" s="90">
        <f t="shared" si="588"/>
        <v>0</v>
      </c>
      <c r="N54" s="46">
        <f t="shared" si="588"/>
        <v>0</v>
      </c>
      <c r="O54" s="46">
        <f t="shared" ca="1" si="588"/>
        <v>0</v>
      </c>
      <c r="P54" s="47">
        <f t="shared" ca="1" si="39"/>
        <v>0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589"/>
        <v>0</v>
      </c>
      <c r="T54" s="238">
        <f ca="1">SUMIFS(OFFSET(tblForecast,,T$2,,1),OFFSET(tblForecast,,,,1),$B54-IF(CompareVer="LY",1,0)&amp; $C54 &amp;T$4)</f>
        <v>0</v>
      </c>
      <c r="U54" s="91">
        <f t="shared" ca="1" si="7"/>
        <v>0</v>
      </c>
      <c r="V54" s="247">
        <f t="shared" ca="1" si="590"/>
        <v>0</v>
      </c>
      <c r="W54" s="327">
        <f ca="1">IFERROR(IF(R53&lt;&gt;0,R54/R53,X54),0)</f>
        <v>0</v>
      </c>
      <c r="X54" s="248">
        <f t="shared" ca="1" si="591"/>
        <v>0</v>
      </c>
      <c r="Y54" s="51">
        <f t="shared" ca="1" si="592"/>
        <v>0</v>
      </c>
      <c r="Z54" s="46">
        <f t="shared" si="592"/>
        <v>0</v>
      </c>
      <c r="AA54" s="46">
        <f t="shared" si="592"/>
        <v>0</v>
      </c>
      <c r="AB54" s="46">
        <f t="shared" ca="1" si="592"/>
        <v>0</v>
      </c>
      <c r="AC54" s="91">
        <f t="shared" ca="1" si="9"/>
        <v>0</v>
      </c>
      <c r="AD54" s="75">
        <f>IF(AM54&lt;&gt;0,1-AR54/AM54,0)</f>
        <v>0</v>
      </c>
      <c r="AE54" s="93">
        <f t="shared" si="593"/>
        <v>0</v>
      </c>
      <c r="AF54" s="93">
        <f t="shared" si="593"/>
        <v>0</v>
      </c>
      <c r="AG54" s="76">
        <f t="shared" ca="1" si="593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594"/>
        <v>0</v>
      </c>
      <c r="AJ54" s="94">
        <f t="shared" si="594"/>
        <v>0</v>
      </c>
      <c r="AK54" s="49">
        <f ca="1">IFERROR(CF54/BY54,0)</f>
        <v>0</v>
      </c>
      <c r="AL54" s="47">
        <f t="shared" ca="1" si="546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595"/>
        <v>0</v>
      </c>
      <c r="AO54" s="94">
        <f t="shared" si="595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596"/>
        <v>0</v>
      </c>
      <c r="AT54" s="94">
        <f t="shared" si="596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0">
        <f t="shared" si="597"/>
        <v>0</v>
      </c>
      <c r="AX54" s="191">
        <f t="shared" si="597"/>
        <v>0</v>
      </c>
      <c r="AY54" s="191">
        <f t="shared" si="597"/>
        <v>0</v>
      </c>
      <c r="AZ54" s="191">
        <f t="shared" ca="1" si="597"/>
        <v>0</v>
      </c>
      <c r="BA54" s="233">
        <f ca="1">IF(BA53+BV54+BL54+BR54-Q54&lt;0,0,BA53+BV54+BL54+BR54-Q54)</f>
        <v>0</v>
      </c>
      <c r="BB54" s="229">
        <f ca="1">IF(IFERROR(VLOOKUP($B54 &amp; $C54&amp;BB$4,tblForecast,BB$2,FALSE),0)=0,BA54,IFERROR(VLOOKUP($B54 &amp; $C54&amp;BB$4,tblForecast,BB$2,FALSE),0))</f>
        <v>0</v>
      </c>
      <c r="BC54" s="229">
        <f ca="1">SUMIFS(OFFSET(tblForecast,,BC$2,,1),OFFSET(tblForecast,,,,1),$B54-IF(CompareVer="LY",1,0)&amp; $C54 &amp;BC$4)</f>
        <v>0</v>
      </c>
      <c r="BD54" s="229">
        <f t="shared" ca="1" si="598"/>
        <v>0</v>
      </c>
      <c r="BE54" s="193">
        <f t="shared" ca="1" si="19"/>
        <v>0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0</v>
      </c>
      <c r="BH54" s="178">
        <f ca="1">IF(Q54&lt;&gt;0,BA54/Q54,0)</f>
        <v>0</v>
      </c>
      <c r="BI54" s="182">
        <f ca="1">IF(T54&lt;&gt;0,BD54/T54,0)</f>
        <v>0</v>
      </c>
      <c r="BJ54" s="194">
        <f t="shared" ca="1" si="599"/>
        <v>0</v>
      </c>
      <c r="BK54" s="50">
        <f t="shared" ca="1" si="600"/>
        <v>0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0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0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0</v>
      </c>
      <c r="BR54" s="225">
        <f t="shared" si="43"/>
        <v>0</v>
      </c>
      <c r="BS54" s="229">
        <f t="shared" ca="1" si="22"/>
        <v>0</v>
      </c>
      <c r="BT54" s="232">
        <f t="shared" si="601"/>
        <v>0</v>
      </c>
      <c r="BU54" s="229">
        <f t="shared" si="601"/>
        <v>0</v>
      </c>
      <c r="BV54" s="229">
        <f>IF($A54="a",IFERROR(VLOOKUP($B54 &amp; $C54&amp;BV$4,tblForecast,BV$2,FALSE),0),BT54+BU54)</f>
        <v>0</v>
      </c>
      <c r="BW54" s="229">
        <f t="shared" si="602"/>
        <v>0</v>
      </c>
      <c r="BX54" s="229">
        <f t="shared" si="602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603"/>
        <v>0</v>
      </c>
      <c r="CB54" s="46">
        <f t="shared" si="603"/>
        <v>0</v>
      </c>
      <c r="CC54" s="46">
        <f>IF($A54="a",IFERROR(VLOOKUP($B54 &amp; $C54&amp;CC$4,tblForecast,CC$2,FALSE),0),CA54+CB54)</f>
        <v>0</v>
      </c>
      <c r="CD54" s="46">
        <f t="shared" si="604"/>
        <v>0</v>
      </c>
      <c r="CE54" s="46">
        <f t="shared" si="604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605"/>
        <v>0</v>
      </c>
      <c r="CI54" s="46">
        <f t="shared" si="605"/>
        <v>0</v>
      </c>
      <c r="CJ54" s="46">
        <f>IF($A54="a",IFERROR(VLOOKUP($B54 &amp; $C54&amp;CJ$4,tblForecast,CJ$2,FALSE),0),CH54+CI54)</f>
        <v>0</v>
      </c>
      <c r="CK54" s="46">
        <f t="shared" si="606"/>
        <v>0</v>
      </c>
      <c r="CL54" s="46">
        <f t="shared" si="606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>
        <f t="shared" si="583"/>
        <v>0</v>
      </c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6">
        <f>IFERROR(VLOOKUP(Brand&amp;Channel&amp;Country&amp;$C54,tblDiscount,6,FALSE),0)</f>
        <v>0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280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607">SUM(M50:M54)</f>
        <v>0</v>
      </c>
      <c r="N55" s="257">
        <f t="shared" si="607"/>
        <v>0</v>
      </c>
      <c r="O55" s="257">
        <f t="shared" ca="1" si="607"/>
        <v>0</v>
      </c>
      <c r="P55" s="258">
        <f t="shared" ca="1" si="39"/>
        <v>0</v>
      </c>
      <c r="Q55" s="259">
        <f t="shared" ref="Q55" ca="1" si="608">SUM(Q50:Q54)</f>
        <v>0</v>
      </c>
      <c r="R55" s="260">
        <f t="shared" ref="R55:S55" si="609">SUM(R50:R54)</f>
        <v>0</v>
      </c>
      <c r="S55" s="260">
        <f t="shared" si="609"/>
        <v>0</v>
      </c>
      <c r="T55" s="260">
        <f ca="1">SUM(T50:T54)</f>
        <v>0</v>
      </c>
      <c r="U55" s="258">
        <f t="shared" ca="1" si="7"/>
        <v>0</v>
      </c>
      <c r="V55" s="261">
        <f ca="1">V54</f>
        <v>0</v>
      </c>
      <c r="W55" s="325">
        <f ca="1">W54</f>
        <v>0</v>
      </c>
      <c r="X55" s="262">
        <f ca="1">X54</f>
        <v>0</v>
      </c>
      <c r="Y55" s="252">
        <f ca="1">SUM(Y50:Y54)</f>
        <v>0</v>
      </c>
      <c r="Z55" s="257">
        <f t="shared" ref="Z55:AB55" si="610">SUM(Z50:Z54)</f>
        <v>0</v>
      </c>
      <c r="AA55" s="257">
        <f t="shared" si="610"/>
        <v>0</v>
      </c>
      <c r="AB55" s="257">
        <f t="shared" ca="1" si="610"/>
        <v>0</v>
      </c>
      <c r="AC55" s="258">
        <f t="shared" ca="1" si="9"/>
        <v>0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0</v>
      </c>
      <c r="AL55" s="258">
        <f t="shared" ca="1" si="546"/>
        <v>0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0</v>
      </c>
      <c r="AQ55" s="258">
        <f t="shared" ca="1" si="14"/>
        <v>0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0</v>
      </c>
      <c r="AV55" s="258">
        <f t="shared" ca="1" si="16"/>
        <v>0</v>
      </c>
      <c r="AW55" s="267">
        <f ca="1">IFERROR(SUMPRODUCT(AW50:AW54,V50:V54)/V55,0)</f>
        <v>0</v>
      </c>
      <c r="AX55" s="268">
        <f t="shared" ref="AX55:AZ55" ca="1" si="611">IFERROR(SUMPRODUCT(AX50:AX54,X50:X54)/X55,0)</f>
        <v>0</v>
      </c>
      <c r="AY55" s="268">
        <f t="shared" ca="1" si="611"/>
        <v>0</v>
      </c>
      <c r="AZ55" s="268">
        <f t="shared" ca="1" si="611"/>
        <v>0</v>
      </c>
      <c r="BA55" s="259">
        <f ca="1">BA54</f>
        <v>0</v>
      </c>
      <c r="BB55" s="260">
        <f t="shared" ref="BB55:BD55" ca="1" si="612">BB54</f>
        <v>0</v>
      </c>
      <c r="BC55" s="260">
        <f t="shared" ca="1" si="612"/>
        <v>0</v>
      </c>
      <c r="BD55" s="260">
        <f t="shared" ca="1" si="612"/>
        <v>0</v>
      </c>
      <c r="BE55" s="258">
        <f t="shared" ca="1" si="19"/>
        <v>0</v>
      </c>
      <c r="BF55" s="260">
        <f>BF54</f>
        <v>0</v>
      </c>
      <c r="BG55" s="260">
        <f ca="1">BG54</f>
        <v>0</v>
      </c>
      <c r="BH55" s="269">
        <f ca="1">IF(Q55&lt;&gt;0,(BA55*COUNTIF(BH50:BH54,"&lt;&gt;0")/Q55),0)</f>
        <v>0</v>
      </c>
      <c r="BI55" s="270">
        <f ca="1">IF(T55&lt;&gt;0,(BD55*COUNTIF(BI50:BI54,"&lt;&gt;0")/T55),0)</f>
        <v>0</v>
      </c>
      <c r="BJ55" s="271">
        <f t="shared" ref="BJ55" ca="1" si="613">IF(BA55&lt;&gt;0,(Q55/COUNTIF(BJ50:BJ54,"&lt;&gt;0"))/BA55,0)</f>
        <v>0</v>
      </c>
      <c r="BK55" s="272">
        <f t="shared" ref="BK55" ca="1" si="614">IF(BD55&lt;&gt;0,(T55/COUNTIF(BK50:BK54,"&lt;&gt;0"))/BD55,0)</f>
        <v>0</v>
      </c>
      <c r="BL55" s="259">
        <f t="shared" ref="BL55" si="615">SUM(BL50:BL54)</f>
        <v>0</v>
      </c>
      <c r="BM55" s="260">
        <f ca="1">SUM(BM50:BM54)</f>
        <v>0</v>
      </c>
      <c r="BN55" s="259">
        <f t="shared" ref="BN55:BQ55" si="616">SUM(BN50:BN54)</f>
        <v>0</v>
      </c>
      <c r="BO55" s="260">
        <f t="shared" ca="1" si="616"/>
        <v>0</v>
      </c>
      <c r="BP55" s="259">
        <f t="shared" si="616"/>
        <v>0</v>
      </c>
      <c r="BQ55" s="260">
        <f t="shared" ca="1" si="616"/>
        <v>0</v>
      </c>
      <c r="BR55" s="259">
        <f t="shared" si="43"/>
        <v>0</v>
      </c>
      <c r="BS55" s="260">
        <f t="shared" ca="1" si="22"/>
        <v>0</v>
      </c>
      <c r="BT55" s="259">
        <f t="shared" ref="BT55:BY55" si="617">SUM(BT50:BT54)</f>
        <v>0</v>
      </c>
      <c r="BU55" s="260">
        <f t="shared" si="617"/>
        <v>0</v>
      </c>
      <c r="BV55" s="260">
        <f t="shared" si="617"/>
        <v>0</v>
      </c>
      <c r="BW55" s="260">
        <f t="shared" si="617"/>
        <v>0</v>
      </c>
      <c r="BX55" s="260">
        <f t="shared" si="617"/>
        <v>0</v>
      </c>
      <c r="BY55" s="273">
        <f t="shared" ca="1" si="617"/>
        <v>0</v>
      </c>
      <c r="BZ55" s="258">
        <f t="shared" ca="1" si="25"/>
        <v>0</v>
      </c>
      <c r="CA55" s="331">
        <f t="shared" ref="CA55:CF55" si="618">SUM(CA50:CA54)</f>
        <v>0</v>
      </c>
      <c r="CB55" s="257">
        <f t="shared" si="618"/>
        <v>0</v>
      </c>
      <c r="CC55" s="257">
        <f t="shared" si="618"/>
        <v>0</v>
      </c>
      <c r="CD55" s="257">
        <f t="shared" si="618"/>
        <v>0</v>
      </c>
      <c r="CE55" s="257">
        <f t="shared" si="618"/>
        <v>0</v>
      </c>
      <c r="CF55" s="257">
        <f t="shared" ca="1" si="618"/>
        <v>0</v>
      </c>
      <c r="CG55" s="258">
        <f t="shared" ca="1" si="28"/>
        <v>0</v>
      </c>
      <c r="CH55" s="331">
        <f t="shared" ref="CH55:CM55" si="619">SUM(CH50:CH54)</f>
        <v>0</v>
      </c>
      <c r="CI55" s="257">
        <f t="shared" si="619"/>
        <v>0</v>
      </c>
      <c r="CJ55" s="257">
        <f t="shared" si="619"/>
        <v>0</v>
      </c>
      <c r="CK55" s="257">
        <f t="shared" si="619"/>
        <v>0</v>
      </c>
      <c r="CL55" s="257">
        <f t="shared" si="619"/>
        <v>0</v>
      </c>
      <c r="CM55" s="257">
        <f t="shared" ca="1" si="619"/>
        <v>0</v>
      </c>
      <c r="CN55" s="258">
        <f t="shared" ca="1" si="31"/>
        <v>0</v>
      </c>
      <c r="CO55" s="274">
        <f t="shared" si="46"/>
        <v>0</v>
      </c>
      <c r="CP55" s="275">
        <f t="shared" ca="1" si="46"/>
        <v>0</v>
      </c>
      <c r="CQ55" s="258">
        <f t="shared" ca="1" si="33"/>
        <v>0</v>
      </c>
      <c r="CR55" s="274">
        <f t="shared" si="44"/>
        <v>0</v>
      </c>
      <c r="CS55" s="275">
        <f t="shared" ca="1" si="34"/>
        <v>0</v>
      </c>
      <c r="CT55" s="258">
        <f t="shared" ca="1" si="47"/>
        <v>0</v>
      </c>
      <c r="CU55" s="44">
        <f t="shared" si="583"/>
        <v>0</v>
      </c>
      <c r="CW55" s="100">
        <f>CW54</f>
        <v>0</v>
      </c>
      <c r="CX55" s="101">
        <f ca="1">CX54</f>
        <v>0</v>
      </c>
      <c r="CY55" s="99">
        <f t="shared" ca="1" si="36"/>
        <v>0</v>
      </c>
      <c r="CZ55" s="276"/>
      <c r="DA55" s="277"/>
      <c r="DB55" s="277"/>
      <c r="DC55" s="278"/>
    </row>
    <row r="56" spans="1:107" x14ac:dyDescent="0.25">
      <c r="A56" s="44" t="s">
        <v>478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620">IFERROR(VLOOKUP($B56 &amp; $C56&amp;G$4&amp;$A56,tblForecast,G$2,FALSE),0)</f>
        <v>0</v>
      </c>
      <c r="H56" s="202">
        <f t="shared" si="620"/>
        <v>0</v>
      </c>
      <c r="I56" s="202">
        <f t="shared" si="620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621">Q56*AM56</f>
        <v>0</v>
      </c>
      <c r="M56" s="90">
        <f t="shared" si="621"/>
        <v>0</v>
      </c>
      <c r="N56" s="46">
        <f t="shared" si="621"/>
        <v>0</v>
      </c>
      <c r="O56" s="46">
        <f t="shared" ca="1" si="621"/>
        <v>0</v>
      </c>
      <c r="P56" s="47">
        <f t="shared" ca="1" si="39"/>
        <v>0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622">IFERROR(VLOOKUP($B56 &amp; $C56&amp;S$4,tblForecast,S$2,FALSE),0)</f>
        <v>0</v>
      </c>
      <c r="T56" s="238">
        <f ca="1">SUMIFS(OFFSET(tblForecast,,T$2,,1),OFFSET(tblForecast,,,,1),$B56-IF(CompareVer="LY",1,0)&amp; $C56 &amp;T$4)</f>
        <v>0</v>
      </c>
      <c r="U56" s="91">
        <f t="shared" ca="1" si="7"/>
        <v>0</v>
      </c>
      <c r="V56" s="247">
        <f ca="1">IFERROR(IF(Q54&gt;0,Q56/Q54,0),0)</f>
        <v>0</v>
      </c>
      <c r="W56" s="327">
        <f ca="1">IFERROR(IF(R54&gt;0,R56/R54,X56),0)</f>
        <v>0</v>
      </c>
      <c r="X56" s="248">
        <f ca="1">IFERROR(IF(T54&gt;0,T56/T54,0),0)</f>
        <v>0</v>
      </c>
      <c r="Y56" s="51">
        <f t="shared" ref="Y56:AB59" ca="1" si="623">IFERROR(L56*AD56,0)</f>
        <v>0</v>
      </c>
      <c r="Z56" s="46">
        <f t="shared" si="623"/>
        <v>0</v>
      </c>
      <c r="AA56" s="46">
        <f t="shared" si="623"/>
        <v>0</v>
      </c>
      <c r="AB56" s="46">
        <f t="shared" ca="1" si="623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624">IF(AN56&lt;&gt;0,1-AS56/AN56,0)</f>
        <v>0</v>
      </c>
      <c r="AF56" s="93">
        <f t="shared" si="624"/>
        <v>0</v>
      </c>
      <c r="AG56" s="76">
        <f t="shared" ca="1" si="624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625">IFERROR(VLOOKUP($B56 &amp; $C56&amp;AI$4,tblForecast,AI$2,FALSE),0)</f>
        <v>0</v>
      </c>
      <c r="AJ56" s="94">
        <f t="shared" si="625"/>
        <v>0</v>
      </c>
      <c r="AK56" s="49">
        <f ca="1">IFERROR(CF56/BY56,0)</f>
        <v>0</v>
      </c>
      <c r="AL56" s="47">
        <f t="shared" ca="1" si="546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626">IFERROR(VLOOKUP($B56 &amp; $C56&amp;AN$4,tblForecast,AN$2,FALSE),0)</f>
        <v>0</v>
      </c>
      <c r="AO56" s="94">
        <f t="shared" si="626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627">IFERROR(VLOOKUP($B56 &amp; $C56&amp;AS$4,tblForecast,AS$2,FALSE),0)</f>
        <v>0</v>
      </c>
      <c r="AT56" s="94">
        <f t="shared" si="627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0">
        <f t="shared" ref="AW56:AZ59" ca="1" si="628">IFERROR((AM56/AH56-1)*-1,0)</f>
        <v>0</v>
      </c>
      <c r="AX56" s="191">
        <f t="shared" si="628"/>
        <v>0</v>
      </c>
      <c r="AY56" s="191">
        <f t="shared" si="628"/>
        <v>0</v>
      </c>
      <c r="AZ56" s="191">
        <f t="shared" ca="1" si="628"/>
        <v>0</v>
      </c>
      <c r="BA56" s="233">
        <f ca="1">IF(BA55+BV56+BL56+BR56-Q56&lt;0,0,BA55+BV56+BL56+BR56-Q56)</f>
        <v>0</v>
      </c>
      <c r="BB56" s="229">
        <f ca="1">IF(IFERROR(VLOOKUP($B56 &amp; $C56&amp;BB$4,tblForecast,BB$2,FALSE),0)=0,BA56,IFERROR(VLOOKUP($B56 &amp; $C56&amp;BB$4,tblForecast,BB$2,FALSE),0))</f>
        <v>0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629">CX56+BG56</f>
        <v>0</v>
      </c>
      <c r="BE56" s="193">
        <f t="shared" ca="1" si="19"/>
        <v>0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0</v>
      </c>
      <c r="BH56" s="178">
        <f ca="1">IF(Q56&lt;&gt;0,BA56/Q56,0)</f>
        <v>0</v>
      </c>
      <c r="BI56" s="182">
        <f ca="1">IF(T56&lt;&gt;0,BD56/T56,0)</f>
        <v>0</v>
      </c>
      <c r="BJ56" s="194">
        <f t="shared" ref="BJ56:BJ59" ca="1" si="630">IF(BA56&lt;&gt;0,Q56/BA56,0)</f>
        <v>0</v>
      </c>
      <c r="BK56" s="50">
        <f t="shared" ref="BK56:BK59" ca="1" si="631">IF(BD56&lt;&gt;0,T56/BD56,0)</f>
        <v>0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0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0</v>
      </c>
      <c r="BR56" s="225">
        <f t="shared" si="43"/>
        <v>0</v>
      </c>
      <c r="BS56" s="229">
        <f t="shared" ca="1" si="22"/>
        <v>0</v>
      </c>
      <c r="BT56" s="232">
        <f t="shared" ref="BT56:BU59" si="632">IFERROR(VLOOKUP($B56 &amp; $C56&amp;BT$4,tblForecast,BT$2,FALSE),0)</f>
        <v>0</v>
      </c>
      <c r="BU56" s="229">
        <f t="shared" si="632"/>
        <v>0</v>
      </c>
      <c r="BV56" s="229">
        <f>IF($A56="a",IFERROR(VLOOKUP($B56 &amp; $C56&amp;BV$4,tblForecast,BV$2,FALSE),0),BT56+BU56)</f>
        <v>0</v>
      </c>
      <c r="BW56" s="229">
        <f t="shared" ref="BW56:BX59" si="633">IFERROR(VLOOKUP($B56 &amp; $C56&amp;BW$4,tblForecast,BW$2,FALSE),0)</f>
        <v>0</v>
      </c>
      <c r="BX56" s="229">
        <f t="shared" si="633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634">IFERROR(VLOOKUP($B56 &amp; $C56&amp;CA$4,tblForecast,CA$2,FALSE),0)</f>
        <v>0</v>
      </c>
      <c r="CB56" s="46">
        <f t="shared" si="634"/>
        <v>0</v>
      </c>
      <c r="CC56" s="46">
        <f>IF($A56="a",IFERROR(VLOOKUP($B56 &amp; $C56&amp;CC$4,tblForecast,CC$2,FALSE),0),CA56+CB56)</f>
        <v>0</v>
      </c>
      <c r="CD56" s="46">
        <f t="shared" ref="CD56:CE59" si="635">IFERROR(VLOOKUP($B56 &amp; $C56&amp;CD$4,tblForecast,CD$2,FALSE),0)</f>
        <v>0</v>
      </c>
      <c r="CE56" s="46">
        <f t="shared" si="635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636">IFERROR(VLOOKUP($B56 &amp; $C56&amp;CH$4,tblForecast,CH$2,FALSE),0)</f>
        <v>0</v>
      </c>
      <c r="CI56" s="46">
        <f t="shared" si="636"/>
        <v>0</v>
      </c>
      <c r="CJ56" s="46">
        <f>IF($A56="a",IFERROR(VLOOKUP($B56 &amp; $C56&amp;CJ$4,tblForecast,CJ$2,FALSE),0),CH56+CI56)</f>
        <v>0</v>
      </c>
      <c r="CK56" s="46">
        <f t="shared" ref="CK56:CL59" si="637">IFERROR(VLOOKUP($B56 &amp; $C56&amp;CK$4,tblForecast,CK$2,FALSE),0)</f>
        <v>0</v>
      </c>
      <c r="CL56" s="46">
        <f t="shared" si="637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>
        <f t="shared" si="583"/>
        <v>0</v>
      </c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6">
        <f>IFERROR(VLOOKUP(Brand&amp;Channel&amp;Country&amp;$C56,tblDiscount,6,FALSE),0)</f>
        <v>0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478</v>
      </c>
      <c r="B57" s="44">
        <v>2018</v>
      </c>
      <c r="C57" s="88">
        <v>37</v>
      </c>
      <c r="D57" s="51">
        <f t="shared" ref="D57:D59" si="638">G57*H57</f>
        <v>0</v>
      </c>
      <c r="E57" s="201">
        <f t="shared" ref="E57:E59" si="639">IFERROR(D57*F57,0)</f>
        <v>0</v>
      </c>
      <c r="F57" s="181">
        <f t="shared" si="45"/>
        <v>0</v>
      </c>
      <c r="G57" s="175">
        <f t="shared" si="620"/>
        <v>0</v>
      </c>
      <c r="H57" s="202">
        <f t="shared" si="620"/>
        <v>0</v>
      </c>
      <c r="I57" s="202">
        <f t="shared" si="620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621"/>
        <v>0</v>
      </c>
      <c r="M57" s="90">
        <f t="shared" si="621"/>
        <v>0</v>
      </c>
      <c r="N57" s="46">
        <f t="shared" si="621"/>
        <v>0</v>
      </c>
      <c r="O57" s="46">
        <f t="shared" ca="1" si="621"/>
        <v>0</v>
      </c>
      <c r="P57" s="47">
        <f t="shared" ca="1" si="39"/>
        <v>0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622"/>
        <v>0</v>
      </c>
      <c r="T57" s="238">
        <f ca="1">SUMIFS(OFFSET(tblForecast,,T$2,,1),OFFSET(tblForecast,,,,1),$B57-IF(CompareVer="LY",1,0)&amp; $C57 &amp;T$4)</f>
        <v>0</v>
      </c>
      <c r="U57" s="91">
        <f t="shared" ca="1" si="7"/>
        <v>0</v>
      </c>
      <c r="V57" s="247">
        <f t="shared" ref="V57:V59" ca="1" si="640">IFERROR(IF(Q56&lt;&gt;0,Q57/Q56,0),0)</f>
        <v>0</v>
      </c>
      <c r="W57" s="327">
        <f ca="1">IFERROR(IF(R56&lt;&gt;0,R57/R56,X57),0)</f>
        <v>0</v>
      </c>
      <c r="X57" s="248">
        <f t="shared" ref="X57:X59" ca="1" si="641">IFERROR(IF(T56&lt;&gt;0,T57/T56,0),0)</f>
        <v>0</v>
      </c>
      <c r="Y57" s="51">
        <f t="shared" ca="1" si="623"/>
        <v>0</v>
      </c>
      <c r="Z57" s="46">
        <f t="shared" si="623"/>
        <v>0</v>
      </c>
      <c r="AA57" s="46">
        <f t="shared" si="623"/>
        <v>0</v>
      </c>
      <c r="AB57" s="46">
        <f t="shared" ca="1" si="623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624"/>
        <v>0</v>
      </c>
      <c r="AF57" s="93">
        <f t="shared" si="624"/>
        <v>0</v>
      </c>
      <c r="AG57" s="76">
        <f t="shared" ca="1" si="624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625"/>
        <v>0</v>
      </c>
      <c r="AJ57" s="94">
        <f t="shared" si="625"/>
        <v>0</v>
      </c>
      <c r="AK57" s="49">
        <f ca="1">IFERROR(CF57/BY57,0)</f>
        <v>0</v>
      </c>
      <c r="AL57" s="47">
        <f t="shared" ca="1" si="546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626"/>
        <v>0</v>
      </c>
      <c r="AO57" s="94">
        <f t="shared" si="626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627"/>
        <v>0</v>
      </c>
      <c r="AT57" s="94">
        <f t="shared" si="627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0">
        <f t="shared" ca="1" si="628"/>
        <v>0</v>
      </c>
      <c r="AX57" s="191">
        <f t="shared" si="628"/>
        <v>0</v>
      </c>
      <c r="AY57" s="191">
        <f t="shared" si="628"/>
        <v>0</v>
      </c>
      <c r="AZ57" s="191">
        <f t="shared" ca="1" si="628"/>
        <v>0</v>
      </c>
      <c r="BA57" s="233">
        <f ca="1">IF(BA56+BV57+BL57+BR57-Q57&lt;0,0,BA56+BV57+BL57+BR57-Q57)</f>
        <v>0</v>
      </c>
      <c r="BB57" s="229">
        <f ca="1">IF(IFERROR(VLOOKUP($B57 &amp; $C57&amp;BB$4,tblForecast,BB$2,FALSE),0)=0,BA57,IFERROR(VLOOKUP($B57 &amp; $C57&amp;BB$4,tblForecast,BB$2,FALSE),0))</f>
        <v>0</v>
      </c>
      <c r="BC57" s="229">
        <f ca="1">SUMIFS(OFFSET(tblForecast,,BC$2,,1),OFFSET(tblForecast,,,,1),$B57-IF(CompareVer="LY",1,0)&amp; $C57 &amp;BC$4)</f>
        <v>0</v>
      </c>
      <c r="BD57" s="229">
        <f t="shared" ca="1" si="629"/>
        <v>0</v>
      </c>
      <c r="BE57" s="193">
        <f t="shared" ca="1" si="19"/>
        <v>0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0</v>
      </c>
      <c r="BH57" s="178">
        <f ca="1">IF(Q57&lt;&gt;0,BA57/Q57,0)</f>
        <v>0</v>
      </c>
      <c r="BI57" s="182">
        <f ca="1">IF(T57&lt;&gt;0,BD57/T57,0)</f>
        <v>0</v>
      </c>
      <c r="BJ57" s="194">
        <f t="shared" ca="1" si="630"/>
        <v>0</v>
      </c>
      <c r="BK57" s="50">
        <f t="shared" ca="1" si="631"/>
        <v>0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0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0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0</v>
      </c>
      <c r="BR57" s="225">
        <f t="shared" si="43"/>
        <v>0</v>
      </c>
      <c r="BS57" s="229">
        <f t="shared" ca="1" si="22"/>
        <v>0</v>
      </c>
      <c r="BT57" s="232">
        <f t="shared" si="632"/>
        <v>0</v>
      </c>
      <c r="BU57" s="229">
        <f t="shared" si="632"/>
        <v>0</v>
      </c>
      <c r="BV57" s="229">
        <f>IF($A57="a",IFERROR(VLOOKUP($B57 &amp; $C57&amp;BV$4,tblForecast,BV$2,FALSE),0),BT57+BU57)</f>
        <v>0</v>
      </c>
      <c r="BW57" s="229">
        <f t="shared" si="633"/>
        <v>0</v>
      </c>
      <c r="BX57" s="229">
        <f t="shared" si="633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634"/>
        <v>0</v>
      </c>
      <c r="CB57" s="46">
        <f t="shared" si="634"/>
        <v>0</v>
      </c>
      <c r="CC57" s="46">
        <f>IF($A57="a",IFERROR(VLOOKUP($B57 &amp; $C57&amp;CC$4,tblForecast,CC$2,FALSE),0),CA57+CB57)</f>
        <v>0</v>
      </c>
      <c r="CD57" s="46">
        <f t="shared" si="635"/>
        <v>0</v>
      </c>
      <c r="CE57" s="46">
        <f t="shared" si="635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636"/>
        <v>0</v>
      </c>
      <c r="CI57" s="46">
        <f t="shared" si="636"/>
        <v>0</v>
      </c>
      <c r="CJ57" s="46">
        <f>IF($A57="a",IFERROR(VLOOKUP($B57 &amp; $C57&amp;CJ$4,tblForecast,CJ$2,FALSE),0),CH57+CI57)</f>
        <v>0</v>
      </c>
      <c r="CK57" s="46">
        <f t="shared" si="637"/>
        <v>0</v>
      </c>
      <c r="CL57" s="46">
        <f t="shared" si="637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>
        <f t="shared" si="583"/>
        <v>0</v>
      </c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6">
        <f>IFERROR(VLOOKUP(Brand&amp;Channel&amp;Country&amp;$C57,tblDiscount,6,FALSE),0)</f>
        <v>0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478</v>
      </c>
      <c r="B58" s="44">
        <v>2018</v>
      </c>
      <c r="C58" s="88">
        <v>38</v>
      </c>
      <c r="D58" s="51">
        <f t="shared" si="638"/>
        <v>0</v>
      </c>
      <c r="E58" s="201">
        <f t="shared" si="639"/>
        <v>0</v>
      </c>
      <c r="F58" s="181">
        <f t="shared" si="45"/>
        <v>0</v>
      </c>
      <c r="G58" s="175">
        <f t="shared" si="620"/>
        <v>0</v>
      </c>
      <c r="H58" s="202">
        <f t="shared" si="620"/>
        <v>0</v>
      </c>
      <c r="I58" s="202">
        <f t="shared" si="620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621"/>
        <v>0</v>
      </c>
      <c r="M58" s="90">
        <f t="shared" si="621"/>
        <v>0</v>
      </c>
      <c r="N58" s="46">
        <f t="shared" si="621"/>
        <v>0</v>
      </c>
      <c r="O58" s="46">
        <f t="shared" ca="1" si="621"/>
        <v>0</v>
      </c>
      <c r="P58" s="47">
        <f t="shared" ca="1" si="39"/>
        <v>0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622"/>
        <v>0</v>
      </c>
      <c r="T58" s="238">
        <f ca="1">SUMIFS(OFFSET(tblForecast,,T$2,,1),OFFSET(tblForecast,,,,1),$B58-IF(CompareVer="LY",1,0)&amp; $C58 &amp;T$4)</f>
        <v>0</v>
      </c>
      <c r="U58" s="91">
        <f t="shared" ca="1" si="7"/>
        <v>0</v>
      </c>
      <c r="V58" s="247">
        <f t="shared" ca="1" si="640"/>
        <v>0</v>
      </c>
      <c r="W58" s="327">
        <f ca="1">IFERROR(IF(R57&lt;&gt;0,R58/R57,X58),0)</f>
        <v>0</v>
      </c>
      <c r="X58" s="248">
        <f t="shared" ca="1" si="641"/>
        <v>0</v>
      </c>
      <c r="Y58" s="51">
        <f t="shared" ca="1" si="623"/>
        <v>0</v>
      </c>
      <c r="Z58" s="46">
        <f t="shared" si="623"/>
        <v>0</v>
      </c>
      <c r="AA58" s="46">
        <f t="shared" si="623"/>
        <v>0</v>
      </c>
      <c r="AB58" s="46">
        <f t="shared" ca="1" si="623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624"/>
        <v>0</v>
      </c>
      <c r="AF58" s="93">
        <f t="shared" si="624"/>
        <v>0</v>
      </c>
      <c r="AG58" s="76">
        <f t="shared" ca="1" si="624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625"/>
        <v>0</v>
      </c>
      <c r="AJ58" s="94">
        <f t="shared" si="625"/>
        <v>0</v>
      </c>
      <c r="AK58" s="49">
        <f ca="1">IFERROR(CF58/BY58,0)</f>
        <v>0</v>
      </c>
      <c r="AL58" s="47">
        <f t="shared" ca="1" si="546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626"/>
        <v>0</v>
      </c>
      <c r="AO58" s="94">
        <f t="shared" si="626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627"/>
        <v>0</v>
      </c>
      <c r="AT58" s="94">
        <f t="shared" si="627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0">
        <f t="shared" ca="1" si="628"/>
        <v>0</v>
      </c>
      <c r="AX58" s="191">
        <f t="shared" si="628"/>
        <v>0</v>
      </c>
      <c r="AY58" s="191">
        <f t="shared" si="628"/>
        <v>0</v>
      </c>
      <c r="AZ58" s="191">
        <f t="shared" ca="1" si="628"/>
        <v>0</v>
      </c>
      <c r="BA58" s="233">
        <f ca="1">IF(BA57+BV58+BL58+BR58-Q58&lt;0,0,BA57+BV58+BL58+BR58-Q58)</f>
        <v>0</v>
      </c>
      <c r="BB58" s="229">
        <f ca="1">IF(IFERROR(VLOOKUP($B58 &amp; $C58&amp;BB$4,tblForecast,BB$2,FALSE),0)=0,BA58,IFERROR(VLOOKUP($B58 &amp; $C58&amp;BB$4,tblForecast,BB$2,FALSE),0))</f>
        <v>0</v>
      </c>
      <c r="BC58" s="229">
        <f ca="1">SUMIFS(OFFSET(tblForecast,,BC$2,,1),OFFSET(tblForecast,,,,1),$B58-IF(CompareVer="LY",1,0)&amp; $C58 &amp;BC$4)</f>
        <v>0</v>
      </c>
      <c r="BD58" s="229">
        <f t="shared" ca="1" si="629"/>
        <v>0</v>
      </c>
      <c r="BE58" s="193">
        <f t="shared" ca="1" si="19"/>
        <v>0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0</v>
      </c>
      <c r="BH58" s="178">
        <f ca="1">IF(Q58&lt;&gt;0,BA58/Q58,0)</f>
        <v>0</v>
      </c>
      <c r="BI58" s="182">
        <f ca="1">IF(T58&lt;&gt;0,BD58/T58,0)</f>
        <v>0</v>
      </c>
      <c r="BJ58" s="194">
        <f t="shared" ca="1" si="630"/>
        <v>0</v>
      </c>
      <c r="BK58" s="50">
        <f t="shared" ca="1" si="631"/>
        <v>0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0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0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0</v>
      </c>
      <c r="BR58" s="225">
        <f t="shared" si="43"/>
        <v>0</v>
      </c>
      <c r="BS58" s="229">
        <f t="shared" ca="1" si="22"/>
        <v>0</v>
      </c>
      <c r="BT58" s="232">
        <f t="shared" si="632"/>
        <v>0</v>
      </c>
      <c r="BU58" s="229">
        <f t="shared" si="632"/>
        <v>0</v>
      </c>
      <c r="BV58" s="229">
        <f>IF($A58="a",IFERROR(VLOOKUP($B58 &amp; $C58&amp;BV$4,tblForecast,BV$2,FALSE),0),BT58+BU58)</f>
        <v>0</v>
      </c>
      <c r="BW58" s="229">
        <f t="shared" si="633"/>
        <v>0</v>
      </c>
      <c r="BX58" s="229">
        <f t="shared" si="633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634"/>
        <v>0</v>
      </c>
      <c r="CB58" s="46">
        <f t="shared" si="634"/>
        <v>0</v>
      </c>
      <c r="CC58" s="46">
        <f>IF($A58="a",IFERROR(VLOOKUP($B58 &amp; $C58&amp;CC$4,tblForecast,CC$2,FALSE),0),CA58+CB58)</f>
        <v>0</v>
      </c>
      <c r="CD58" s="46">
        <f t="shared" si="635"/>
        <v>0</v>
      </c>
      <c r="CE58" s="46">
        <f t="shared" si="635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636"/>
        <v>0</v>
      </c>
      <c r="CI58" s="46">
        <f t="shared" si="636"/>
        <v>0</v>
      </c>
      <c r="CJ58" s="46">
        <f>IF($A58="a",IFERROR(VLOOKUP($B58 &amp; $C58&amp;CJ$4,tblForecast,CJ$2,FALSE),0),CH58+CI58)</f>
        <v>0</v>
      </c>
      <c r="CK58" s="46">
        <f t="shared" si="637"/>
        <v>0</v>
      </c>
      <c r="CL58" s="46">
        <f t="shared" si="637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>
        <f t="shared" si="583"/>
        <v>0</v>
      </c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6">
        <f>IFERROR(VLOOKUP(Brand&amp;Channel&amp;Country&amp;$C58,tblDiscount,6,FALSE),0)</f>
        <v>0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478</v>
      </c>
      <c r="B59" s="44">
        <v>2018</v>
      </c>
      <c r="C59" s="88">
        <v>39</v>
      </c>
      <c r="D59" s="51">
        <f t="shared" si="638"/>
        <v>0</v>
      </c>
      <c r="E59" s="201">
        <f t="shared" si="639"/>
        <v>0</v>
      </c>
      <c r="F59" s="181">
        <f t="shared" si="45"/>
        <v>0</v>
      </c>
      <c r="G59" s="175">
        <f t="shared" si="620"/>
        <v>0</v>
      </c>
      <c r="H59" s="202">
        <f t="shared" si="620"/>
        <v>0</v>
      </c>
      <c r="I59" s="202">
        <f t="shared" si="620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621"/>
        <v>0</v>
      </c>
      <c r="M59" s="90">
        <f t="shared" si="621"/>
        <v>0</v>
      </c>
      <c r="N59" s="46">
        <f t="shared" si="621"/>
        <v>0</v>
      </c>
      <c r="O59" s="46">
        <f t="shared" ca="1" si="621"/>
        <v>0</v>
      </c>
      <c r="P59" s="47">
        <f t="shared" ca="1" si="39"/>
        <v>0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622"/>
        <v>0</v>
      </c>
      <c r="T59" s="238">
        <f ca="1">SUMIFS(OFFSET(tblForecast,,T$2,,1),OFFSET(tblForecast,,,,1),$B59-IF(CompareVer="LY",1,0)&amp; $C59 &amp;T$4)</f>
        <v>0</v>
      </c>
      <c r="U59" s="91">
        <f t="shared" ca="1" si="7"/>
        <v>0</v>
      </c>
      <c r="V59" s="247">
        <f t="shared" ca="1" si="640"/>
        <v>0</v>
      </c>
      <c r="W59" s="327">
        <f ca="1">IFERROR(IF(R58&lt;&gt;0,R59/R58,X59),0)</f>
        <v>0</v>
      </c>
      <c r="X59" s="248">
        <f t="shared" ca="1" si="641"/>
        <v>0</v>
      </c>
      <c r="Y59" s="51">
        <f t="shared" ca="1" si="623"/>
        <v>0</v>
      </c>
      <c r="Z59" s="46">
        <f t="shared" si="623"/>
        <v>0</v>
      </c>
      <c r="AA59" s="46">
        <f t="shared" si="623"/>
        <v>0</v>
      </c>
      <c r="AB59" s="46">
        <f t="shared" ca="1" si="623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624"/>
        <v>0</v>
      </c>
      <c r="AF59" s="93">
        <f t="shared" si="624"/>
        <v>0</v>
      </c>
      <c r="AG59" s="76">
        <f t="shared" ca="1" si="624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625"/>
        <v>0</v>
      </c>
      <c r="AJ59" s="94">
        <f t="shared" si="625"/>
        <v>0</v>
      </c>
      <c r="AK59" s="49">
        <f ca="1">IFERROR(CF59/BY59,0)</f>
        <v>0</v>
      </c>
      <c r="AL59" s="47">
        <f t="shared" ca="1" si="546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626"/>
        <v>0</v>
      </c>
      <c r="AO59" s="94">
        <f t="shared" si="626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627"/>
        <v>0</v>
      </c>
      <c r="AT59" s="94">
        <f t="shared" si="627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0">
        <f t="shared" ca="1" si="628"/>
        <v>0</v>
      </c>
      <c r="AX59" s="191">
        <f t="shared" si="628"/>
        <v>0</v>
      </c>
      <c r="AY59" s="191">
        <f t="shared" si="628"/>
        <v>0</v>
      </c>
      <c r="AZ59" s="191">
        <f t="shared" ca="1" si="628"/>
        <v>0</v>
      </c>
      <c r="BA59" s="233">
        <f ca="1">IF(BA58+BV59+BL59+BR59-Q59&lt;0,0,BA58+BV59+BL59+BR59-Q59)</f>
        <v>0</v>
      </c>
      <c r="BB59" s="229">
        <f ca="1">IF(IFERROR(VLOOKUP($B59 &amp; $C59&amp;BB$4,tblForecast,BB$2,FALSE),0)=0,BA59,IFERROR(VLOOKUP($B59 &amp; $C59&amp;BB$4,tblForecast,BB$2,FALSE),0))</f>
        <v>0</v>
      </c>
      <c r="BC59" s="229">
        <f ca="1">SUMIFS(OFFSET(tblForecast,,BC$2,,1),OFFSET(tblForecast,,,,1),$B59-IF(CompareVer="LY",1,0)&amp; $C59 &amp;BC$4)</f>
        <v>0</v>
      </c>
      <c r="BD59" s="229">
        <f t="shared" ca="1" si="629"/>
        <v>0</v>
      </c>
      <c r="BE59" s="193">
        <f t="shared" ca="1" si="19"/>
        <v>0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0</v>
      </c>
      <c r="BH59" s="178">
        <f ca="1">IF(Q59&lt;&gt;0,BA59/Q59,0)</f>
        <v>0</v>
      </c>
      <c r="BI59" s="182">
        <f ca="1">IF(T59&lt;&gt;0,BD59/T59,0)</f>
        <v>0</v>
      </c>
      <c r="BJ59" s="194">
        <f t="shared" ca="1" si="630"/>
        <v>0</v>
      </c>
      <c r="BK59" s="50">
        <f t="shared" ca="1" si="631"/>
        <v>0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0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0</v>
      </c>
      <c r="BR59" s="225">
        <f t="shared" si="43"/>
        <v>0</v>
      </c>
      <c r="BS59" s="229">
        <f t="shared" ca="1" si="22"/>
        <v>0</v>
      </c>
      <c r="BT59" s="232">
        <f t="shared" si="632"/>
        <v>0</v>
      </c>
      <c r="BU59" s="229">
        <f t="shared" si="632"/>
        <v>0</v>
      </c>
      <c r="BV59" s="229">
        <f>IF($A59="a",IFERROR(VLOOKUP($B59 &amp; $C59&amp;BV$4,tblForecast,BV$2,FALSE),0),BT59+BU59)</f>
        <v>0</v>
      </c>
      <c r="BW59" s="229">
        <f t="shared" si="633"/>
        <v>0</v>
      </c>
      <c r="BX59" s="229">
        <f t="shared" si="633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634"/>
        <v>0</v>
      </c>
      <c r="CB59" s="46">
        <f t="shared" si="634"/>
        <v>0</v>
      </c>
      <c r="CC59" s="46">
        <f>IF($A59="a",IFERROR(VLOOKUP($B59 &amp; $C59&amp;CC$4,tblForecast,CC$2,FALSE),0),CA59+CB59)</f>
        <v>0</v>
      </c>
      <c r="CD59" s="46">
        <f t="shared" si="635"/>
        <v>0</v>
      </c>
      <c r="CE59" s="46">
        <f t="shared" si="635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636"/>
        <v>0</v>
      </c>
      <c r="CI59" s="46">
        <f t="shared" si="636"/>
        <v>0</v>
      </c>
      <c r="CJ59" s="46">
        <f>IF($A59="a",IFERROR(VLOOKUP($B59 &amp; $C59&amp;CJ$4,tblForecast,CJ$2,FALSE),0),CH59+CI59)</f>
        <v>0</v>
      </c>
      <c r="CK59" s="46">
        <f t="shared" si="637"/>
        <v>0</v>
      </c>
      <c r="CL59" s="46">
        <f t="shared" si="637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>
        <f t="shared" si="583"/>
        <v>0</v>
      </c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6">
        <f>IFERROR(VLOOKUP(Brand&amp;Channel&amp;Country&amp;$C59,tblDiscount,6,FALSE),0)</f>
        <v>0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281</v>
      </c>
      <c r="D60" s="252">
        <f t="shared" ref="D60" si="642">SUM(D56:D59)</f>
        <v>0</v>
      </c>
      <c r="E60" s="253">
        <f t="shared" ref="E60" si="643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644">SUM(M56:M59)</f>
        <v>0</v>
      </c>
      <c r="N60" s="257">
        <f t="shared" si="644"/>
        <v>0</v>
      </c>
      <c r="O60" s="257">
        <f t="shared" ca="1" si="644"/>
        <v>0</v>
      </c>
      <c r="P60" s="258">
        <f t="shared" ca="1" si="39"/>
        <v>0</v>
      </c>
      <c r="Q60" s="259">
        <f t="shared" ref="Q60" ca="1" si="645">SUM(Q56:Q59)</f>
        <v>0</v>
      </c>
      <c r="R60" s="260">
        <f t="shared" ref="R60:S60" si="646">SUM(R56:R59)</f>
        <v>0</v>
      </c>
      <c r="S60" s="260">
        <f t="shared" si="646"/>
        <v>0</v>
      </c>
      <c r="T60" s="260">
        <f ca="1">SUM(T56:T59)</f>
        <v>0</v>
      </c>
      <c r="U60" s="258">
        <f t="shared" ca="1" si="7"/>
        <v>0</v>
      </c>
      <c r="V60" s="261">
        <f t="shared" ref="V60:X60" ca="1" si="647">V59</f>
        <v>0</v>
      </c>
      <c r="W60" s="325">
        <f t="shared" ca="1" si="647"/>
        <v>0</v>
      </c>
      <c r="X60" s="262">
        <f t="shared" ca="1" si="647"/>
        <v>0</v>
      </c>
      <c r="Y60" s="252">
        <f ca="1">SUM(Y56:Y59)</f>
        <v>0</v>
      </c>
      <c r="Z60" s="257">
        <f t="shared" ref="Z60:AB60" si="648">SUM(Z56:Z59)</f>
        <v>0</v>
      </c>
      <c r="AA60" s="257">
        <f t="shared" si="648"/>
        <v>0</v>
      </c>
      <c r="AB60" s="257">
        <f t="shared" ca="1" si="648"/>
        <v>0</v>
      </c>
      <c r="AC60" s="258">
        <f t="shared" ca="1" si="9"/>
        <v>0</v>
      </c>
      <c r="AD60" s="263">
        <f t="shared" ref="AD60:AG61" ca="1" si="649">IFERROR(Y60/L60,0)</f>
        <v>0</v>
      </c>
      <c r="AE60" s="264">
        <f t="shared" si="649"/>
        <v>0</v>
      </c>
      <c r="AF60" s="264">
        <f t="shared" si="649"/>
        <v>0</v>
      </c>
      <c r="AG60" s="264">
        <f t="shared" ca="1" si="649"/>
        <v>0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650">IFERROR(SUMPRODUCT(AJ56:AJ59,S56:S59)/S60,0)</f>
        <v>0</v>
      </c>
      <c r="AK60" s="266">
        <f t="shared" ca="1" si="650"/>
        <v>0</v>
      </c>
      <c r="AL60" s="258">
        <f t="shared" ca="1" si="546"/>
        <v>0</v>
      </c>
      <c r="AM60" s="265">
        <f t="shared" ref="AM60:AP61" ca="1" si="651">IF(Q60&lt;&gt;0,L60/Q60,0)</f>
        <v>0</v>
      </c>
      <c r="AN60" s="266">
        <f t="shared" si="651"/>
        <v>0</v>
      </c>
      <c r="AO60" s="266">
        <f t="shared" si="651"/>
        <v>0</v>
      </c>
      <c r="AP60" s="266">
        <f t="shared" ca="1" si="651"/>
        <v>0</v>
      </c>
      <c r="AQ60" s="258">
        <f t="shared" ca="1" si="14"/>
        <v>0</v>
      </c>
      <c r="AR60" s="265">
        <f t="shared" ref="AR60:AU61" ca="1" si="652">IFERROR((L60*(1-AD60))/Q60,0)</f>
        <v>0</v>
      </c>
      <c r="AS60" s="266">
        <f t="shared" si="652"/>
        <v>0</v>
      </c>
      <c r="AT60" s="266">
        <f t="shared" si="652"/>
        <v>0</v>
      </c>
      <c r="AU60" s="266">
        <f t="shared" ca="1" si="652"/>
        <v>0</v>
      </c>
      <c r="AV60" s="258">
        <f t="shared" ca="1" si="16"/>
        <v>0</v>
      </c>
      <c r="AW60" s="267">
        <f ca="1">IFERROR(SUMPRODUCT(AW56:AW59,Q56:Q59)/Q60,0)</f>
        <v>0</v>
      </c>
      <c r="AX60" s="268">
        <f t="shared" ref="AX60:AZ60" ca="1" si="653">IFERROR(SUMPRODUCT(AX56:AX59,X56:X59)/X60,0)</f>
        <v>0</v>
      </c>
      <c r="AY60" s="268">
        <f t="shared" ca="1" si="653"/>
        <v>0</v>
      </c>
      <c r="AZ60" s="268">
        <f t="shared" ca="1" si="653"/>
        <v>0</v>
      </c>
      <c r="BA60" s="259">
        <f ca="1">BA59</f>
        <v>0</v>
      </c>
      <c r="BB60" s="260">
        <f t="shared" ref="BB60:BD61" ca="1" si="654">BB59</f>
        <v>0</v>
      </c>
      <c r="BC60" s="260">
        <f t="shared" ca="1" si="654"/>
        <v>0</v>
      </c>
      <c r="BD60" s="260">
        <f t="shared" ca="1" si="654"/>
        <v>0</v>
      </c>
      <c r="BE60" s="258">
        <f t="shared" ca="1" si="19"/>
        <v>0</v>
      </c>
      <c r="BF60" s="260">
        <f>BF59</f>
        <v>0</v>
      </c>
      <c r="BG60" s="260">
        <f ca="1">BG59</f>
        <v>0</v>
      </c>
      <c r="BH60" s="269">
        <f ca="1">IF(Q60&lt;&gt;0,(BA60*COUNTIF(BH56:BH59,"&lt;&gt;0")/Q60),0)</f>
        <v>0</v>
      </c>
      <c r="BI60" s="270">
        <f ca="1">IF(T60&lt;&gt;0,(BD60*COUNTIF(BI56:BI59,"&lt;&gt;0")/T60),0)</f>
        <v>0</v>
      </c>
      <c r="BJ60" s="271">
        <f t="shared" ref="BJ60" ca="1" si="655">IF(BA60&lt;&gt;0,(Q60/COUNTIF(BJ56:BJ59,"&lt;&gt;0"))/BA60,0)</f>
        <v>0</v>
      </c>
      <c r="BK60" s="272">
        <f t="shared" ref="BK60" ca="1" si="656">IF(BD60&lt;&gt;0,(T60/COUNTIF(BK56:BK59,"&lt;&gt;0"))/BD60,0)</f>
        <v>0</v>
      </c>
      <c r="BL60" s="259">
        <f>SUM(BL56:BL59)</f>
        <v>0</v>
      </c>
      <c r="BM60" s="260">
        <f ca="1">SUM(BM56:BM59)</f>
        <v>0</v>
      </c>
      <c r="BN60" s="259">
        <f>SUM(BN56:BN59)</f>
        <v>0</v>
      </c>
      <c r="BO60" s="260">
        <f t="shared" ref="BO60:BQ60" ca="1" si="657">SUM(BO56:BO59)</f>
        <v>0</v>
      </c>
      <c r="BP60" s="259">
        <f>SUM(BP56:BP59)</f>
        <v>0</v>
      </c>
      <c r="BQ60" s="260">
        <f t="shared" ca="1" si="657"/>
        <v>0</v>
      </c>
      <c r="BR60" s="259">
        <f t="shared" si="43"/>
        <v>0</v>
      </c>
      <c r="BS60" s="260">
        <f t="shared" ca="1" si="22"/>
        <v>0</v>
      </c>
      <c r="BT60" s="259">
        <f t="shared" ref="BT60:BY60" si="658">SUM(BT56:BT59)</f>
        <v>0</v>
      </c>
      <c r="BU60" s="260">
        <f t="shared" si="658"/>
        <v>0</v>
      </c>
      <c r="BV60" s="260">
        <f t="shared" si="658"/>
        <v>0</v>
      </c>
      <c r="BW60" s="260">
        <f t="shared" si="658"/>
        <v>0</v>
      </c>
      <c r="BX60" s="260">
        <f t="shared" si="658"/>
        <v>0</v>
      </c>
      <c r="BY60" s="273">
        <f t="shared" ca="1" si="658"/>
        <v>0</v>
      </c>
      <c r="BZ60" s="258">
        <f t="shared" ca="1" si="25"/>
        <v>0</v>
      </c>
      <c r="CA60" s="331">
        <f t="shared" ref="CA60:CF60" si="659">SUM(CA56:CA59)</f>
        <v>0</v>
      </c>
      <c r="CB60" s="257">
        <f t="shared" si="659"/>
        <v>0</v>
      </c>
      <c r="CC60" s="257">
        <f t="shared" si="659"/>
        <v>0</v>
      </c>
      <c r="CD60" s="257">
        <f t="shared" si="659"/>
        <v>0</v>
      </c>
      <c r="CE60" s="257">
        <f t="shared" si="659"/>
        <v>0</v>
      </c>
      <c r="CF60" s="257">
        <f t="shared" ca="1" si="659"/>
        <v>0</v>
      </c>
      <c r="CG60" s="258">
        <f t="shared" ca="1" si="28"/>
        <v>0</v>
      </c>
      <c r="CH60" s="331">
        <f t="shared" ref="CH60:CM60" si="660">SUM(CH56:CH59)</f>
        <v>0</v>
      </c>
      <c r="CI60" s="257">
        <f t="shared" si="660"/>
        <v>0</v>
      </c>
      <c r="CJ60" s="257">
        <f t="shared" si="660"/>
        <v>0</v>
      </c>
      <c r="CK60" s="257">
        <f t="shared" si="660"/>
        <v>0</v>
      </c>
      <c r="CL60" s="257">
        <f t="shared" si="660"/>
        <v>0</v>
      </c>
      <c r="CM60" s="257">
        <f t="shared" ca="1" si="660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>
        <f t="shared" si="583"/>
        <v>0</v>
      </c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" si="661">D49+D55+D60</f>
        <v>0</v>
      </c>
      <c r="E61" s="204">
        <f t="shared" ref="E61" si="662">E49+E55+E60</f>
        <v>0</v>
      </c>
      <c r="F61" s="205">
        <f t="shared" si="45"/>
        <v>0</v>
      </c>
      <c r="G61" s="203">
        <f>G49+G55+G60</f>
        <v>0</v>
      </c>
      <c r="H61" s="206">
        <f>IFERROR(D61/G61,0)</f>
        <v>0</v>
      </c>
      <c r="I61" s="58">
        <f>IFERROR((I49*G49+I55*G55+I60*G60)/G61,0)</f>
        <v>0</v>
      </c>
      <c r="J61" s="203">
        <f t="shared" ref="J61" si="663">J49+J55+J60</f>
        <v>0</v>
      </c>
      <c r="K61" s="298">
        <f t="shared" ref="K61" si="664">K49+K55+K60</f>
        <v>0</v>
      </c>
      <c r="L61" s="53">
        <f ca="1">L49+L55+L60</f>
        <v>0</v>
      </c>
      <c r="M61" s="53">
        <f t="shared" ref="M61:O61" si="665">M49+M55+M60</f>
        <v>0</v>
      </c>
      <c r="N61" s="53">
        <f t="shared" si="665"/>
        <v>0</v>
      </c>
      <c r="O61" s="53">
        <f t="shared" ca="1" si="665"/>
        <v>0</v>
      </c>
      <c r="P61" s="54">
        <f t="shared" ca="1" si="39"/>
        <v>0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0</v>
      </c>
      <c r="U61" s="54">
        <f t="shared" ca="1" si="7"/>
        <v>0</v>
      </c>
      <c r="V61" s="245">
        <f t="shared" ref="V61:X61" ca="1" si="666">V60</f>
        <v>0</v>
      </c>
      <c r="W61" s="326">
        <f t="shared" ca="1" si="666"/>
        <v>0</v>
      </c>
      <c r="X61" s="246">
        <f t="shared" ca="1" si="666"/>
        <v>0</v>
      </c>
      <c r="Y61" s="52">
        <f ca="1">Y49+Y55+Y60</f>
        <v>0</v>
      </c>
      <c r="Z61" s="53">
        <f t="shared" ref="Z61:AB61" si="667">Z49+Z55+Z60</f>
        <v>0</v>
      </c>
      <c r="AA61" s="53">
        <f t="shared" si="667"/>
        <v>0</v>
      </c>
      <c r="AB61" s="53">
        <f t="shared" ca="1" si="667"/>
        <v>0</v>
      </c>
      <c r="AC61" s="54">
        <f t="shared" ca="1" si="9"/>
        <v>0</v>
      </c>
      <c r="AD61" s="77">
        <f t="shared" ca="1" si="649"/>
        <v>0</v>
      </c>
      <c r="AE61" s="78">
        <f t="shared" si="649"/>
        <v>0</v>
      </c>
      <c r="AF61" s="78">
        <f t="shared" si="649"/>
        <v>0</v>
      </c>
      <c r="AG61" s="78">
        <f t="shared" ca="1" si="649"/>
        <v>0</v>
      </c>
      <c r="AH61" s="58">
        <f ca="1">IFERROR((AH49*Q49+AH55*Q55+AH60*Q60)/Q61,0)</f>
        <v>0</v>
      </c>
      <c r="AI61" s="58">
        <f t="shared" ref="AI61:AL61" si="668">IFERROR((AI49*R49+AI55*R55+AI60*R60)/R61,0)</f>
        <v>0</v>
      </c>
      <c r="AJ61" s="58">
        <f t="shared" si="668"/>
        <v>0</v>
      </c>
      <c r="AK61" s="58">
        <f t="shared" ca="1" si="668"/>
        <v>0</v>
      </c>
      <c r="AL61" s="54">
        <f t="shared" ca="1" si="668"/>
        <v>0</v>
      </c>
      <c r="AM61" s="57">
        <f t="shared" ca="1" si="651"/>
        <v>0</v>
      </c>
      <c r="AN61" s="58">
        <f t="shared" si="651"/>
        <v>0</v>
      </c>
      <c r="AO61" s="58">
        <f t="shared" si="651"/>
        <v>0</v>
      </c>
      <c r="AP61" s="58">
        <f t="shared" ca="1" si="651"/>
        <v>0</v>
      </c>
      <c r="AQ61" s="54">
        <f t="shared" ca="1" si="14"/>
        <v>0</v>
      </c>
      <c r="AR61" s="57">
        <f t="shared" ca="1" si="652"/>
        <v>0</v>
      </c>
      <c r="AS61" s="58">
        <f t="shared" si="652"/>
        <v>0</v>
      </c>
      <c r="AT61" s="58">
        <f t="shared" si="652"/>
        <v>0</v>
      </c>
      <c r="AU61" s="58">
        <f t="shared" ca="1" si="652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669">IFERROR((AX49*X49+AX55*X55+AX60*X60)/X61,0)</f>
        <v>0</v>
      </c>
      <c r="AY61" s="60">
        <f t="shared" ca="1" si="669"/>
        <v>0</v>
      </c>
      <c r="AZ61" s="60">
        <f t="shared" ca="1" si="669"/>
        <v>0</v>
      </c>
      <c r="BA61" s="234">
        <f ca="1">BA60</f>
        <v>0</v>
      </c>
      <c r="BB61" s="228">
        <f t="shared" ca="1" si="654"/>
        <v>0</v>
      </c>
      <c r="BC61" s="228">
        <f t="shared" ca="1" si="654"/>
        <v>0</v>
      </c>
      <c r="BD61" s="228">
        <f t="shared" ca="1" si="654"/>
        <v>0</v>
      </c>
      <c r="BE61" s="54">
        <f t="shared" ca="1" si="19"/>
        <v>0</v>
      </c>
      <c r="BF61" s="228">
        <f>BF60</f>
        <v>0</v>
      </c>
      <c r="BG61" s="228">
        <f ca="1">BG60</f>
        <v>0</v>
      </c>
      <c r="BH61" s="62">
        <f ca="1">IF(Q59&lt;&gt;0,(BA61/(Q61/13)),0)</f>
        <v>0</v>
      </c>
      <c r="BI61" s="132">
        <f ca="1">IF(T59&lt;&gt;0,(BD61/(T61/13)),0)</f>
        <v>0</v>
      </c>
      <c r="BJ61" s="189">
        <f t="shared" ref="BJ61" ca="1" si="670">IF(BA61&lt;&gt;0,(Q61/13)/BA61,0)</f>
        <v>0</v>
      </c>
      <c r="BK61" s="61">
        <f t="shared" ref="BK61" ca="1" si="671">IF(BD61&lt;&gt;0,(T61/13)/BD61,0)</f>
        <v>0</v>
      </c>
      <c r="BL61" s="227">
        <f t="shared" ref="BL61:BY61" si="672">BL49+BL55+BL60</f>
        <v>0</v>
      </c>
      <c r="BM61" s="228">
        <f t="shared" ca="1" si="672"/>
        <v>0</v>
      </c>
      <c r="BN61" s="227">
        <f t="shared" si="672"/>
        <v>0</v>
      </c>
      <c r="BO61" s="228">
        <f t="shared" ca="1" si="672"/>
        <v>0</v>
      </c>
      <c r="BP61" s="227">
        <f t="shared" si="672"/>
        <v>0</v>
      </c>
      <c r="BQ61" s="228">
        <f t="shared" ca="1" si="672"/>
        <v>0</v>
      </c>
      <c r="BR61" s="227">
        <f t="shared" si="43"/>
        <v>0</v>
      </c>
      <c r="BS61" s="228">
        <f t="shared" ca="1" si="22"/>
        <v>0</v>
      </c>
      <c r="BT61" s="227">
        <f t="shared" si="672"/>
        <v>0</v>
      </c>
      <c r="BU61" s="228">
        <f t="shared" si="672"/>
        <v>0</v>
      </c>
      <c r="BV61" s="228">
        <f t="shared" si="672"/>
        <v>0</v>
      </c>
      <c r="BW61" s="228">
        <f t="shared" si="672"/>
        <v>0</v>
      </c>
      <c r="BX61" s="228">
        <f t="shared" si="672"/>
        <v>0</v>
      </c>
      <c r="BY61" s="56">
        <f t="shared" ca="1" si="672"/>
        <v>0</v>
      </c>
      <c r="BZ61" s="54">
        <f t="shared" ca="1" si="25"/>
        <v>0</v>
      </c>
      <c r="CA61" s="332">
        <f t="shared" ref="CA61:CF61" si="673">CA49+CA55+CA60</f>
        <v>0</v>
      </c>
      <c r="CB61" s="53">
        <f t="shared" si="673"/>
        <v>0</v>
      </c>
      <c r="CC61" s="53">
        <f t="shared" si="673"/>
        <v>0</v>
      </c>
      <c r="CD61" s="53">
        <f t="shared" si="673"/>
        <v>0</v>
      </c>
      <c r="CE61" s="53">
        <f t="shared" si="673"/>
        <v>0</v>
      </c>
      <c r="CF61" s="53">
        <f t="shared" ca="1" si="673"/>
        <v>0</v>
      </c>
      <c r="CG61" s="54">
        <f t="shared" ca="1" si="28"/>
        <v>0</v>
      </c>
      <c r="CH61" s="332">
        <f t="shared" ref="CH61:CM61" si="674">CH49+CH55+CH60</f>
        <v>0</v>
      </c>
      <c r="CI61" s="53">
        <f t="shared" si="674"/>
        <v>0</v>
      </c>
      <c r="CJ61" s="53">
        <f t="shared" si="674"/>
        <v>0</v>
      </c>
      <c r="CK61" s="53">
        <f t="shared" si="674"/>
        <v>0</v>
      </c>
      <c r="CL61" s="53">
        <f t="shared" si="674"/>
        <v>0</v>
      </c>
      <c r="CM61" s="53">
        <f t="shared" ca="1" si="674"/>
        <v>0</v>
      </c>
      <c r="CN61" s="54">
        <f t="shared" ca="1" si="31"/>
        <v>0</v>
      </c>
      <c r="CO61" s="55">
        <f t="shared" si="46"/>
        <v>0</v>
      </c>
      <c r="CP61" s="222">
        <f t="shared" ca="1" si="46"/>
        <v>0</v>
      </c>
      <c r="CQ61" s="54">
        <f t="shared" ca="1" si="33"/>
        <v>0</v>
      </c>
      <c r="CR61" s="55">
        <f t="shared" si="44"/>
        <v>0</v>
      </c>
      <c r="CS61" s="222">
        <f t="shared" ca="1" si="34"/>
        <v>0</v>
      </c>
      <c r="CT61" s="54">
        <f t="shared" ca="1" si="47"/>
        <v>0</v>
      </c>
      <c r="CU61" s="44">
        <f t="shared" si="583"/>
        <v>0</v>
      </c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6"/>
      <c r="DA61" s="277"/>
      <c r="DB61" s="277"/>
      <c r="DC61" s="278"/>
    </row>
    <row r="62" spans="1:107" x14ac:dyDescent="0.25">
      <c r="A62" s="44" t="s">
        <v>478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675">IFERROR(VLOOKUP($B62 &amp; $C62&amp;G$4&amp;$A62,tblForecast,G$2,FALSE),0)</f>
        <v>0</v>
      </c>
      <c r="H62" s="202">
        <f t="shared" si="675"/>
        <v>0</v>
      </c>
      <c r="I62" s="202">
        <f t="shared" si="675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676">Q62*AM62</f>
        <v>0</v>
      </c>
      <c r="M62" s="90">
        <f t="shared" si="676"/>
        <v>0</v>
      </c>
      <c r="N62" s="46">
        <f t="shared" si="676"/>
        <v>0</v>
      </c>
      <c r="O62" s="46">
        <f t="shared" ca="1" si="676"/>
        <v>0</v>
      </c>
      <c r="P62" s="47">
        <f t="shared" ca="1" si="39"/>
        <v>0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677">IFERROR(VLOOKUP($B62 &amp; $C62&amp;S$4,tblForecast,S$2,FALSE),0)</f>
        <v>0</v>
      </c>
      <c r="T62" s="238">
        <f ca="1">SUMIFS(OFFSET(tblForecast,,T$2,,1),OFFSET(tblForecast,,,,1),$B62-IF(CompareVer="LY",1,0)&amp; $C62 &amp;T$4)</f>
        <v>0</v>
      </c>
      <c r="U62" s="91">
        <f t="shared" ca="1" si="7"/>
        <v>0</v>
      </c>
      <c r="V62" s="247">
        <f ca="1">IFERROR(IF(Q59&lt;&gt;0,Q62/Q59,0),0)</f>
        <v>0</v>
      </c>
      <c r="W62" s="327">
        <f ca="1">IFERROR(IF(R59&lt;&gt;0,R62/R59,X62),0)</f>
        <v>0</v>
      </c>
      <c r="X62" s="248">
        <f ca="1">IFERROR(IF(T59&lt;&gt;0,T62/T59,0),0)</f>
        <v>0</v>
      </c>
      <c r="Y62" s="51">
        <f t="shared" ref="Y62:AB65" ca="1" si="678">IFERROR(L62*AD62,0)</f>
        <v>0</v>
      </c>
      <c r="Z62" s="46">
        <f t="shared" si="678"/>
        <v>0</v>
      </c>
      <c r="AA62" s="46">
        <f t="shared" si="678"/>
        <v>0</v>
      </c>
      <c r="AB62" s="46">
        <f t="shared" ca="1" si="678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679">IF(AN62&lt;&gt;0,1-AS62/AN62,0)</f>
        <v>0</v>
      </c>
      <c r="AF62" s="93">
        <f t="shared" si="679"/>
        <v>0</v>
      </c>
      <c r="AG62" s="76">
        <f t="shared" ca="1" si="679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680">IFERROR(VLOOKUP($B62 &amp; $C62&amp;AI$4,tblForecast,AI$2,FALSE),0)</f>
        <v>0</v>
      </c>
      <c r="AJ62" s="94">
        <f t="shared" si="680"/>
        <v>0</v>
      </c>
      <c r="AK62" s="49">
        <f ca="1">IFERROR(CF62/BY62,0)</f>
        <v>0</v>
      </c>
      <c r="AL62" s="47">
        <f t="shared" ref="AL62:AL94" ca="1" si="681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682">IFERROR(VLOOKUP($B62 &amp; $C62&amp;AN$4,tblForecast,AN$2,FALSE),0)</f>
        <v>0</v>
      </c>
      <c r="AO62" s="94">
        <f t="shared" si="682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683">IFERROR(VLOOKUP($B62 &amp; $C62&amp;AS$4,tblForecast,AS$2,FALSE),0)</f>
        <v>0</v>
      </c>
      <c r="AT62" s="94">
        <f t="shared" si="683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0">
        <f t="shared" ref="AW62:AZ65" ca="1" si="684">IFERROR((AM62/AH62-1)*-1,0)</f>
        <v>0</v>
      </c>
      <c r="AX62" s="191">
        <f t="shared" si="684"/>
        <v>0</v>
      </c>
      <c r="AY62" s="191">
        <f t="shared" si="684"/>
        <v>0</v>
      </c>
      <c r="AZ62" s="191">
        <f t="shared" ca="1" si="684"/>
        <v>0</v>
      </c>
      <c r="BA62" s="233">
        <f ca="1">IF(BA61+BV62+BL62+BR62-Q62&lt;0,0,BA61+BV62+BL62+BR62-Q62)</f>
        <v>0</v>
      </c>
      <c r="BB62" s="229">
        <f ca="1">IF(IFERROR(VLOOKUP($B62 &amp; $C62&amp;BB$4,tblForecast,BB$2,FALSE),0)=0,BA62,IFERROR(VLOOKUP($B62 &amp; $C62&amp;BB$4,tblForecast,BB$2,FALSE),0))</f>
        <v>0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685">CX62+BG62</f>
        <v>0</v>
      </c>
      <c r="BE62" s="193">
        <f t="shared" ca="1" si="19"/>
        <v>0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0</v>
      </c>
      <c r="BH62" s="178">
        <f ca="1">IF(Q62&lt;&gt;0,BA62/Q62,0)</f>
        <v>0</v>
      </c>
      <c r="BI62" s="182">
        <f ca="1">IF(T62&lt;&gt;0,BD62/T62,0)</f>
        <v>0</v>
      </c>
      <c r="BJ62" s="194">
        <f t="shared" ref="BJ62:BJ65" ca="1" si="686">IF(BA62&lt;&gt;0,Q62/BA62,0)</f>
        <v>0</v>
      </c>
      <c r="BK62" s="50">
        <f t="shared" ref="BK62:BK65" ca="1" si="687">IF(BD62&lt;&gt;0,T62/BD62,0)</f>
        <v>0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0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0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0</v>
      </c>
      <c r="BR62" s="225">
        <f t="shared" si="43"/>
        <v>0</v>
      </c>
      <c r="BS62" s="229">
        <f t="shared" ca="1" si="22"/>
        <v>0</v>
      </c>
      <c r="BT62" s="232">
        <f t="shared" ref="BT62:BU65" si="688">IFERROR(VLOOKUP($B62 &amp; $C62&amp;BT$4,tblForecast,BT$2,FALSE),0)</f>
        <v>0</v>
      </c>
      <c r="BU62" s="229">
        <f t="shared" si="688"/>
        <v>0</v>
      </c>
      <c r="BV62" s="229">
        <f>IF($A62="a",IFERROR(VLOOKUP($B62 &amp; $C62&amp;BV$4,tblForecast,BV$2,FALSE),0),BT62+BU62)</f>
        <v>0</v>
      </c>
      <c r="BW62" s="229">
        <f t="shared" ref="BW62:BX65" si="689">IFERROR(VLOOKUP($B62 &amp; $C62&amp;BW$4,tblForecast,BW$2,FALSE),0)</f>
        <v>0</v>
      </c>
      <c r="BX62" s="229">
        <f t="shared" si="689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690">IFERROR(VLOOKUP($B62 &amp; $C62&amp;CA$4,tblForecast,CA$2,FALSE),0)</f>
        <v>0</v>
      </c>
      <c r="CB62" s="46">
        <f t="shared" si="690"/>
        <v>0</v>
      </c>
      <c r="CC62" s="46">
        <f>IF($A62="a",IFERROR(VLOOKUP($B62 &amp; $C62&amp;CC$4,tblForecast,CC$2,FALSE),0),CA62+CB62)</f>
        <v>0</v>
      </c>
      <c r="CD62" s="46">
        <f t="shared" ref="CD62:CE65" si="691">IFERROR(VLOOKUP($B62 &amp; $C62&amp;CD$4,tblForecast,CD$2,FALSE),0)</f>
        <v>0</v>
      </c>
      <c r="CE62" s="46">
        <f t="shared" si="691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692">IFERROR(VLOOKUP($B62 &amp; $C62&amp;CH$4,tblForecast,CH$2,FALSE),0)</f>
        <v>0</v>
      </c>
      <c r="CI62" s="46">
        <f t="shared" si="692"/>
        <v>0</v>
      </c>
      <c r="CJ62" s="46">
        <f>IF($A62="a",IFERROR(VLOOKUP($B62 &amp; $C62&amp;CJ$4,tblForecast,CJ$2,FALSE),0),CH62+CI62)</f>
        <v>0</v>
      </c>
      <c r="CK62" s="46">
        <f t="shared" ref="CK62:CL65" si="693">IFERROR(VLOOKUP($B62 &amp; $C62&amp;CK$4,tblForecast,CK$2,FALSE),0)</f>
        <v>0</v>
      </c>
      <c r="CL62" s="46">
        <f t="shared" si="693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>
        <f t="shared" si="583"/>
        <v>0</v>
      </c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6">
        <f>IFERROR(VLOOKUP(Brand&amp;Channel&amp;Country&amp;$C62,tblDiscount,6,FALSE),0)</f>
        <v>0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478</v>
      </c>
      <c r="B63" s="44">
        <v>2018</v>
      </c>
      <c r="C63" s="88">
        <v>41</v>
      </c>
      <c r="D63" s="51">
        <f t="shared" ref="D63:D65" si="694">G63*H63</f>
        <v>0</v>
      </c>
      <c r="E63" s="201">
        <f t="shared" ref="E63:E65" si="695">IFERROR(D63*F63,0)</f>
        <v>0</v>
      </c>
      <c r="F63" s="181">
        <f t="shared" si="45"/>
        <v>0</v>
      </c>
      <c r="G63" s="175">
        <f t="shared" si="675"/>
        <v>0</v>
      </c>
      <c r="H63" s="202">
        <f t="shared" si="675"/>
        <v>0</v>
      </c>
      <c r="I63" s="202">
        <f t="shared" si="675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676"/>
        <v>0</v>
      </c>
      <c r="M63" s="90">
        <f t="shared" si="676"/>
        <v>0</v>
      </c>
      <c r="N63" s="46">
        <f t="shared" si="676"/>
        <v>0</v>
      </c>
      <c r="O63" s="46">
        <f t="shared" ca="1" si="676"/>
        <v>0</v>
      </c>
      <c r="P63" s="47">
        <f t="shared" ca="1" si="39"/>
        <v>0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677"/>
        <v>0</v>
      </c>
      <c r="T63" s="238">
        <f ca="1">SUMIFS(OFFSET(tblForecast,,T$2,,1),OFFSET(tblForecast,,,,1),$B63-IF(CompareVer="LY",1,0)&amp; $C63 &amp;T$4)</f>
        <v>0</v>
      </c>
      <c r="U63" s="91">
        <f t="shared" ca="1" si="7"/>
        <v>0</v>
      </c>
      <c r="V63" s="247">
        <f t="shared" ref="V63:V65" ca="1" si="696">IFERROR(IF(Q62&lt;&gt;0,Q63/Q62,0),0)</f>
        <v>0</v>
      </c>
      <c r="W63" s="327">
        <f ca="1">IFERROR(IF(R62&lt;&gt;0,R63/R62,X63),0)</f>
        <v>0</v>
      </c>
      <c r="X63" s="248">
        <f ca="1">IFERROR(IF(T62&lt;&gt;0,T63/T62,0),0)</f>
        <v>0</v>
      </c>
      <c r="Y63" s="51">
        <f t="shared" ca="1" si="678"/>
        <v>0</v>
      </c>
      <c r="Z63" s="46">
        <f t="shared" si="678"/>
        <v>0</v>
      </c>
      <c r="AA63" s="46">
        <f t="shared" si="678"/>
        <v>0</v>
      </c>
      <c r="AB63" s="46">
        <f t="shared" ca="1" si="678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679"/>
        <v>0</v>
      </c>
      <c r="AF63" s="93">
        <f t="shared" si="679"/>
        <v>0</v>
      </c>
      <c r="AG63" s="76">
        <f t="shared" ca="1" si="679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680"/>
        <v>0</v>
      </c>
      <c r="AJ63" s="94">
        <f t="shared" si="680"/>
        <v>0</v>
      </c>
      <c r="AK63" s="49">
        <f ca="1">IFERROR(CF63/BY63,0)</f>
        <v>0</v>
      </c>
      <c r="AL63" s="47">
        <f t="shared" ca="1" si="681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682"/>
        <v>0</v>
      </c>
      <c r="AO63" s="94">
        <f t="shared" si="682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683"/>
        <v>0</v>
      </c>
      <c r="AT63" s="94">
        <f t="shared" si="683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0">
        <f t="shared" ca="1" si="684"/>
        <v>0</v>
      </c>
      <c r="AX63" s="191">
        <f t="shared" si="684"/>
        <v>0</v>
      </c>
      <c r="AY63" s="191">
        <f t="shared" si="684"/>
        <v>0</v>
      </c>
      <c r="AZ63" s="191">
        <f t="shared" ca="1" si="684"/>
        <v>0</v>
      </c>
      <c r="BA63" s="233">
        <f ca="1">IF(BA62+BV63+BL63+BR63-Q63&lt;0,0,BA62+BV63+BL63+BR63-Q63)</f>
        <v>0</v>
      </c>
      <c r="BB63" s="229">
        <f ca="1">IF(IFERROR(VLOOKUP($B63 &amp; $C63&amp;BB$4,tblForecast,BB$2,FALSE),0)=0,BA63,IFERROR(VLOOKUP($B63 &amp; $C63&amp;BB$4,tblForecast,BB$2,FALSE),0))</f>
        <v>0</v>
      </c>
      <c r="BC63" s="229">
        <f ca="1">SUMIFS(OFFSET(tblForecast,,BC$2,,1),OFFSET(tblForecast,,,,1),$B63-IF(CompareVer="LY",1,0)&amp; $C63 &amp;BC$4)</f>
        <v>0</v>
      </c>
      <c r="BD63" s="229">
        <f t="shared" ca="1" si="685"/>
        <v>0</v>
      </c>
      <c r="BE63" s="193">
        <f t="shared" ca="1" si="19"/>
        <v>0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0</v>
      </c>
      <c r="BH63" s="178">
        <f ca="1">IF(Q63&lt;&gt;0,BA63/Q63,0)</f>
        <v>0</v>
      </c>
      <c r="BI63" s="182">
        <f ca="1">IF(T63&lt;&gt;0,BD63/T63,0)</f>
        <v>0</v>
      </c>
      <c r="BJ63" s="194">
        <f t="shared" ca="1" si="686"/>
        <v>0</v>
      </c>
      <c r="BK63" s="50">
        <f t="shared" ca="1" si="687"/>
        <v>0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0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0</v>
      </c>
      <c r="BR63" s="225">
        <f t="shared" si="43"/>
        <v>0</v>
      </c>
      <c r="BS63" s="229">
        <f t="shared" ca="1" si="22"/>
        <v>0</v>
      </c>
      <c r="BT63" s="232">
        <f t="shared" si="688"/>
        <v>0</v>
      </c>
      <c r="BU63" s="229">
        <f t="shared" si="688"/>
        <v>0</v>
      </c>
      <c r="BV63" s="229">
        <f>IF($A63="a",IFERROR(VLOOKUP($B63 &amp; $C63&amp;BV$4,tblForecast,BV$2,FALSE),0),BT63+BU63)</f>
        <v>0</v>
      </c>
      <c r="BW63" s="229">
        <f t="shared" si="689"/>
        <v>0</v>
      </c>
      <c r="BX63" s="229">
        <f t="shared" si="689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690"/>
        <v>0</v>
      </c>
      <c r="CB63" s="46">
        <f t="shared" si="690"/>
        <v>0</v>
      </c>
      <c r="CC63" s="46">
        <f>IF($A63="a",IFERROR(VLOOKUP($B63 &amp; $C63&amp;CC$4,tblForecast,CC$2,FALSE),0),CA63+CB63)</f>
        <v>0</v>
      </c>
      <c r="CD63" s="46">
        <f t="shared" si="691"/>
        <v>0</v>
      </c>
      <c r="CE63" s="46">
        <f t="shared" si="691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692"/>
        <v>0</v>
      </c>
      <c r="CI63" s="46">
        <f t="shared" si="692"/>
        <v>0</v>
      </c>
      <c r="CJ63" s="46">
        <f>IF($A63="a",IFERROR(VLOOKUP($B63 &amp; $C63&amp;CJ$4,tblForecast,CJ$2,FALSE),0),CH63+CI63)</f>
        <v>0</v>
      </c>
      <c r="CK63" s="46">
        <f t="shared" si="693"/>
        <v>0</v>
      </c>
      <c r="CL63" s="46">
        <f t="shared" si="693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>
        <f t="shared" si="583"/>
        <v>0</v>
      </c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6">
        <f>IFERROR(VLOOKUP(Brand&amp;Channel&amp;Country&amp;$C63,tblDiscount,6,FALSE),0)</f>
        <v>0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478</v>
      </c>
      <c r="B64" s="44">
        <v>2018</v>
      </c>
      <c r="C64" s="88">
        <v>42</v>
      </c>
      <c r="D64" s="51">
        <f t="shared" si="694"/>
        <v>0</v>
      </c>
      <c r="E64" s="201">
        <f t="shared" si="695"/>
        <v>0</v>
      </c>
      <c r="F64" s="181">
        <f t="shared" si="45"/>
        <v>0</v>
      </c>
      <c r="G64" s="175">
        <f t="shared" si="675"/>
        <v>0</v>
      </c>
      <c r="H64" s="202">
        <f t="shared" si="675"/>
        <v>0</v>
      </c>
      <c r="I64" s="202">
        <f t="shared" si="675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676"/>
        <v>0</v>
      </c>
      <c r="M64" s="90">
        <f t="shared" si="676"/>
        <v>0</v>
      </c>
      <c r="N64" s="46">
        <f t="shared" si="676"/>
        <v>0</v>
      </c>
      <c r="O64" s="46">
        <f t="shared" ca="1" si="676"/>
        <v>0</v>
      </c>
      <c r="P64" s="47">
        <f t="shared" ca="1" si="39"/>
        <v>0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677"/>
        <v>0</v>
      </c>
      <c r="T64" s="238">
        <f ca="1">SUMIFS(OFFSET(tblForecast,,T$2,,1),OFFSET(tblForecast,,,,1),$B64-IF(CompareVer="LY",1,0)&amp; $C64 &amp;T$4)</f>
        <v>0</v>
      </c>
      <c r="U64" s="91">
        <f t="shared" ca="1" si="7"/>
        <v>0</v>
      </c>
      <c r="V64" s="247">
        <f t="shared" ca="1" si="696"/>
        <v>0</v>
      </c>
      <c r="W64" s="327">
        <f ca="1">IFERROR(IF(R63&lt;&gt;0,R64/R63,X64),0)</f>
        <v>0</v>
      </c>
      <c r="X64" s="248">
        <f ca="1">IFERROR(IF(T63&lt;&gt;0,T64/T63,0),0)</f>
        <v>0</v>
      </c>
      <c r="Y64" s="51">
        <f t="shared" ca="1" si="678"/>
        <v>0</v>
      </c>
      <c r="Z64" s="46">
        <f t="shared" si="678"/>
        <v>0</v>
      </c>
      <c r="AA64" s="46">
        <f t="shared" si="678"/>
        <v>0</v>
      </c>
      <c r="AB64" s="46">
        <f t="shared" ca="1" si="678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679"/>
        <v>0</v>
      </c>
      <c r="AF64" s="93">
        <f t="shared" si="679"/>
        <v>0</v>
      </c>
      <c r="AG64" s="76">
        <f t="shared" ca="1" si="679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680"/>
        <v>0</v>
      </c>
      <c r="AJ64" s="94">
        <f t="shared" si="680"/>
        <v>0</v>
      </c>
      <c r="AK64" s="49">
        <f ca="1">IFERROR(CF64/BY64,0)</f>
        <v>0</v>
      </c>
      <c r="AL64" s="47">
        <f t="shared" ca="1" si="681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682"/>
        <v>0</v>
      </c>
      <c r="AO64" s="94">
        <f t="shared" si="682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683"/>
        <v>0</v>
      </c>
      <c r="AT64" s="94">
        <f t="shared" si="683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0">
        <f t="shared" ca="1" si="684"/>
        <v>0</v>
      </c>
      <c r="AX64" s="191">
        <f t="shared" si="684"/>
        <v>0</v>
      </c>
      <c r="AY64" s="191">
        <f t="shared" si="684"/>
        <v>0</v>
      </c>
      <c r="AZ64" s="191">
        <f t="shared" ca="1" si="684"/>
        <v>0</v>
      </c>
      <c r="BA64" s="233">
        <f ca="1">IF(BA63+BV64+BL64+BR64-Q64&lt;0,0,BA63+BV64+BL64+BR64-Q64)</f>
        <v>0</v>
      </c>
      <c r="BB64" s="229">
        <f ca="1">IF(IFERROR(VLOOKUP($B64 &amp; $C64&amp;BB$4,tblForecast,BB$2,FALSE),0)=0,BA64,IFERROR(VLOOKUP($B64 &amp; $C64&amp;BB$4,tblForecast,BB$2,FALSE),0))</f>
        <v>0</v>
      </c>
      <c r="BC64" s="229">
        <f ca="1">SUMIFS(OFFSET(tblForecast,,BC$2,,1),OFFSET(tblForecast,,,,1),$B64-IF(CompareVer="LY",1,0)&amp; $C64 &amp;BC$4)</f>
        <v>0</v>
      </c>
      <c r="BD64" s="229">
        <f t="shared" ca="1" si="685"/>
        <v>0</v>
      </c>
      <c r="BE64" s="193">
        <f t="shared" ca="1" si="19"/>
        <v>0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0</v>
      </c>
      <c r="BH64" s="178">
        <f ca="1">IF(Q64&lt;&gt;0,BA64/Q64,0)</f>
        <v>0</v>
      </c>
      <c r="BI64" s="182">
        <f ca="1">IF(T64&lt;&gt;0,BD64/T64,0)</f>
        <v>0</v>
      </c>
      <c r="BJ64" s="194">
        <f t="shared" ca="1" si="686"/>
        <v>0</v>
      </c>
      <c r="BK64" s="50">
        <f t="shared" ca="1" si="687"/>
        <v>0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0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0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0</v>
      </c>
      <c r="BR64" s="225">
        <f t="shared" si="43"/>
        <v>0</v>
      </c>
      <c r="BS64" s="229">
        <f t="shared" ca="1" si="22"/>
        <v>0</v>
      </c>
      <c r="BT64" s="232">
        <f t="shared" si="688"/>
        <v>0</v>
      </c>
      <c r="BU64" s="229">
        <f t="shared" si="688"/>
        <v>0</v>
      </c>
      <c r="BV64" s="229">
        <f>IF($A64="a",IFERROR(VLOOKUP($B64 &amp; $C64&amp;BV$4,tblForecast,BV$2,FALSE),0),BT64+BU64)</f>
        <v>0</v>
      </c>
      <c r="BW64" s="229">
        <f t="shared" si="689"/>
        <v>0</v>
      </c>
      <c r="BX64" s="229">
        <f t="shared" si="689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690"/>
        <v>0</v>
      </c>
      <c r="CB64" s="46">
        <f t="shared" si="690"/>
        <v>0</v>
      </c>
      <c r="CC64" s="46">
        <f>IF($A64="a",IFERROR(VLOOKUP($B64 &amp; $C64&amp;CC$4,tblForecast,CC$2,FALSE),0),CA64+CB64)</f>
        <v>0</v>
      </c>
      <c r="CD64" s="46">
        <f t="shared" si="691"/>
        <v>0</v>
      </c>
      <c r="CE64" s="46">
        <f t="shared" si="691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692"/>
        <v>0</v>
      </c>
      <c r="CI64" s="46">
        <f t="shared" si="692"/>
        <v>0</v>
      </c>
      <c r="CJ64" s="46">
        <f>IF($A64="a",IFERROR(VLOOKUP($B64 &amp; $C64&amp;CJ$4,tblForecast,CJ$2,FALSE),0),CH64+CI64)</f>
        <v>0</v>
      </c>
      <c r="CK64" s="46">
        <f t="shared" si="693"/>
        <v>0</v>
      </c>
      <c r="CL64" s="46">
        <f t="shared" si="693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>
        <f t="shared" si="583"/>
        <v>0</v>
      </c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6">
        <f>IFERROR(VLOOKUP(Brand&amp;Channel&amp;Country&amp;$C64,tblDiscount,6,FALSE),0)</f>
        <v>0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478</v>
      </c>
      <c r="B65" s="44">
        <v>2018</v>
      </c>
      <c r="C65" s="88">
        <v>43</v>
      </c>
      <c r="D65" s="51">
        <f t="shared" si="694"/>
        <v>0</v>
      </c>
      <c r="E65" s="201">
        <f t="shared" si="695"/>
        <v>0</v>
      </c>
      <c r="F65" s="181">
        <f t="shared" si="45"/>
        <v>0</v>
      </c>
      <c r="G65" s="175">
        <f t="shared" si="675"/>
        <v>0</v>
      </c>
      <c r="H65" s="202">
        <f t="shared" si="675"/>
        <v>0</v>
      </c>
      <c r="I65" s="202">
        <f t="shared" si="675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676"/>
        <v>0</v>
      </c>
      <c r="M65" s="90">
        <f t="shared" si="676"/>
        <v>0</v>
      </c>
      <c r="N65" s="46">
        <f t="shared" si="676"/>
        <v>0</v>
      </c>
      <c r="O65" s="46">
        <f t="shared" ca="1" si="676"/>
        <v>0</v>
      </c>
      <c r="P65" s="47">
        <f t="shared" ca="1" si="39"/>
        <v>0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677"/>
        <v>0</v>
      </c>
      <c r="T65" s="238">
        <f ca="1">SUMIFS(OFFSET(tblForecast,,T$2,,1),OFFSET(tblForecast,,,,1),$B65-IF(CompareVer="LY",1,0)&amp; $C65 &amp;T$4)</f>
        <v>0</v>
      </c>
      <c r="U65" s="91">
        <f t="shared" ca="1" si="7"/>
        <v>0</v>
      </c>
      <c r="V65" s="247">
        <f t="shared" ca="1" si="696"/>
        <v>0</v>
      </c>
      <c r="W65" s="327">
        <f ca="1">IFERROR(IF(R64&lt;&gt;0,R65/R64,X65),0)</f>
        <v>0</v>
      </c>
      <c r="X65" s="248">
        <f ca="1">IFERROR(IF(T64&lt;&gt;0,T65/T64,0),0)</f>
        <v>0</v>
      </c>
      <c r="Y65" s="51">
        <f t="shared" ca="1" si="678"/>
        <v>0</v>
      </c>
      <c r="Z65" s="46">
        <f t="shared" si="678"/>
        <v>0</v>
      </c>
      <c r="AA65" s="46">
        <f t="shared" si="678"/>
        <v>0</v>
      </c>
      <c r="AB65" s="46">
        <f t="shared" ca="1" si="678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679"/>
        <v>0</v>
      </c>
      <c r="AF65" s="93">
        <f t="shared" si="679"/>
        <v>0</v>
      </c>
      <c r="AG65" s="76">
        <f t="shared" ca="1" si="679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680"/>
        <v>0</v>
      </c>
      <c r="AJ65" s="94">
        <f t="shared" si="680"/>
        <v>0</v>
      </c>
      <c r="AK65" s="49">
        <f ca="1">IFERROR(CF65/BY65,0)</f>
        <v>0</v>
      </c>
      <c r="AL65" s="47">
        <f t="shared" ca="1" si="681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682"/>
        <v>0</v>
      </c>
      <c r="AO65" s="94">
        <f t="shared" si="682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683"/>
        <v>0</v>
      </c>
      <c r="AT65" s="94">
        <f t="shared" si="683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0">
        <f t="shared" ca="1" si="684"/>
        <v>0</v>
      </c>
      <c r="AX65" s="191">
        <f t="shared" si="684"/>
        <v>0</v>
      </c>
      <c r="AY65" s="191">
        <f t="shared" si="684"/>
        <v>0</v>
      </c>
      <c r="AZ65" s="191">
        <f t="shared" ca="1" si="684"/>
        <v>0</v>
      </c>
      <c r="BA65" s="233">
        <f ca="1">IF(BA64+BV65+BL65+BR65-Q65&lt;0,0,BA64+BV65+BL65+BR65-Q65)</f>
        <v>0</v>
      </c>
      <c r="BB65" s="229">
        <f ca="1">IF(IFERROR(VLOOKUP($B65 &amp; $C65&amp;BB$4,tblForecast,BB$2,FALSE),0)=0,BA65,IFERROR(VLOOKUP($B65 &amp; $C65&amp;BB$4,tblForecast,BB$2,FALSE),0))</f>
        <v>0</v>
      </c>
      <c r="BC65" s="229">
        <f ca="1">SUMIFS(OFFSET(tblForecast,,BC$2,,1),OFFSET(tblForecast,,,,1),$B65-IF(CompareVer="LY",1,0)&amp; $C65 &amp;BC$4)</f>
        <v>0</v>
      </c>
      <c r="BD65" s="229">
        <f t="shared" ca="1" si="685"/>
        <v>0</v>
      </c>
      <c r="BE65" s="193">
        <f t="shared" ca="1" si="19"/>
        <v>0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0</v>
      </c>
      <c r="BH65" s="178">
        <f ca="1">IF(Q65&lt;&gt;0,BA65/Q65,0)</f>
        <v>0</v>
      </c>
      <c r="BI65" s="182">
        <f ca="1">IF(T65&lt;&gt;0,BD65/T65,0)</f>
        <v>0</v>
      </c>
      <c r="BJ65" s="194">
        <f t="shared" ca="1" si="686"/>
        <v>0</v>
      </c>
      <c r="BK65" s="50">
        <f t="shared" ca="1" si="687"/>
        <v>0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0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0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0</v>
      </c>
      <c r="BR65" s="225">
        <f t="shared" si="43"/>
        <v>0</v>
      </c>
      <c r="BS65" s="229">
        <f t="shared" ca="1" si="22"/>
        <v>0</v>
      </c>
      <c r="BT65" s="232">
        <f t="shared" si="688"/>
        <v>0</v>
      </c>
      <c r="BU65" s="229">
        <f t="shared" si="688"/>
        <v>0</v>
      </c>
      <c r="BV65" s="229">
        <f>IF($A65="a",IFERROR(VLOOKUP($B65 &amp; $C65&amp;BV$4,tblForecast,BV$2,FALSE),0),BT65+BU65)</f>
        <v>0</v>
      </c>
      <c r="BW65" s="229">
        <f t="shared" si="689"/>
        <v>0</v>
      </c>
      <c r="BX65" s="229">
        <f t="shared" si="689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690"/>
        <v>0</v>
      </c>
      <c r="CB65" s="46">
        <f t="shared" si="690"/>
        <v>0</v>
      </c>
      <c r="CC65" s="46">
        <f>IF($A65="a",IFERROR(VLOOKUP($B65 &amp; $C65&amp;CC$4,tblForecast,CC$2,FALSE),0),CA65+CB65)</f>
        <v>0</v>
      </c>
      <c r="CD65" s="46">
        <f t="shared" si="691"/>
        <v>0</v>
      </c>
      <c r="CE65" s="46">
        <f t="shared" si="691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692"/>
        <v>0</v>
      </c>
      <c r="CI65" s="46">
        <f t="shared" si="692"/>
        <v>0</v>
      </c>
      <c r="CJ65" s="46">
        <f>IF($A65="a",IFERROR(VLOOKUP($B65 &amp; $C65&amp;CJ$4,tblForecast,CJ$2,FALSE),0),CH65+CI65)</f>
        <v>0</v>
      </c>
      <c r="CK65" s="46">
        <f t="shared" si="693"/>
        <v>0</v>
      </c>
      <c r="CL65" s="46">
        <f t="shared" si="693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>
        <f t="shared" si="583"/>
        <v>0</v>
      </c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6">
        <f>IFERROR(VLOOKUP(Brand&amp;Channel&amp;Country&amp;$C65,tblDiscount,6,FALSE),0)</f>
        <v>0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282</v>
      </c>
      <c r="D66" s="252">
        <f t="shared" ref="D66" si="697">SUM(D62:D65)</f>
        <v>0</v>
      </c>
      <c r="E66" s="253">
        <f t="shared" ref="E66" si="698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699">SUM(M62:M65)</f>
        <v>0</v>
      </c>
      <c r="N66" s="257">
        <f t="shared" si="699"/>
        <v>0</v>
      </c>
      <c r="O66" s="257">
        <f t="shared" ca="1" si="699"/>
        <v>0</v>
      </c>
      <c r="P66" s="258">
        <f t="shared" ca="1" si="39"/>
        <v>0</v>
      </c>
      <c r="Q66" s="260">
        <f t="shared" ref="Q66" ca="1" si="700">SUM(Q62:Q65)</f>
        <v>0</v>
      </c>
      <c r="R66" s="260">
        <f t="shared" ref="R66:S66" si="701">SUM(R62:R65)</f>
        <v>0</v>
      </c>
      <c r="S66" s="260">
        <f t="shared" si="701"/>
        <v>0</v>
      </c>
      <c r="T66" s="260">
        <f ca="1">SUM(T62:T65)</f>
        <v>0</v>
      </c>
      <c r="U66" s="258">
        <f t="shared" ca="1" si="7"/>
        <v>0</v>
      </c>
      <c r="V66" s="261">
        <f ca="1">V65</f>
        <v>0</v>
      </c>
      <c r="W66" s="325">
        <f ca="1">W65</f>
        <v>0</v>
      </c>
      <c r="X66" s="262">
        <f ca="1">X65</f>
        <v>0</v>
      </c>
      <c r="Y66" s="252">
        <f ca="1">SUM(Y62:Y65)</f>
        <v>0</v>
      </c>
      <c r="Z66" s="257">
        <f t="shared" ref="Z66:AB66" si="702">SUM(Z62:Z65)</f>
        <v>0</v>
      </c>
      <c r="AA66" s="257">
        <f t="shared" si="702"/>
        <v>0</v>
      </c>
      <c r="AB66" s="257">
        <f t="shared" ca="1" si="702"/>
        <v>0</v>
      </c>
      <c r="AC66" s="258">
        <f t="shared" ca="1" si="9"/>
        <v>0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703">IFERROR(SUMPRODUCT(AJ62:AJ65,S62:S65)/S66,0)</f>
        <v>0</v>
      </c>
      <c r="AK66" s="266">
        <f t="shared" ca="1" si="703"/>
        <v>0</v>
      </c>
      <c r="AL66" s="258">
        <f t="shared" ca="1" si="681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0</v>
      </c>
      <c r="AQ66" s="258">
        <f t="shared" ca="1" si="14"/>
        <v>0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0</v>
      </c>
      <c r="AV66" s="258">
        <f t="shared" ca="1" si="16"/>
        <v>0</v>
      </c>
      <c r="AW66" s="267">
        <f ca="1">IFERROR(SUMPRODUCT(AW62:AW65,V62:V65)/V66,0)</f>
        <v>0</v>
      </c>
      <c r="AX66" s="268">
        <f t="shared" ref="AX66:AZ66" ca="1" si="704">IFERROR(SUMPRODUCT(AX62:AX65,X62:X65)/X66,0)</f>
        <v>0</v>
      </c>
      <c r="AY66" s="268">
        <f t="shared" ca="1" si="704"/>
        <v>0</v>
      </c>
      <c r="AZ66" s="268">
        <f t="shared" ca="1" si="704"/>
        <v>0</v>
      </c>
      <c r="BA66" s="259">
        <f ca="1">BA65</f>
        <v>0</v>
      </c>
      <c r="BB66" s="260">
        <f t="shared" ref="BB66:BD66" ca="1" si="705">BB65</f>
        <v>0</v>
      </c>
      <c r="BC66" s="260">
        <f t="shared" ca="1" si="705"/>
        <v>0</v>
      </c>
      <c r="BD66" s="260">
        <f t="shared" ca="1" si="705"/>
        <v>0</v>
      </c>
      <c r="BE66" s="258">
        <f t="shared" ca="1" si="19"/>
        <v>0</v>
      </c>
      <c r="BF66" s="260">
        <f>BF65</f>
        <v>0</v>
      </c>
      <c r="BG66" s="260">
        <f ca="1">BG65</f>
        <v>0</v>
      </c>
      <c r="BH66" s="269">
        <f ca="1">IF(Q66&lt;&gt;0,(BA66*COUNTIF(BH62:BH65,"&lt;&gt;0")/Q66),0)</f>
        <v>0</v>
      </c>
      <c r="BI66" s="270">
        <f ca="1">IF(T66&lt;&gt;0,(BD66*COUNTIF(BI62:BI65,"&lt;&gt;0")/T66),0)</f>
        <v>0</v>
      </c>
      <c r="BJ66" s="271">
        <f t="shared" ref="BJ66" ca="1" si="706">IF(BA66&lt;&gt;0,(Q66/COUNTIF(BJ62:BJ65,"&lt;&gt;0"))/BA66,0)</f>
        <v>0</v>
      </c>
      <c r="BK66" s="272">
        <f t="shared" ref="BK66" ca="1" si="707">IF(BD66&lt;&gt;0,(T66/COUNTIF(BK62:BK65,"&lt;&gt;0"))/BD66,0)</f>
        <v>0</v>
      </c>
      <c r="BL66" s="259">
        <f>SUM(BL62:BL65)</f>
        <v>0</v>
      </c>
      <c r="BM66" s="260">
        <f ca="1">SUM(BM62:BM65)</f>
        <v>0</v>
      </c>
      <c r="BN66" s="259">
        <f>SUM(BN62:BN65)</f>
        <v>0</v>
      </c>
      <c r="BO66" s="260">
        <f t="shared" ref="BO66:BQ66" ca="1" si="708">SUM(BO62:BO65)</f>
        <v>0</v>
      </c>
      <c r="BP66" s="259">
        <f>SUM(BP62:BP65)</f>
        <v>0</v>
      </c>
      <c r="BQ66" s="260">
        <f t="shared" ca="1" si="708"/>
        <v>0</v>
      </c>
      <c r="BR66" s="259">
        <f t="shared" si="43"/>
        <v>0</v>
      </c>
      <c r="BS66" s="260">
        <f t="shared" ca="1" si="22"/>
        <v>0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709">SUM(BW62:BW65)</f>
        <v>0</v>
      </c>
      <c r="BX66" s="260">
        <f t="shared" si="709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710">SUM(CB62:CB65)</f>
        <v>0</v>
      </c>
      <c r="CC66" s="257">
        <f t="shared" si="710"/>
        <v>0</v>
      </c>
      <c r="CD66" s="257">
        <f t="shared" si="710"/>
        <v>0</v>
      </c>
      <c r="CE66" s="257">
        <f t="shared" si="710"/>
        <v>0</v>
      </c>
      <c r="CF66" s="257">
        <f t="shared" ca="1" si="710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711">SUM(CI62:CI65)</f>
        <v>0</v>
      </c>
      <c r="CJ66" s="257">
        <f t="shared" si="711"/>
        <v>0</v>
      </c>
      <c r="CK66" s="257">
        <f t="shared" si="711"/>
        <v>0</v>
      </c>
      <c r="CL66" s="257">
        <f t="shared" si="711"/>
        <v>0</v>
      </c>
      <c r="CM66" s="257">
        <f t="shared" ca="1" si="711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>
        <f t="shared" si="583"/>
        <v>0</v>
      </c>
      <c r="CW66" s="100">
        <f>CW65</f>
        <v>0</v>
      </c>
      <c r="CX66" s="101">
        <f ca="1">CX65</f>
        <v>0</v>
      </c>
      <c r="CY66" s="99">
        <f t="shared" ca="1" si="36"/>
        <v>0</v>
      </c>
      <c r="CZ66" s="276"/>
      <c r="DA66" s="277"/>
      <c r="DB66" s="277"/>
      <c r="DC66" s="278"/>
    </row>
    <row r="67" spans="1:107" x14ac:dyDescent="0.25">
      <c r="A67" s="44" t="s">
        <v>478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712">IFERROR(VLOOKUP($B67 &amp; $C67&amp;G$4&amp;$A67,tblForecast,G$2,FALSE),0)</f>
        <v>0</v>
      </c>
      <c r="H67" s="202">
        <f t="shared" si="712"/>
        <v>0</v>
      </c>
      <c r="I67" s="202">
        <f t="shared" si="712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713">Q67*AM67</f>
        <v>0</v>
      </c>
      <c r="M67" s="90">
        <f t="shared" si="713"/>
        <v>0</v>
      </c>
      <c r="N67" s="46">
        <f t="shared" si="713"/>
        <v>0</v>
      </c>
      <c r="O67" s="46">
        <f t="shared" ca="1" si="713"/>
        <v>0</v>
      </c>
      <c r="P67" s="47">
        <f t="shared" ca="1" si="39"/>
        <v>0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714">IFERROR(VLOOKUP($B67 &amp; $C67&amp;S$4,tblForecast,S$2,FALSE),0)</f>
        <v>0</v>
      </c>
      <c r="T67" s="238">
        <f ca="1">SUMIFS(OFFSET(tblForecast,,T$2,,1),OFFSET(tblForecast,,,,1),$B67-IF(CompareVer="LY",1,0)&amp; $C67 &amp;T$4)</f>
        <v>0</v>
      </c>
      <c r="U67" s="91">
        <f t="shared" ca="1" si="7"/>
        <v>0</v>
      </c>
      <c r="V67" s="247">
        <f ca="1">IFERROR(IF(Q65&gt;0,Q67/Q65,0),0)</f>
        <v>0</v>
      </c>
      <c r="W67" s="327">
        <f ca="1">IFERROR(IF(R65&gt;0,R67/R65,X67),0)</f>
        <v>0</v>
      </c>
      <c r="X67" s="248">
        <f ca="1">IFERROR(IF(T65&gt;0,T67/T65,0),0)</f>
        <v>0</v>
      </c>
      <c r="Y67" s="51">
        <f t="shared" ref="Y67:AB71" ca="1" si="715">IFERROR(L67*AD67,0)</f>
        <v>0</v>
      </c>
      <c r="Z67" s="46">
        <f t="shared" si="715"/>
        <v>0</v>
      </c>
      <c r="AA67" s="46">
        <f t="shared" si="715"/>
        <v>0</v>
      </c>
      <c r="AB67" s="46">
        <f t="shared" ca="1" si="715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716">IF(AN67&lt;&gt;0,1-AS67/AN67,0)</f>
        <v>0</v>
      </c>
      <c r="AF67" s="93">
        <f t="shared" si="716"/>
        <v>0</v>
      </c>
      <c r="AG67" s="76">
        <f t="shared" ca="1" si="716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717">IFERROR(VLOOKUP($B67 &amp; $C67&amp;AI$4,tblForecast,AI$2,FALSE),0)</f>
        <v>0</v>
      </c>
      <c r="AJ67" s="94">
        <f t="shared" si="717"/>
        <v>0</v>
      </c>
      <c r="AK67" s="49">
        <f ca="1">IFERROR(CF67/BY67,0)</f>
        <v>0</v>
      </c>
      <c r="AL67" s="47">
        <f t="shared" ca="1" si="681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718">IFERROR(VLOOKUP($B67 &amp; $C67&amp;AN$4,tblForecast,AN$2,FALSE),0)</f>
        <v>0</v>
      </c>
      <c r="AO67" s="94">
        <f t="shared" si="718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719">IFERROR(VLOOKUP($B67 &amp; $C67&amp;AS$4,tblForecast,AS$2,FALSE),0)</f>
        <v>0</v>
      </c>
      <c r="AT67" s="94">
        <f t="shared" si="719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0">
        <f t="shared" ref="AW67:AZ71" ca="1" si="720">IFERROR((AM67/AH67-1)*-1,0)</f>
        <v>0</v>
      </c>
      <c r="AX67" s="191">
        <f t="shared" si="720"/>
        <v>0</v>
      </c>
      <c r="AY67" s="191">
        <f t="shared" si="720"/>
        <v>0</v>
      </c>
      <c r="AZ67" s="191">
        <f t="shared" ca="1" si="720"/>
        <v>0</v>
      </c>
      <c r="BA67" s="233">
        <f ca="1">IF(BA66+BV67+BL67+BR67-Q67&lt;0,0,BA66+BV67+BL67+BR67-Q67)</f>
        <v>0</v>
      </c>
      <c r="BB67" s="229">
        <f ca="1">IF(IFERROR(VLOOKUP($B67 &amp; $C67&amp;BB$4,tblForecast,BB$2,FALSE),0)=0,BA67,IFERROR(VLOOKUP($B67 &amp; $C67&amp;BB$4,tblForecast,BB$2,FALSE),0))</f>
        <v>0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721">CX67+BG67</f>
        <v>0</v>
      </c>
      <c r="BE67" s="193">
        <f t="shared" ca="1" si="19"/>
        <v>0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0</v>
      </c>
      <c r="BH67" s="178">
        <f ca="1">IF(Q67&lt;&gt;0,BA67/Q67,0)</f>
        <v>0</v>
      </c>
      <c r="BI67" s="182">
        <f ca="1">IF(T67&lt;&gt;0,BD67/T67,0)</f>
        <v>0</v>
      </c>
      <c r="BJ67" s="194">
        <f t="shared" ref="BJ67:BJ71" ca="1" si="722">IF(BA67&lt;&gt;0,Q67/BA67,0)</f>
        <v>0</v>
      </c>
      <c r="BK67" s="50">
        <f t="shared" ref="BK67:BK71" ca="1" si="723">IF(BD67&lt;&gt;0,T67/BD67,0)</f>
        <v>0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0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0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0</v>
      </c>
      <c r="BR67" s="225">
        <f t="shared" si="43"/>
        <v>0</v>
      </c>
      <c r="BS67" s="229">
        <f t="shared" ca="1" si="22"/>
        <v>0</v>
      </c>
      <c r="BT67" s="232">
        <f t="shared" ref="BT67:BU71" si="724">IFERROR(VLOOKUP($B67 &amp; $C67&amp;BT$4,tblForecast,BT$2,FALSE),0)</f>
        <v>0</v>
      </c>
      <c r="BU67" s="229">
        <f t="shared" si="724"/>
        <v>0</v>
      </c>
      <c r="BV67" s="229">
        <f>IF($A67="a",IFERROR(VLOOKUP($B67 &amp; $C67&amp;BV$4,tblForecast,BV$2,FALSE),0),BT67+BU67)</f>
        <v>0</v>
      </c>
      <c r="BW67" s="229">
        <f t="shared" ref="BW67:BX71" si="725">IFERROR(VLOOKUP($B67 &amp; $C67&amp;BW$4,tblForecast,BW$2,FALSE),0)</f>
        <v>0</v>
      </c>
      <c r="BX67" s="229">
        <f t="shared" si="725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726">IFERROR(VLOOKUP($B67 &amp; $C67&amp;CA$4,tblForecast,CA$2,FALSE),0)</f>
        <v>0</v>
      </c>
      <c r="CB67" s="46">
        <f t="shared" si="726"/>
        <v>0</v>
      </c>
      <c r="CC67" s="46">
        <f>IF($A67="a",IFERROR(VLOOKUP($B67 &amp; $C67&amp;CC$4,tblForecast,CC$2,FALSE),0),CA67+CB67)</f>
        <v>0</v>
      </c>
      <c r="CD67" s="46">
        <f t="shared" ref="CD67:CE71" si="727">IFERROR(VLOOKUP($B67 &amp; $C67&amp;CD$4,tblForecast,CD$2,FALSE),0)</f>
        <v>0</v>
      </c>
      <c r="CE67" s="46">
        <f t="shared" si="727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728">IFERROR(VLOOKUP($B67 &amp; $C67&amp;CH$4,tblForecast,CH$2,FALSE),0)</f>
        <v>0</v>
      </c>
      <c r="CI67" s="46">
        <f t="shared" si="728"/>
        <v>0</v>
      </c>
      <c r="CJ67" s="46">
        <f>IF($A67="a",IFERROR(VLOOKUP($B67 &amp; $C67&amp;CJ$4,tblForecast,CJ$2,FALSE),0),CH67+CI67)</f>
        <v>0</v>
      </c>
      <c r="CK67" s="46">
        <f t="shared" ref="CK67:CL71" si="729">IFERROR(VLOOKUP($B67 &amp; $C67&amp;CK$4,tblForecast,CK$2,FALSE),0)</f>
        <v>0</v>
      </c>
      <c r="CL67" s="46">
        <f t="shared" si="729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>
        <f t="shared" si="583"/>
        <v>0</v>
      </c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6">
        <f>IFERROR(VLOOKUP(Brand&amp;Channel&amp;Country&amp;$C67,tblDiscount,6,FALSE),0)</f>
        <v>0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478</v>
      </c>
      <c r="B68" s="44">
        <v>2018</v>
      </c>
      <c r="C68" s="88">
        <v>45</v>
      </c>
      <c r="D68" s="51">
        <f t="shared" ref="D68:D71" si="730">G68*H68</f>
        <v>0</v>
      </c>
      <c r="E68" s="201">
        <f t="shared" ref="E68:E71" si="731">IFERROR(D68*F68,0)</f>
        <v>0</v>
      </c>
      <c r="F68" s="181">
        <f t="shared" si="45"/>
        <v>0</v>
      </c>
      <c r="G68" s="175">
        <f t="shared" si="712"/>
        <v>0</v>
      </c>
      <c r="H68" s="202">
        <f t="shared" si="712"/>
        <v>0</v>
      </c>
      <c r="I68" s="202">
        <f t="shared" si="712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713"/>
        <v>0</v>
      </c>
      <c r="M68" s="90">
        <f t="shared" si="713"/>
        <v>0</v>
      </c>
      <c r="N68" s="46">
        <f t="shared" si="713"/>
        <v>0</v>
      </c>
      <c r="O68" s="46">
        <f t="shared" ca="1" si="713"/>
        <v>0</v>
      </c>
      <c r="P68" s="47">
        <f t="shared" ca="1" si="39"/>
        <v>0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714"/>
        <v>0</v>
      </c>
      <c r="T68" s="238">
        <f ca="1">SUMIFS(OFFSET(tblForecast,,T$2,,1),OFFSET(tblForecast,,,,1),$B68-IF(CompareVer="LY",1,0)&amp; $C68 &amp;T$4)</f>
        <v>0</v>
      </c>
      <c r="U68" s="91">
        <f t="shared" ca="1" si="7"/>
        <v>0</v>
      </c>
      <c r="V68" s="247">
        <f t="shared" ref="V68:V71" ca="1" si="732">IFERROR(IF(Q67&lt;&gt;0,Q68/Q67,0),0)</f>
        <v>0</v>
      </c>
      <c r="W68" s="327">
        <f ca="1">IFERROR(IF(R67&lt;&gt;0,R68/R67,X68),0)</f>
        <v>0</v>
      </c>
      <c r="X68" s="248">
        <f t="shared" ref="X68:X71" ca="1" si="733">IFERROR(IF(T67&lt;&gt;0,T68/T67,0),0)</f>
        <v>0</v>
      </c>
      <c r="Y68" s="51">
        <f t="shared" ca="1" si="715"/>
        <v>0</v>
      </c>
      <c r="Z68" s="46">
        <f t="shared" si="715"/>
        <v>0</v>
      </c>
      <c r="AA68" s="46">
        <f t="shared" si="715"/>
        <v>0</v>
      </c>
      <c r="AB68" s="46">
        <f t="shared" ca="1" si="715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716"/>
        <v>0</v>
      </c>
      <c r="AF68" s="93">
        <f t="shared" si="716"/>
        <v>0</v>
      </c>
      <c r="AG68" s="76">
        <f t="shared" ca="1" si="716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717"/>
        <v>0</v>
      </c>
      <c r="AJ68" s="94">
        <f t="shared" si="717"/>
        <v>0</v>
      </c>
      <c r="AK68" s="49">
        <f ca="1">IFERROR(CF68/BY68,0)</f>
        <v>0</v>
      </c>
      <c r="AL68" s="47">
        <f t="shared" ca="1" si="681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718"/>
        <v>0</v>
      </c>
      <c r="AO68" s="94">
        <f t="shared" si="718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719"/>
        <v>0</v>
      </c>
      <c r="AT68" s="94">
        <f t="shared" si="719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0">
        <f t="shared" ca="1" si="720"/>
        <v>0</v>
      </c>
      <c r="AX68" s="191">
        <f t="shared" si="720"/>
        <v>0</v>
      </c>
      <c r="AY68" s="191">
        <f t="shared" si="720"/>
        <v>0</v>
      </c>
      <c r="AZ68" s="191">
        <f t="shared" ca="1" si="720"/>
        <v>0</v>
      </c>
      <c r="BA68" s="233">
        <f ca="1">IF(BA67+BV68+BL68+BR68-Q68&lt;0,0,BA67+BV68+BL68+BR68-Q68)</f>
        <v>0</v>
      </c>
      <c r="BB68" s="229">
        <f ca="1">IF(IFERROR(VLOOKUP($B68 &amp; $C68&amp;BB$4,tblForecast,BB$2,FALSE),0)=0,BA68,IFERROR(VLOOKUP($B68 &amp; $C68&amp;BB$4,tblForecast,BB$2,FALSE),0))</f>
        <v>0</v>
      </c>
      <c r="BC68" s="229">
        <f ca="1">SUMIFS(OFFSET(tblForecast,,BC$2,,1),OFFSET(tblForecast,,,,1),$B68-IF(CompareVer="LY",1,0)&amp; $C68 &amp;BC$4)</f>
        <v>0</v>
      </c>
      <c r="BD68" s="229">
        <f t="shared" ca="1" si="721"/>
        <v>0</v>
      </c>
      <c r="BE68" s="193">
        <f t="shared" ca="1" si="19"/>
        <v>0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0</v>
      </c>
      <c r="BH68" s="178">
        <f ca="1">IF(Q68&lt;&gt;0,BA68/Q68,0)</f>
        <v>0</v>
      </c>
      <c r="BI68" s="182">
        <f ca="1">IF(T68&lt;&gt;0,BD68/T68,0)</f>
        <v>0</v>
      </c>
      <c r="BJ68" s="194">
        <f t="shared" ca="1" si="722"/>
        <v>0</v>
      </c>
      <c r="BK68" s="50">
        <f t="shared" ca="1" si="723"/>
        <v>0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0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0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0</v>
      </c>
      <c r="BR68" s="225">
        <f t="shared" si="43"/>
        <v>0</v>
      </c>
      <c r="BS68" s="229">
        <f t="shared" ca="1" si="22"/>
        <v>0</v>
      </c>
      <c r="BT68" s="232">
        <f t="shared" si="724"/>
        <v>0</v>
      </c>
      <c r="BU68" s="229">
        <f t="shared" si="724"/>
        <v>0</v>
      </c>
      <c r="BV68" s="229">
        <f>IF($A68="a",IFERROR(VLOOKUP($B68 &amp; $C68&amp;BV$4,tblForecast,BV$2,FALSE),0),BT68+BU68)</f>
        <v>0</v>
      </c>
      <c r="BW68" s="229">
        <f t="shared" si="725"/>
        <v>0</v>
      </c>
      <c r="BX68" s="229">
        <f t="shared" si="725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726"/>
        <v>0</v>
      </c>
      <c r="CB68" s="46">
        <f t="shared" si="726"/>
        <v>0</v>
      </c>
      <c r="CC68" s="46">
        <f>IF($A68="a",IFERROR(VLOOKUP($B68 &amp; $C68&amp;CC$4,tblForecast,CC$2,FALSE),0),CA68+CB68)</f>
        <v>0</v>
      </c>
      <c r="CD68" s="46">
        <f t="shared" si="727"/>
        <v>0</v>
      </c>
      <c r="CE68" s="46">
        <f t="shared" si="727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728"/>
        <v>0</v>
      </c>
      <c r="CI68" s="46">
        <f t="shared" si="728"/>
        <v>0</v>
      </c>
      <c r="CJ68" s="46">
        <f>IF($A68="a",IFERROR(VLOOKUP($B68 &amp; $C68&amp;CJ$4,tblForecast,CJ$2,FALSE),0),CH68+CI68)</f>
        <v>0</v>
      </c>
      <c r="CK68" s="46">
        <f t="shared" si="729"/>
        <v>0</v>
      </c>
      <c r="CL68" s="46">
        <f t="shared" si="729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>
        <f t="shared" si="583"/>
        <v>0</v>
      </c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6">
        <f>IFERROR(VLOOKUP(Brand&amp;Channel&amp;Country&amp;$C68,tblDiscount,6,FALSE),0)</f>
        <v>0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478</v>
      </c>
      <c r="B69" s="44">
        <v>2018</v>
      </c>
      <c r="C69" s="88">
        <v>46</v>
      </c>
      <c r="D69" s="51">
        <f t="shared" si="730"/>
        <v>0</v>
      </c>
      <c r="E69" s="201">
        <f t="shared" si="731"/>
        <v>0</v>
      </c>
      <c r="F69" s="181">
        <f t="shared" si="45"/>
        <v>0</v>
      </c>
      <c r="G69" s="175">
        <f t="shared" si="712"/>
        <v>0</v>
      </c>
      <c r="H69" s="202">
        <f t="shared" si="712"/>
        <v>0</v>
      </c>
      <c r="I69" s="202">
        <f t="shared" si="712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713"/>
        <v>0</v>
      </c>
      <c r="M69" s="90">
        <f t="shared" si="713"/>
        <v>0</v>
      </c>
      <c r="N69" s="46">
        <f t="shared" si="713"/>
        <v>0</v>
      </c>
      <c r="O69" s="46">
        <f t="shared" ca="1" si="713"/>
        <v>0</v>
      </c>
      <c r="P69" s="47">
        <f t="shared" ca="1" si="39"/>
        <v>0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714"/>
        <v>0</v>
      </c>
      <c r="T69" s="238">
        <f ca="1">SUMIFS(OFFSET(tblForecast,,T$2,,1),OFFSET(tblForecast,,,,1),$B69-IF(CompareVer="LY",1,0)&amp; $C69 &amp;T$4)</f>
        <v>0</v>
      </c>
      <c r="U69" s="91">
        <f t="shared" ca="1" si="7"/>
        <v>0</v>
      </c>
      <c r="V69" s="247">
        <f t="shared" ca="1" si="732"/>
        <v>0</v>
      </c>
      <c r="W69" s="327">
        <f ca="1">IFERROR(IF(R68&lt;&gt;0,R69/R68,X69),0)</f>
        <v>0</v>
      </c>
      <c r="X69" s="248">
        <f t="shared" ca="1" si="733"/>
        <v>0</v>
      </c>
      <c r="Y69" s="51">
        <f t="shared" ca="1" si="715"/>
        <v>0</v>
      </c>
      <c r="Z69" s="46">
        <f t="shared" si="715"/>
        <v>0</v>
      </c>
      <c r="AA69" s="46">
        <f t="shared" si="715"/>
        <v>0</v>
      </c>
      <c r="AB69" s="46">
        <f t="shared" ca="1" si="715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716"/>
        <v>0</v>
      </c>
      <c r="AF69" s="93">
        <f t="shared" si="716"/>
        <v>0</v>
      </c>
      <c r="AG69" s="76">
        <f t="shared" ca="1" si="716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717"/>
        <v>0</v>
      </c>
      <c r="AJ69" s="94">
        <f t="shared" si="717"/>
        <v>0</v>
      </c>
      <c r="AK69" s="49">
        <f ca="1">IFERROR(CF69/BY69,0)</f>
        <v>0</v>
      </c>
      <c r="AL69" s="47">
        <f t="shared" ca="1" si="681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718"/>
        <v>0</v>
      </c>
      <c r="AO69" s="94">
        <f t="shared" si="718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719"/>
        <v>0</v>
      </c>
      <c r="AT69" s="94">
        <f t="shared" si="719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0">
        <f t="shared" ca="1" si="720"/>
        <v>0</v>
      </c>
      <c r="AX69" s="191">
        <f t="shared" si="720"/>
        <v>0</v>
      </c>
      <c r="AY69" s="191">
        <f t="shared" si="720"/>
        <v>0</v>
      </c>
      <c r="AZ69" s="191">
        <f t="shared" ca="1" si="720"/>
        <v>0</v>
      </c>
      <c r="BA69" s="233">
        <f ca="1">IF(BA68+BV69+BL69+BR69-Q69&lt;0,0,BA68+BV69+BL69+BR69-Q69)</f>
        <v>0</v>
      </c>
      <c r="BB69" s="229">
        <f ca="1">IF(IFERROR(VLOOKUP($B69 &amp; $C69&amp;BB$4,tblForecast,BB$2,FALSE),0)=0,BA69,IFERROR(VLOOKUP($B69 &amp; $C69&amp;BB$4,tblForecast,BB$2,FALSE),0))</f>
        <v>0</v>
      </c>
      <c r="BC69" s="229">
        <f ca="1">SUMIFS(OFFSET(tblForecast,,BC$2,,1),OFFSET(tblForecast,,,,1),$B69-IF(CompareVer="LY",1,0)&amp; $C69 &amp;BC$4)</f>
        <v>0</v>
      </c>
      <c r="BD69" s="229">
        <f t="shared" ca="1" si="721"/>
        <v>0</v>
      </c>
      <c r="BE69" s="193">
        <f t="shared" ca="1" si="19"/>
        <v>0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0</v>
      </c>
      <c r="BH69" s="178">
        <f ca="1">IF(Q69&lt;&gt;0,BA69/Q69,0)</f>
        <v>0</v>
      </c>
      <c r="BI69" s="182">
        <f ca="1">IF(T69&lt;&gt;0,BD69/T69,0)</f>
        <v>0</v>
      </c>
      <c r="BJ69" s="194">
        <f t="shared" ca="1" si="722"/>
        <v>0</v>
      </c>
      <c r="BK69" s="50">
        <f t="shared" ca="1" si="723"/>
        <v>0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0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0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0</v>
      </c>
      <c r="BR69" s="225">
        <f t="shared" si="43"/>
        <v>0</v>
      </c>
      <c r="BS69" s="229">
        <f t="shared" ca="1" si="22"/>
        <v>0</v>
      </c>
      <c r="BT69" s="232">
        <f t="shared" si="724"/>
        <v>0</v>
      </c>
      <c r="BU69" s="229">
        <f t="shared" si="724"/>
        <v>0</v>
      </c>
      <c r="BV69" s="229">
        <f>IF($A69="a",IFERROR(VLOOKUP($B69 &amp; $C69&amp;BV$4,tblForecast,BV$2,FALSE),0),BT69+BU69)</f>
        <v>0</v>
      </c>
      <c r="BW69" s="229">
        <f t="shared" si="725"/>
        <v>0</v>
      </c>
      <c r="BX69" s="229">
        <f t="shared" si="725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726"/>
        <v>0</v>
      </c>
      <c r="CB69" s="46">
        <f t="shared" si="726"/>
        <v>0</v>
      </c>
      <c r="CC69" s="46">
        <f>IF($A69="a",IFERROR(VLOOKUP($B69 &amp; $C69&amp;CC$4,tblForecast,CC$2,FALSE),0),CA69+CB69)</f>
        <v>0</v>
      </c>
      <c r="CD69" s="46">
        <f t="shared" si="727"/>
        <v>0</v>
      </c>
      <c r="CE69" s="46">
        <f t="shared" si="727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728"/>
        <v>0</v>
      </c>
      <c r="CI69" s="46">
        <f t="shared" si="728"/>
        <v>0</v>
      </c>
      <c r="CJ69" s="46">
        <f>IF($A69="a",IFERROR(VLOOKUP($B69 &amp; $C69&amp;CJ$4,tblForecast,CJ$2,FALSE),0),CH69+CI69)</f>
        <v>0</v>
      </c>
      <c r="CK69" s="46">
        <f t="shared" si="729"/>
        <v>0</v>
      </c>
      <c r="CL69" s="46">
        <f t="shared" si="729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>
        <f t="shared" si="583"/>
        <v>0</v>
      </c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6">
        <f>IFERROR(VLOOKUP(Brand&amp;Channel&amp;Country&amp;$C69,tblDiscount,6,FALSE),0)</f>
        <v>0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478</v>
      </c>
      <c r="B70" s="44">
        <v>2018</v>
      </c>
      <c r="C70" s="88">
        <v>47</v>
      </c>
      <c r="D70" s="51">
        <f t="shared" si="730"/>
        <v>0</v>
      </c>
      <c r="E70" s="201">
        <f t="shared" si="731"/>
        <v>0</v>
      </c>
      <c r="F70" s="181">
        <f t="shared" si="45"/>
        <v>0</v>
      </c>
      <c r="G70" s="175">
        <f t="shared" si="712"/>
        <v>0</v>
      </c>
      <c r="H70" s="202">
        <f t="shared" si="712"/>
        <v>0</v>
      </c>
      <c r="I70" s="202">
        <f t="shared" si="712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713"/>
        <v>0</v>
      </c>
      <c r="M70" s="90">
        <f t="shared" si="713"/>
        <v>0</v>
      </c>
      <c r="N70" s="46">
        <f t="shared" si="713"/>
        <v>0</v>
      </c>
      <c r="O70" s="46">
        <f t="shared" ca="1" si="713"/>
        <v>0</v>
      </c>
      <c r="P70" s="47">
        <f t="shared" ca="1" si="39"/>
        <v>0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714"/>
        <v>0</v>
      </c>
      <c r="T70" s="238">
        <f ca="1">SUMIFS(OFFSET(tblForecast,,T$2,,1),OFFSET(tblForecast,,,,1),$B70-IF(CompareVer="LY",1,0)&amp; $C70 &amp;T$4)</f>
        <v>0</v>
      </c>
      <c r="U70" s="91">
        <f t="shared" ca="1" si="7"/>
        <v>0</v>
      </c>
      <c r="V70" s="247">
        <f t="shared" ca="1" si="732"/>
        <v>0</v>
      </c>
      <c r="W70" s="327">
        <f ca="1">IFERROR(IF(R69&lt;&gt;0,R70/R69,X70),0)</f>
        <v>0</v>
      </c>
      <c r="X70" s="248">
        <f t="shared" ca="1" si="733"/>
        <v>0</v>
      </c>
      <c r="Y70" s="51">
        <f t="shared" ca="1" si="715"/>
        <v>0</v>
      </c>
      <c r="Z70" s="46">
        <f t="shared" si="715"/>
        <v>0</v>
      </c>
      <c r="AA70" s="46">
        <f t="shared" si="715"/>
        <v>0</v>
      </c>
      <c r="AB70" s="46">
        <f t="shared" ca="1" si="715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716"/>
        <v>0</v>
      </c>
      <c r="AF70" s="93">
        <f t="shared" si="716"/>
        <v>0</v>
      </c>
      <c r="AG70" s="76">
        <f t="shared" ca="1" si="716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717"/>
        <v>0</v>
      </c>
      <c r="AJ70" s="94">
        <f t="shared" si="717"/>
        <v>0</v>
      </c>
      <c r="AK70" s="49">
        <f ca="1">IFERROR(CF70/BY70,0)</f>
        <v>0</v>
      </c>
      <c r="AL70" s="47">
        <f t="shared" ca="1" si="681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718"/>
        <v>0</v>
      </c>
      <c r="AO70" s="94">
        <f t="shared" si="718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719"/>
        <v>0</v>
      </c>
      <c r="AT70" s="94">
        <f t="shared" si="719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0">
        <f t="shared" ca="1" si="720"/>
        <v>0</v>
      </c>
      <c r="AX70" s="191">
        <f t="shared" si="720"/>
        <v>0</v>
      </c>
      <c r="AY70" s="191">
        <f t="shared" si="720"/>
        <v>0</v>
      </c>
      <c r="AZ70" s="191">
        <f t="shared" ca="1" si="720"/>
        <v>0</v>
      </c>
      <c r="BA70" s="233">
        <f ca="1">IF(BA69+BV70+BL70+BR70-Q70&lt;0,0,BA69+BV70+BL70+BR70-Q70)</f>
        <v>0</v>
      </c>
      <c r="BB70" s="229">
        <f ca="1">IF(IFERROR(VLOOKUP($B70 &amp; $C70&amp;BB$4,tblForecast,BB$2,FALSE),0)=0,BA70,IFERROR(VLOOKUP($B70 &amp; $C70&amp;BB$4,tblForecast,BB$2,FALSE),0))</f>
        <v>0</v>
      </c>
      <c r="BC70" s="229">
        <f ca="1">SUMIFS(OFFSET(tblForecast,,BC$2,,1),OFFSET(tblForecast,,,,1),$B70-IF(CompareVer="LY",1,0)&amp; $C70 &amp;BC$4)</f>
        <v>0</v>
      </c>
      <c r="BD70" s="229">
        <f t="shared" ca="1" si="721"/>
        <v>0</v>
      </c>
      <c r="BE70" s="193">
        <f t="shared" ca="1" si="19"/>
        <v>0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0</v>
      </c>
      <c r="BH70" s="178">
        <f ca="1">IF(Q70&lt;&gt;0,BA70/Q70,0)</f>
        <v>0</v>
      </c>
      <c r="BI70" s="182">
        <f ca="1">IF(T70&lt;&gt;0,BD70/T70,0)</f>
        <v>0</v>
      </c>
      <c r="BJ70" s="194">
        <f t="shared" ca="1" si="722"/>
        <v>0</v>
      </c>
      <c r="BK70" s="50">
        <f t="shared" ca="1" si="723"/>
        <v>0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0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0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0</v>
      </c>
      <c r="BR70" s="225">
        <f t="shared" si="43"/>
        <v>0</v>
      </c>
      <c r="BS70" s="229">
        <f t="shared" ca="1" si="22"/>
        <v>0</v>
      </c>
      <c r="BT70" s="232">
        <f t="shared" si="724"/>
        <v>0</v>
      </c>
      <c r="BU70" s="229">
        <f t="shared" si="724"/>
        <v>0</v>
      </c>
      <c r="BV70" s="229">
        <f>IF($A70="a",IFERROR(VLOOKUP($B70 &amp; $C70&amp;BV$4,tblForecast,BV$2,FALSE),0),BT70+BU70)</f>
        <v>0</v>
      </c>
      <c r="BW70" s="229">
        <f t="shared" si="725"/>
        <v>0</v>
      </c>
      <c r="BX70" s="229">
        <f t="shared" si="725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726"/>
        <v>0</v>
      </c>
      <c r="CB70" s="46">
        <f t="shared" si="726"/>
        <v>0</v>
      </c>
      <c r="CC70" s="46">
        <f>IF($A70="a",IFERROR(VLOOKUP($B70 &amp; $C70&amp;CC$4,tblForecast,CC$2,FALSE),0),CA70+CB70)</f>
        <v>0</v>
      </c>
      <c r="CD70" s="46">
        <f t="shared" si="727"/>
        <v>0</v>
      </c>
      <c r="CE70" s="46">
        <f t="shared" si="727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728"/>
        <v>0</v>
      </c>
      <c r="CI70" s="46">
        <f t="shared" si="728"/>
        <v>0</v>
      </c>
      <c r="CJ70" s="46">
        <f>IF($A70="a",IFERROR(VLOOKUP($B70 &amp; $C70&amp;CJ$4,tblForecast,CJ$2,FALSE),0),CH70+CI70)</f>
        <v>0</v>
      </c>
      <c r="CK70" s="46">
        <f t="shared" si="729"/>
        <v>0</v>
      </c>
      <c r="CL70" s="46">
        <f t="shared" si="729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>
        <f t="shared" si="583"/>
        <v>0</v>
      </c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6">
        <f>IFERROR(VLOOKUP(Brand&amp;Channel&amp;Country&amp;$C70,tblDiscount,6,FALSE),0)</f>
        <v>0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478</v>
      </c>
      <c r="B71" s="44">
        <v>2018</v>
      </c>
      <c r="C71" s="88">
        <v>48</v>
      </c>
      <c r="D71" s="51">
        <f t="shared" si="730"/>
        <v>0</v>
      </c>
      <c r="E71" s="201">
        <f t="shared" si="731"/>
        <v>0</v>
      </c>
      <c r="F71" s="181">
        <f t="shared" si="45"/>
        <v>0</v>
      </c>
      <c r="G71" s="175">
        <f t="shared" si="712"/>
        <v>0</v>
      </c>
      <c r="H71" s="202">
        <f t="shared" si="712"/>
        <v>0</v>
      </c>
      <c r="I71" s="202">
        <f t="shared" si="712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713"/>
        <v>0</v>
      </c>
      <c r="M71" s="90">
        <f t="shared" si="713"/>
        <v>0</v>
      </c>
      <c r="N71" s="46">
        <f t="shared" si="713"/>
        <v>0</v>
      </c>
      <c r="O71" s="46">
        <f t="shared" ca="1" si="713"/>
        <v>0</v>
      </c>
      <c r="P71" s="47">
        <f t="shared" ca="1" si="39"/>
        <v>0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714"/>
        <v>0</v>
      </c>
      <c r="T71" s="238">
        <f ca="1">SUMIFS(OFFSET(tblForecast,,T$2,,1),OFFSET(tblForecast,,,,1),$B71-IF(CompareVer="LY",1,0)&amp; $C71 &amp;T$4)</f>
        <v>0</v>
      </c>
      <c r="U71" s="91">
        <f t="shared" ca="1" si="7"/>
        <v>0</v>
      </c>
      <c r="V71" s="247">
        <f t="shared" ca="1" si="732"/>
        <v>0</v>
      </c>
      <c r="W71" s="327">
        <f ca="1">IFERROR(IF(R70&lt;&gt;0,R71/R70,X71),0)</f>
        <v>0</v>
      </c>
      <c r="X71" s="248">
        <f t="shared" ca="1" si="733"/>
        <v>0</v>
      </c>
      <c r="Y71" s="51">
        <f t="shared" ca="1" si="715"/>
        <v>0</v>
      </c>
      <c r="Z71" s="46">
        <f t="shared" si="715"/>
        <v>0</v>
      </c>
      <c r="AA71" s="46">
        <f t="shared" si="715"/>
        <v>0</v>
      </c>
      <c r="AB71" s="46">
        <f t="shared" ca="1" si="715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716"/>
        <v>0</v>
      </c>
      <c r="AF71" s="93">
        <f t="shared" si="716"/>
        <v>0</v>
      </c>
      <c r="AG71" s="76">
        <f t="shared" ca="1" si="716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717"/>
        <v>0</v>
      </c>
      <c r="AJ71" s="94">
        <f t="shared" si="717"/>
        <v>0</v>
      </c>
      <c r="AK71" s="49">
        <f ca="1">IFERROR(CF71/BY71,0)</f>
        <v>0</v>
      </c>
      <c r="AL71" s="47">
        <f t="shared" ca="1" si="681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718"/>
        <v>0</v>
      </c>
      <c r="AO71" s="94">
        <f t="shared" si="718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719"/>
        <v>0</v>
      </c>
      <c r="AT71" s="94">
        <f t="shared" si="719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0">
        <f t="shared" ca="1" si="720"/>
        <v>0</v>
      </c>
      <c r="AX71" s="191">
        <f t="shared" si="720"/>
        <v>0</v>
      </c>
      <c r="AY71" s="191">
        <f t="shared" si="720"/>
        <v>0</v>
      </c>
      <c r="AZ71" s="191">
        <f t="shared" ca="1" si="720"/>
        <v>0</v>
      </c>
      <c r="BA71" s="233">
        <f ca="1">IF(BA70+BV71+BL71+BR71-Q71&lt;0,0,BA70+BV71+BL71+BR71-Q71)</f>
        <v>0</v>
      </c>
      <c r="BB71" s="229">
        <f ca="1">IF(IFERROR(VLOOKUP($B71 &amp; $C71&amp;BB$4,tblForecast,BB$2,FALSE),0)=0,BA71,IFERROR(VLOOKUP($B71 &amp; $C71&amp;BB$4,tblForecast,BB$2,FALSE),0))</f>
        <v>0</v>
      </c>
      <c r="BC71" s="229">
        <f ca="1">SUMIFS(OFFSET(tblForecast,,BC$2,,1),OFFSET(tblForecast,,,,1),$B71-IF(CompareVer="LY",1,0)&amp; $C71 &amp;BC$4)</f>
        <v>0</v>
      </c>
      <c r="BD71" s="229">
        <f t="shared" ca="1" si="721"/>
        <v>0</v>
      </c>
      <c r="BE71" s="193">
        <f t="shared" ca="1" si="19"/>
        <v>0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0</v>
      </c>
      <c r="BH71" s="178">
        <f ca="1">IF(Q71&lt;&gt;0,BA71/Q71,0)</f>
        <v>0</v>
      </c>
      <c r="BI71" s="182">
        <f ca="1">IF(T71&lt;&gt;0,BD71/T71,0)</f>
        <v>0</v>
      </c>
      <c r="BJ71" s="194">
        <f t="shared" ca="1" si="722"/>
        <v>0</v>
      </c>
      <c r="BK71" s="50">
        <f t="shared" ca="1" si="723"/>
        <v>0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0</v>
      </c>
      <c r="BR71" s="225">
        <f t="shared" si="43"/>
        <v>0</v>
      </c>
      <c r="BS71" s="229">
        <f t="shared" ca="1" si="22"/>
        <v>0</v>
      </c>
      <c r="BT71" s="232">
        <f t="shared" si="724"/>
        <v>0</v>
      </c>
      <c r="BU71" s="229">
        <f t="shared" si="724"/>
        <v>0</v>
      </c>
      <c r="BV71" s="229">
        <f>IF($A71="a",IFERROR(VLOOKUP($B71 &amp; $C71&amp;BV$4,tblForecast,BV$2,FALSE),0),BT71+BU71)</f>
        <v>0</v>
      </c>
      <c r="BW71" s="229">
        <f t="shared" si="725"/>
        <v>0</v>
      </c>
      <c r="BX71" s="229">
        <f t="shared" si="725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726"/>
        <v>0</v>
      </c>
      <c r="CB71" s="46">
        <f t="shared" si="726"/>
        <v>0</v>
      </c>
      <c r="CC71" s="46">
        <f>IF($A71="a",IFERROR(VLOOKUP($B71 &amp; $C71&amp;CC$4,tblForecast,CC$2,FALSE),0),CA71+CB71)</f>
        <v>0</v>
      </c>
      <c r="CD71" s="46">
        <f t="shared" si="727"/>
        <v>0</v>
      </c>
      <c r="CE71" s="46">
        <f t="shared" si="727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728"/>
        <v>0</v>
      </c>
      <c r="CI71" s="46">
        <f t="shared" si="728"/>
        <v>0</v>
      </c>
      <c r="CJ71" s="46">
        <f>IF($A71="a",IFERROR(VLOOKUP($B71 &amp; $C71&amp;CJ$4,tblForecast,CJ$2,FALSE),0),CH71+CI71)</f>
        <v>0</v>
      </c>
      <c r="CK71" s="46">
        <f t="shared" si="729"/>
        <v>0</v>
      </c>
      <c r="CL71" s="46">
        <f t="shared" si="729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>
        <f t="shared" si="583"/>
        <v>0</v>
      </c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6">
        <f>IFERROR(VLOOKUP(Brand&amp;Channel&amp;Country&amp;$C71,tblDiscount,6,FALSE),0)</f>
        <v>0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283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734">SUM(M67:M71)</f>
        <v>0</v>
      </c>
      <c r="N72" s="257">
        <f t="shared" si="734"/>
        <v>0</v>
      </c>
      <c r="O72" s="257">
        <f t="shared" ca="1" si="734"/>
        <v>0</v>
      </c>
      <c r="P72" s="258">
        <f t="shared" ca="1" si="39"/>
        <v>0</v>
      </c>
      <c r="Q72" s="259">
        <f t="shared" ref="Q72" ca="1" si="735">SUM(Q67:Q71)</f>
        <v>0</v>
      </c>
      <c r="R72" s="260">
        <f t="shared" ref="R72:S72" si="736">SUM(R67:R71)</f>
        <v>0</v>
      </c>
      <c r="S72" s="260">
        <f t="shared" si="736"/>
        <v>0</v>
      </c>
      <c r="T72" s="260">
        <f ca="1">SUM(T67:T71)</f>
        <v>0</v>
      </c>
      <c r="U72" s="258">
        <f t="shared" ca="1" si="7"/>
        <v>0</v>
      </c>
      <c r="V72" s="261">
        <f ca="1">V71</f>
        <v>0</v>
      </c>
      <c r="W72" s="325">
        <f ca="1">W71</f>
        <v>0</v>
      </c>
      <c r="X72" s="262">
        <f ca="1">X71</f>
        <v>0</v>
      </c>
      <c r="Y72" s="252">
        <f ca="1">SUM(Y67:Y71)</f>
        <v>0</v>
      </c>
      <c r="Z72" s="257">
        <f t="shared" ref="Z72:AB72" si="737">SUM(Z67:Z71)</f>
        <v>0</v>
      </c>
      <c r="AA72" s="257">
        <f t="shared" si="737"/>
        <v>0</v>
      </c>
      <c r="AB72" s="257">
        <f t="shared" ca="1" si="737"/>
        <v>0</v>
      </c>
      <c r="AC72" s="258">
        <f t="shared" ca="1" si="9"/>
        <v>0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681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0</v>
      </c>
      <c r="AQ72" s="258">
        <f t="shared" ca="1" si="14"/>
        <v>0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0</v>
      </c>
      <c r="AV72" s="258">
        <f t="shared" ca="1" si="16"/>
        <v>0</v>
      </c>
      <c r="AW72" s="267">
        <f ca="1">IFERROR(SUMPRODUCT(AW67:AW71,V67:V71)/V72,0)</f>
        <v>0</v>
      </c>
      <c r="AX72" s="268">
        <f t="shared" ref="AX72:AZ72" ca="1" si="738">IFERROR(SUMPRODUCT(AX67:AX71,X67:X71)/X72,0)</f>
        <v>0</v>
      </c>
      <c r="AY72" s="268">
        <f t="shared" ca="1" si="738"/>
        <v>0</v>
      </c>
      <c r="AZ72" s="268">
        <f t="shared" ca="1" si="738"/>
        <v>0</v>
      </c>
      <c r="BA72" s="259">
        <f ca="1">BA71</f>
        <v>0</v>
      </c>
      <c r="BB72" s="260">
        <f t="shared" ref="BB72:BD72" ca="1" si="739">BB71</f>
        <v>0</v>
      </c>
      <c r="BC72" s="260">
        <f t="shared" ca="1" si="739"/>
        <v>0</v>
      </c>
      <c r="BD72" s="260">
        <f t="shared" ca="1" si="739"/>
        <v>0</v>
      </c>
      <c r="BE72" s="258">
        <f t="shared" ca="1" si="19"/>
        <v>0</v>
      </c>
      <c r="BF72" s="260">
        <f>BF71</f>
        <v>0</v>
      </c>
      <c r="BG72" s="260">
        <f ca="1">BG71</f>
        <v>0</v>
      </c>
      <c r="BH72" s="269">
        <f ca="1">IF(Q72&lt;&gt;0,(BA72*COUNTIF(BH67:BH71,"&lt;&gt;0")/Q72),0)</f>
        <v>0</v>
      </c>
      <c r="BI72" s="270">
        <f ca="1">IF(T72&lt;&gt;0,(BD72*COUNTIF(BI67:BI71,"&lt;&gt;0")/T72),0)</f>
        <v>0</v>
      </c>
      <c r="BJ72" s="271">
        <f t="shared" ref="BJ72" ca="1" si="740">IF(BA72&lt;&gt;0,(Q72/COUNTIF(BJ67:BJ71,"&lt;&gt;0"))/BA72,0)</f>
        <v>0</v>
      </c>
      <c r="BK72" s="272">
        <f t="shared" ref="BK72" ca="1" si="741">IF(BD72&lt;&gt;0,(T72/COUNTIF(BK67:BK71,"&lt;&gt;0"))/BD72,0)</f>
        <v>0</v>
      </c>
      <c r="BL72" s="259">
        <f t="shared" ref="BL72" si="742">SUM(BL67:BL71)</f>
        <v>0</v>
      </c>
      <c r="BM72" s="260">
        <f ca="1">SUM(BM67:BM71)</f>
        <v>0</v>
      </c>
      <c r="BN72" s="259">
        <f t="shared" ref="BN72:BQ72" si="743">SUM(BN67:BN71)</f>
        <v>0</v>
      </c>
      <c r="BO72" s="260">
        <f t="shared" ca="1" si="743"/>
        <v>0</v>
      </c>
      <c r="BP72" s="259">
        <f t="shared" si="743"/>
        <v>0</v>
      </c>
      <c r="BQ72" s="260">
        <f t="shared" ca="1" si="743"/>
        <v>0</v>
      </c>
      <c r="BR72" s="259">
        <f t="shared" si="43"/>
        <v>0</v>
      </c>
      <c r="BS72" s="260">
        <f t="shared" ca="1" si="22"/>
        <v>0</v>
      </c>
      <c r="BT72" s="259">
        <f t="shared" ref="BT72:BY72" si="744">SUM(BT67:BT71)</f>
        <v>0</v>
      </c>
      <c r="BU72" s="260">
        <f t="shared" si="744"/>
        <v>0</v>
      </c>
      <c r="BV72" s="260">
        <f t="shared" si="744"/>
        <v>0</v>
      </c>
      <c r="BW72" s="260">
        <f t="shared" si="744"/>
        <v>0</v>
      </c>
      <c r="BX72" s="260">
        <f t="shared" si="744"/>
        <v>0</v>
      </c>
      <c r="BY72" s="273">
        <f t="shared" ca="1" si="744"/>
        <v>0</v>
      </c>
      <c r="BZ72" s="258">
        <f t="shared" ca="1" si="25"/>
        <v>0</v>
      </c>
      <c r="CA72" s="331">
        <f t="shared" ref="CA72:CF72" si="745">SUM(CA67:CA71)</f>
        <v>0</v>
      </c>
      <c r="CB72" s="257">
        <f t="shared" si="745"/>
        <v>0</v>
      </c>
      <c r="CC72" s="257">
        <f t="shared" si="745"/>
        <v>0</v>
      </c>
      <c r="CD72" s="257">
        <f t="shared" si="745"/>
        <v>0</v>
      </c>
      <c r="CE72" s="257">
        <f t="shared" si="745"/>
        <v>0</v>
      </c>
      <c r="CF72" s="257">
        <f t="shared" ca="1" si="745"/>
        <v>0</v>
      </c>
      <c r="CG72" s="258">
        <f t="shared" ca="1" si="28"/>
        <v>0</v>
      </c>
      <c r="CH72" s="331">
        <f t="shared" ref="CH72:CM72" si="746">SUM(CH67:CH71)</f>
        <v>0</v>
      </c>
      <c r="CI72" s="257">
        <f t="shared" si="746"/>
        <v>0</v>
      </c>
      <c r="CJ72" s="257">
        <f t="shared" si="746"/>
        <v>0</v>
      </c>
      <c r="CK72" s="257">
        <f t="shared" si="746"/>
        <v>0</v>
      </c>
      <c r="CL72" s="257">
        <f t="shared" si="746"/>
        <v>0</v>
      </c>
      <c r="CM72" s="257">
        <f t="shared" ca="1" si="746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>
        <f t="shared" si="583"/>
        <v>0</v>
      </c>
      <c r="CW72" s="100">
        <f>CW71</f>
        <v>0</v>
      </c>
      <c r="CX72" s="101">
        <f ca="1">CX71</f>
        <v>0</v>
      </c>
      <c r="CY72" s="99">
        <f t="shared" ca="1" si="36"/>
        <v>0</v>
      </c>
      <c r="CZ72" s="276"/>
      <c r="DA72" s="277"/>
      <c r="DB72" s="277"/>
      <c r="DC72" s="278"/>
    </row>
    <row r="73" spans="1:107" x14ac:dyDescent="0.25">
      <c r="A73" s="44" t="s">
        <v>478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747">IFERROR(VLOOKUP($B73 &amp; $C73&amp;G$4&amp;$A73,tblForecast,G$2,FALSE),0)</f>
        <v>0</v>
      </c>
      <c r="H73" s="202">
        <f t="shared" si="747"/>
        <v>0</v>
      </c>
      <c r="I73" s="202">
        <f t="shared" si="747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748">Q73*AM73</f>
        <v>0</v>
      </c>
      <c r="M73" s="90">
        <f t="shared" si="748"/>
        <v>0</v>
      </c>
      <c r="N73" s="46">
        <f t="shared" si="748"/>
        <v>0</v>
      </c>
      <c r="O73" s="46">
        <f t="shared" ca="1" si="748"/>
        <v>0</v>
      </c>
      <c r="P73" s="47">
        <f t="shared" ca="1" si="39"/>
        <v>0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749">IFERROR(VLOOKUP($B73 &amp; $C73&amp;S$4,tblForecast,S$2,FALSE),0)</f>
        <v>0</v>
      </c>
      <c r="T73" s="238">
        <f ca="1">SUMIFS(OFFSET(tblForecast,,T$2,,1),OFFSET(tblForecast,,,,1),$B73-IF(CompareVer="LY",1,0)&amp; $C73 &amp;T$4)</f>
        <v>0</v>
      </c>
      <c r="U73" s="91">
        <f t="shared" ca="1" si="7"/>
        <v>0</v>
      </c>
      <c r="V73" s="247">
        <f ca="1">IFERROR(IF(Q71&gt;0,Q73/Q71,0),0)</f>
        <v>0</v>
      </c>
      <c r="W73" s="327">
        <f ca="1">IFERROR(IF(R71&gt;0,R73/R71,X73),0)</f>
        <v>0</v>
      </c>
      <c r="X73" s="248">
        <f ca="1">IFERROR(IF(T71&gt;0,T73/T71,0),0)</f>
        <v>0</v>
      </c>
      <c r="Y73" s="51">
        <f t="shared" ref="Y73:AB76" ca="1" si="750">IFERROR(L73*AD73,0)</f>
        <v>0</v>
      </c>
      <c r="Z73" s="46">
        <f t="shared" si="750"/>
        <v>0</v>
      </c>
      <c r="AA73" s="46">
        <f t="shared" si="750"/>
        <v>0</v>
      </c>
      <c r="AB73" s="46">
        <f t="shared" ca="1" si="750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751">IF(AN73&lt;&gt;0,1-AS73/AN73,0)</f>
        <v>0</v>
      </c>
      <c r="AF73" s="93">
        <f t="shared" si="751"/>
        <v>0</v>
      </c>
      <c r="AG73" s="76">
        <f t="shared" ca="1" si="751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752">IFERROR(VLOOKUP($B73 &amp; $C73&amp;AI$4,tblForecast,AI$2,FALSE),0)</f>
        <v>0</v>
      </c>
      <c r="AJ73" s="94">
        <f t="shared" si="752"/>
        <v>0</v>
      </c>
      <c r="AK73" s="49">
        <f ca="1">IFERROR(CF73/BY73,0)</f>
        <v>0</v>
      </c>
      <c r="AL73" s="47">
        <f t="shared" ca="1" si="681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753">IFERROR(VLOOKUP($B73 &amp; $C73&amp;AN$4,tblForecast,AN$2,FALSE),0)</f>
        <v>0</v>
      </c>
      <c r="AO73" s="94">
        <f t="shared" si="753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754">IFERROR(VLOOKUP($B73 &amp; $C73&amp;AS$4,tblForecast,AS$2,FALSE),0)</f>
        <v>0</v>
      </c>
      <c r="AT73" s="94">
        <f t="shared" si="754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0">
        <f t="shared" ref="AW73:AZ76" ca="1" si="755">IFERROR((AM73/AH73-1)*-1,0)</f>
        <v>0</v>
      </c>
      <c r="AX73" s="191">
        <f t="shared" si="755"/>
        <v>0</v>
      </c>
      <c r="AY73" s="191">
        <f t="shared" si="755"/>
        <v>0</v>
      </c>
      <c r="AZ73" s="191">
        <f t="shared" ca="1" si="755"/>
        <v>0</v>
      </c>
      <c r="BA73" s="233">
        <f ca="1">IF(BA72+BV73+BL73+BR73-Q73&lt;0,0,BA72+BV73+BL73+BR73-Q73)</f>
        <v>0</v>
      </c>
      <c r="BB73" s="229">
        <f ca="1">IF(IFERROR(VLOOKUP($B73 &amp; $C73&amp;BB$4,tblForecast,BB$2,FALSE),0)=0,BA73,IFERROR(VLOOKUP($B73 &amp; $C73&amp;BB$4,tblForecast,BB$2,FALSE),0))</f>
        <v>0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756">CX73+BG73</f>
        <v>0</v>
      </c>
      <c r="BE73" s="193">
        <f t="shared" ca="1" si="19"/>
        <v>0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0</v>
      </c>
      <c r="BH73" s="178">
        <f ca="1">IF(Q73&lt;&gt;0,BA73/Q73,0)</f>
        <v>0</v>
      </c>
      <c r="BI73" s="182">
        <f ca="1">IF(T73&lt;&gt;0,BD73/T73,0)</f>
        <v>0</v>
      </c>
      <c r="BJ73" s="194">
        <f t="shared" ref="BJ73:BJ76" ca="1" si="757">IF(BA73&lt;&gt;0,Q73/BA73,0)</f>
        <v>0</v>
      </c>
      <c r="BK73" s="50">
        <f t="shared" ref="BK73:BK76" ca="1" si="758">IF(BD73&lt;&gt;0,T73/BD73,0)</f>
        <v>0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0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0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0</v>
      </c>
      <c r="BR73" s="225">
        <f t="shared" si="43"/>
        <v>0</v>
      </c>
      <c r="BS73" s="229">
        <f t="shared" ca="1" si="22"/>
        <v>0</v>
      </c>
      <c r="BT73" s="232">
        <f t="shared" ref="BT73:BU76" si="759">IFERROR(VLOOKUP($B73 &amp; $C73&amp;BT$4,tblForecast,BT$2,FALSE),0)</f>
        <v>0</v>
      </c>
      <c r="BU73" s="229">
        <f t="shared" si="759"/>
        <v>0</v>
      </c>
      <c r="BV73" s="229">
        <f>IF($A73="a",IFERROR(VLOOKUP($B73 &amp; $C73&amp;BV$4,tblForecast,BV$2,FALSE),0),BT73+BU73)</f>
        <v>0</v>
      </c>
      <c r="BW73" s="229">
        <f t="shared" ref="BW73:BX76" si="760">IFERROR(VLOOKUP($B73 &amp; $C73&amp;BW$4,tblForecast,BW$2,FALSE),0)</f>
        <v>0</v>
      </c>
      <c r="BX73" s="229">
        <f t="shared" si="760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761">IFERROR(VLOOKUP($B73 &amp; $C73&amp;CA$4,tblForecast,CA$2,FALSE),0)</f>
        <v>0</v>
      </c>
      <c r="CB73" s="46">
        <f t="shared" si="761"/>
        <v>0</v>
      </c>
      <c r="CC73" s="46">
        <f>IF($A73="a",IFERROR(VLOOKUP($B73 &amp; $C73&amp;CC$4,tblForecast,CC$2,FALSE),0),CA73+CB73)</f>
        <v>0</v>
      </c>
      <c r="CD73" s="46">
        <f t="shared" ref="CD73:CE76" si="762">IFERROR(VLOOKUP($B73 &amp; $C73&amp;CD$4,tblForecast,CD$2,FALSE),0)</f>
        <v>0</v>
      </c>
      <c r="CE73" s="46">
        <f t="shared" si="762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763">IFERROR(VLOOKUP($B73 &amp; $C73&amp;CH$4,tblForecast,CH$2,FALSE),0)</f>
        <v>0</v>
      </c>
      <c r="CI73" s="46">
        <f t="shared" si="763"/>
        <v>0</v>
      </c>
      <c r="CJ73" s="46">
        <f>IF($A73="a",IFERROR(VLOOKUP($B73 &amp; $C73&amp;CJ$4,tblForecast,CJ$2,FALSE),0),CH73+CI73)</f>
        <v>0</v>
      </c>
      <c r="CK73" s="46">
        <f t="shared" ref="CK73:CL76" si="764">IFERROR(VLOOKUP($B73 &amp; $C73&amp;CK$4,tblForecast,CK$2,FALSE),0)</f>
        <v>0</v>
      </c>
      <c r="CL73" s="46">
        <f t="shared" si="764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>
        <f t="shared" si="583"/>
        <v>0</v>
      </c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6">
        <f>IFERROR(VLOOKUP(Brand&amp;Channel&amp;Country&amp;$C73,tblDiscount,6,FALSE),0)</f>
        <v>0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478</v>
      </c>
      <c r="B74" s="44">
        <v>2018</v>
      </c>
      <c r="C74" s="88">
        <v>50</v>
      </c>
      <c r="D74" s="51">
        <f t="shared" ref="D74:D76" si="765">G74*H74</f>
        <v>0</v>
      </c>
      <c r="E74" s="201">
        <f t="shared" ref="E74:E76" si="766">IFERROR(D74*F74,0)</f>
        <v>0</v>
      </c>
      <c r="F74" s="181">
        <f t="shared" si="45"/>
        <v>0</v>
      </c>
      <c r="G74" s="175">
        <f t="shared" si="747"/>
        <v>0</v>
      </c>
      <c r="H74" s="202">
        <f t="shared" si="747"/>
        <v>0</v>
      </c>
      <c r="I74" s="202">
        <f t="shared" si="747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748"/>
        <v>0</v>
      </c>
      <c r="M74" s="90">
        <f t="shared" si="748"/>
        <v>0</v>
      </c>
      <c r="N74" s="46">
        <f t="shared" si="748"/>
        <v>0</v>
      </c>
      <c r="O74" s="46">
        <f t="shared" ca="1" si="748"/>
        <v>0</v>
      </c>
      <c r="P74" s="47">
        <f t="shared" ca="1" si="39"/>
        <v>0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749"/>
        <v>0</v>
      </c>
      <c r="T74" s="238">
        <f ca="1">SUMIFS(OFFSET(tblForecast,,T$2,,1),OFFSET(tblForecast,,,,1),$B74-IF(CompareVer="LY",1,0)&amp; $C74 &amp;T$4)</f>
        <v>0</v>
      </c>
      <c r="U74" s="91">
        <f t="shared" ca="1" si="7"/>
        <v>0</v>
      </c>
      <c r="V74" s="247">
        <f t="shared" ref="V74:V76" ca="1" si="767">IFERROR(IF(Q73&lt;&gt;0,Q74/Q73,0),0)</f>
        <v>0</v>
      </c>
      <c r="W74" s="327">
        <f ca="1">IFERROR(IF(R73&lt;&gt;0,R74/R73,X74),0)</f>
        <v>0</v>
      </c>
      <c r="X74" s="248">
        <f t="shared" ref="X74:X76" ca="1" si="768">IFERROR(IF(T73&lt;&gt;0,T74/T73,0),0)</f>
        <v>0</v>
      </c>
      <c r="Y74" s="51">
        <f t="shared" ca="1" si="750"/>
        <v>0</v>
      </c>
      <c r="Z74" s="46">
        <f t="shared" si="750"/>
        <v>0</v>
      </c>
      <c r="AA74" s="46">
        <f t="shared" si="750"/>
        <v>0</v>
      </c>
      <c r="AB74" s="46">
        <f t="shared" ca="1" si="750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751"/>
        <v>0</v>
      </c>
      <c r="AF74" s="93">
        <f t="shared" si="751"/>
        <v>0</v>
      </c>
      <c r="AG74" s="76">
        <f t="shared" ca="1" si="751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752"/>
        <v>0</v>
      </c>
      <c r="AJ74" s="94">
        <f t="shared" si="752"/>
        <v>0</v>
      </c>
      <c r="AK74" s="49">
        <f ca="1">IFERROR(CF74/BY74,0)</f>
        <v>0</v>
      </c>
      <c r="AL74" s="47">
        <f t="shared" ca="1" si="681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753"/>
        <v>0</v>
      </c>
      <c r="AO74" s="94">
        <f t="shared" si="753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754"/>
        <v>0</v>
      </c>
      <c r="AT74" s="94">
        <f t="shared" si="754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0">
        <f t="shared" ca="1" si="755"/>
        <v>0</v>
      </c>
      <c r="AX74" s="191">
        <f t="shared" si="755"/>
        <v>0</v>
      </c>
      <c r="AY74" s="191">
        <f t="shared" si="755"/>
        <v>0</v>
      </c>
      <c r="AZ74" s="191">
        <f t="shared" ca="1" si="755"/>
        <v>0</v>
      </c>
      <c r="BA74" s="233">
        <f ca="1">IF(BA73+BV74+BL74+BR74-Q74&lt;0,0,BA73+BV74+BL74+BR74-Q74)</f>
        <v>0</v>
      </c>
      <c r="BB74" s="229">
        <f ca="1">IF(IFERROR(VLOOKUP($B74 &amp; $C74&amp;BB$4,tblForecast,BB$2,FALSE),0)=0,BA74,IFERROR(VLOOKUP($B74 &amp; $C74&amp;BB$4,tblForecast,BB$2,FALSE),0))</f>
        <v>0</v>
      </c>
      <c r="BC74" s="229">
        <f ca="1">SUMIFS(OFFSET(tblForecast,,BC$2,,1),OFFSET(tblForecast,,,,1),$B74-IF(CompareVer="LY",1,0)&amp; $C74 &amp;BC$4)</f>
        <v>0</v>
      </c>
      <c r="BD74" s="229">
        <f t="shared" ca="1" si="756"/>
        <v>0</v>
      </c>
      <c r="BE74" s="193">
        <f t="shared" ca="1" si="19"/>
        <v>0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0</v>
      </c>
      <c r="BH74" s="178">
        <f ca="1">IF(Q74&lt;&gt;0,BA74/Q74,0)</f>
        <v>0</v>
      </c>
      <c r="BI74" s="182">
        <f ca="1">IF(T74&lt;&gt;0,BD74/T74,0)</f>
        <v>0</v>
      </c>
      <c r="BJ74" s="194">
        <f t="shared" ca="1" si="757"/>
        <v>0</v>
      </c>
      <c r="BK74" s="50">
        <f t="shared" ca="1" si="758"/>
        <v>0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0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0</v>
      </c>
      <c r="BT74" s="232">
        <f t="shared" si="759"/>
        <v>0</v>
      </c>
      <c r="BU74" s="229">
        <f t="shared" si="759"/>
        <v>0</v>
      </c>
      <c r="BV74" s="229">
        <f>IF($A74="a",IFERROR(VLOOKUP($B74 &amp; $C74&amp;BV$4,tblForecast,BV$2,FALSE),0),BT74+BU74)</f>
        <v>0</v>
      </c>
      <c r="BW74" s="229">
        <f t="shared" si="760"/>
        <v>0</v>
      </c>
      <c r="BX74" s="229">
        <f t="shared" si="760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761"/>
        <v>0</v>
      </c>
      <c r="CB74" s="46">
        <f t="shared" si="761"/>
        <v>0</v>
      </c>
      <c r="CC74" s="46">
        <f>IF($A74="a",IFERROR(VLOOKUP($B74 &amp; $C74&amp;CC$4,tblForecast,CC$2,FALSE),0),CA74+CB74)</f>
        <v>0</v>
      </c>
      <c r="CD74" s="46">
        <f t="shared" si="762"/>
        <v>0</v>
      </c>
      <c r="CE74" s="46">
        <f t="shared" si="762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763"/>
        <v>0</v>
      </c>
      <c r="CI74" s="46">
        <f t="shared" si="763"/>
        <v>0</v>
      </c>
      <c r="CJ74" s="46">
        <f>IF($A74="a",IFERROR(VLOOKUP($B74 &amp; $C74&amp;CJ$4,tblForecast,CJ$2,FALSE),0),CH74+CI74)</f>
        <v>0</v>
      </c>
      <c r="CK74" s="46">
        <f t="shared" si="764"/>
        <v>0</v>
      </c>
      <c r="CL74" s="46">
        <f t="shared" si="764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>
        <f t="shared" si="583"/>
        <v>0</v>
      </c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6">
        <f>IFERROR(VLOOKUP(Brand&amp;Channel&amp;Country&amp;$C74,tblDiscount,6,FALSE),0)</f>
        <v>0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478</v>
      </c>
      <c r="B75" s="44">
        <v>2018</v>
      </c>
      <c r="C75" s="88">
        <v>51</v>
      </c>
      <c r="D75" s="51">
        <f t="shared" si="765"/>
        <v>0</v>
      </c>
      <c r="E75" s="201">
        <f t="shared" si="766"/>
        <v>0</v>
      </c>
      <c r="F75" s="181">
        <f t="shared" si="45"/>
        <v>0</v>
      </c>
      <c r="G75" s="175">
        <f t="shared" si="747"/>
        <v>0</v>
      </c>
      <c r="H75" s="202">
        <f t="shared" si="747"/>
        <v>0</v>
      </c>
      <c r="I75" s="202">
        <f t="shared" si="747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748"/>
        <v>0</v>
      </c>
      <c r="M75" s="90">
        <f t="shared" si="748"/>
        <v>0</v>
      </c>
      <c r="N75" s="46">
        <f t="shared" si="748"/>
        <v>0</v>
      </c>
      <c r="O75" s="46">
        <f t="shared" ca="1" si="748"/>
        <v>0</v>
      </c>
      <c r="P75" s="47">
        <f t="shared" ca="1" si="39"/>
        <v>0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749"/>
        <v>0</v>
      </c>
      <c r="T75" s="238">
        <f ca="1">SUMIFS(OFFSET(tblForecast,,T$2,,1),OFFSET(tblForecast,,,,1),$B75-IF(CompareVer="LY",1,0)&amp; $C75 &amp;T$4)</f>
        <v>0</v>
      </c>
      <c r="U75" s="91">
        <f t="shared" ref="U75:U96" ca="1" si="769">IFERROR(Q75/T75-1,)</f>
        <v>0</v>
      </c>
      <c r="V75" s="247">
        <f t="shared" ca="1" si="767"/>
        <v>0</v>
      </c>
      <c r="W75" s="327">
        <f ca="1">IFERROR(IF(R74&lt;&gt;0,R75/R74,X75),0)</f>
        <v>0</v>
      </c>
      <c r="X75" s="248">
        <f t="shared" ca="1" si="768"/>
        <v>0</v>
      </c>
      <c r="Y75" s="51">
        <f t="shared" ca="1" si="750"/>
        <v>0</v>
      </c>
      <c r="Z75" s="46">
        <f t="shared" si="750"/>
        <v>0</v>
      </c>
      <c r="AA75" s="46">
        <f t="shared" si="750"/>
        <v>0</v>
      </c>
      <c r="AB75" s="46">
        <f t="shared" ca="1" si="750"/>
        <v>0</v>
      </c>
      <c r="AC75" s="91">
        <f t="shared" ref="AC75:AC96" ca="1" si="770">IFERROR(Y75/AB75-1,)</f>
        <v>0</v>
      </c>
      <c r="AD75" s="75">
        <f ca="1">IF(AM75&lt;&gt;0,1-AR75/AM75,0)</f>
        <v>0</v>
      </c>
      <c r="AE75" s="93">
        <f t="shared" si="751"/>
        <v>0</v>
      </c>
      <c r="AF75" s="93">
        <f t="shared" si="751"/>
        <v>0</v>
      </c>
      <c r="AG75" s="76">
        <f t="shared" ca="1" si="751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752"/>
        <v>0</v>
      </c>
      <c r="AJ75" s="94">
        <f t="shared" si="752"/>
        <v>0</v>
      </c>
      <c r="AK75" s="49">
        <f ca="1">IFERROR(CF75/BY75,0)</f>
        <v>0</v>
      </c>
      <c r="AL75" s="47">
        <f t="shared" ca="1" si="681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753"/>
        <v>0</v>
      </c>
      <c r="AO75" s="94">
        <f t="shared" si="753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96" ca="1" si="771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754"/>
        <v>0</v>
      </c>
      <c r="AT75" s="94">
        <f t="shared" si="754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96" ca="1" si="772">IFERROR(AR75/AU75-1,)</f>
        <v>0</v>
      </c>
      <c r="AW75" s="190">
        <f t="shared" ca="1" si="755"/>
        <v>0</v>
      </c>
      <c r="AX75" s="191">
        <f t="shared" si="755"/>
        <v>0</v>
      </c>
      <c r="AY75" s="191">
        <f t="shared" si="755"/>
        <v>0</v>
      </c>
      <c r="AZ75" s="191">
        <f t="shared" ca="1" si="755"/>
        <v>0</v>
      </c>
      <c r="BA75" s="233">
        <f ca="1">IF(BA74+BV75+BL75+BR75-Q75&lt;0,0,BA74+BV75+BL75+BR75-Q75)</f>
        <v>0</v>
      </c>
      <c r="BB75" s="229">
        <f ca="1">IF(IFERROR(VLOOKUP($B75 &amp; $C75&amp;BB$4,tblForecast,BB$2,FALSE),0)=0,BA75,IFERROR(VLOOKUP($B75 &amp; $C75&amp;BB$4,tblForecast,BB$2,FALSE),0))</f>
        <v>0</v>
      </c>
      <c r="BC75" s="229">
        <f ca="1">SUMIFS(OFFSET(tblForecast,,BC$2,,1),OFFSET(tblForecast,,,,1),$B75-IF(CompareVer="LY",1,0)&amp; $C75 &amp;BC$4)</f>
        <v>0</v>
      </c>
      <c r="BD75" s="229">
        <f t="shared" ca="1" si="756"/>
        <v>0</v>
      </c>
      <c r="BE75" s="193">
        <f t="shared" ref="BE75:BE96" ca="1" si="773">IFERROR(BA75/BD75-1,)</f>
        <v>0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0</v>
      </c>
      <c r="BH75" s="178">
        <f ca="1">IF(Q75&lt;&gt;0,BA75/Q75,0)</f>
        <v>0</v>
      </c>
      <c r="BI75" s="182">
        <f ca="1">IF(T75&lt;&gt;0,BD75/T75,0)</f>
        <v>0</v>
      </c>
      <c r="BJ75" s="194">
        <f t="shared" ca="1" si="757"/>
        <v>0</v>
      </c>
      <c r="BK75" s="50">
        <f t="shared" ca="1" si="758"/>
        <v>0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0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0</v>
      </c>
      <c r="BR75" s="225">
        <f t="shared" si="43"/>
        <v>0</v>
      </c>
      <c r="BS75" s="229">
        <f t="shared" ca="1" si="43"/>
        <v>0</v>
      </c>
      <c r="BT75" s="232">
        <f t="shared" si="759"/>
        <v>0</v>
      </c>
      <c r="BU75" s="229">
        <f t="shared" si="759"/>
        <v>0</v>
      </c>
      <c r="BV75" s="229">
        <f>IF($A75="a",IFERROR(VLOOKUP($B75 &amp; $C75&amp;BV$4,tblForecast,BV$2,FALSE),0),BT75+BU75)</f>
        <v>0</v>
      </c>
      <c r="BW75" s="229">
        <f t="shared" si="760"/>
        <v>0</v>
      </c>
      <c r="BX75" s="229">
        <f t="shared" si="760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96" ca="1" si="774">IFERROR(BV75/BY75-1,)</f>
        <v>0</v>
      </c>
      <c r="CA75" s="330">
        <f t="shared" si="761"/>
        <v>0</v>
      </c>
      <c r="CB75" s="46">
        <f t="shared" si="761"/>
        <v>0</v>
      </c>
      <c r="CC75" s="46">
        <f>IF($A75="a",IFERROR(VLOOKUP($B75 &amp; $C75&amp;CC$4,tblForecast,CC$2,FALSE),0),CA75+CB75)</f>
        <v>0</v>
      </c>
      <c r="CD75" s="46">
        <f t="shared" si="762"/>
        <v>0</v>
      </c>
      <c r="CE75" s="46">
        <f t="shared" si="762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96" ca="1" si="775">IFERROR(CC75/CF75-1,)</f>
        <v>0</v>
      </c>
      <c r="CH75" s="330">
        <f t="shared" si="763"/>
        <v>0</v>
      </c>
      <c r="CI75" s="46">
        <f t="shared" si="763"/>
        <v>0</v>
      </c>
      <c r="CJ75" s="46">
        <f>IF($A75="a",IFERROR(VLOOKUP($B75 &amp; $C75&amp;CJ$4,tblForecast,CJ$2,FALSE),0),CH75+CI75)</f>
        <v>0</v>
      </c>
      <c r="CK75" s="46">
        <f t="shared" si="764"/>
        <v>0</v>
      </c>
      <c r="CL75" s="46">
        <f t="shared" si="764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96" ca="1" si="776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96" ca="1" si="777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>
        <f t="shared" si="583"/>
        <v>0</v>
      </c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6">
        <f>IFERROR(VLOOKUP(Brand&amp;Channel&amp;Country&amp;$C75,tblDiscount,6,FALSE),0)</f>
        <v>0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478</v>
      </c>
      <c r="B76" s="44">
        <v>2018</v>
      </c>
      <c r="C76" s="88">
        <v>52</v>
      </c>
      <c r="D76" s="51">
        <f t="shared" si="765"/>
        <v>0</v>
      </c>
      <c r="E76" s="201">
        <f t="shared" si="766"/>
        <v>0</v>
      </c>
      <c r="F76" s="181">
        <f t="shared" si="45"/>
        <v>0</v>
      </c>
      <c r="G76" s="175">
        <f t="shared" si="747"/>
        <v>0</v>
      </c>
      <c r="H76" s="202">
        <f t="shared" si="747"/>
        <v>0</v>
      </c>
      <c r="I76" s="202">
        <f t="shared" si="747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748"/>
        <v>0</v>
      </c>
      <c r="M76" s="90">
        <f t="shared" si="748"/>
        <v>0</v>
      </c>
      <c r="N76" s="46">
        <f t="shared" si="748"/>
        <v>0</v>
      </c>
      <c r="O76" s="46">
        <f t="shared" ca="1" si="748"/>
        <v>0</v>
      </c>
      <c r="P76" s="47">
        <f t="shared" ref="P76:P96" ca="1" si="778">IFERROR(L76/O76-1,)</f>
        <v>0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749"/>
        <v>0</v>
      </c>
      <c r="T76" s="238">
        <f ca="1">SUMIFS(OFFSET(tblForecast,,T$2,,1),OFFSET(tblForecast,,,,1),$B76-IF(CompareVer="LY",1,0)&amp; $C76 &amp;T$4)</f>
        <v>0</v>
      </c>
      <c r="U76" s="91">
        <f t="shared" ca="1" si="769"/>
        <v>0</v>
      </c>
      <c r="V76" s="247">
        <f t="shared" ca="1" si="767"/>
        <v>0</v>
      </c>
      <c r="W76" s="327">
        <f ca="1">IFERROR(IF(R75&lt;&gt;0,R76/R75,X76),0)</f>
        <v>0</v>
      </c>
      <c r="X76" s="248">
        <f t="shared" ca="1" si="768"/>
        <v>0</v>
      </c>
      <c r="Y76" s="51">
        <f t="shared" ca="1" si="750"/>
        <v>0</v>
      </c>
      <c r="Z76" s="46">
        <f t="shared" si="750"/>
        <v>0</v>
      </c>
      <c r="AA76" s="46">
        <f t="shared" si="750"/>
        <v>0</v>
      </c>
      <c r="AB76" s="46">
        <f t="shared" ca="1" si="750"/>
        <v>0</v>
      </c>
      <c r="AC76" s="91">
        <f t="shared" ca="1" si="770"/>
        <v>0</v>
      </c>
      <c r="AD76" s="75">
        <f ca="1">IF(AM76&lt;&gt;0,1-AR76/AM76,0)</f>
        <v>0</v>
      </c>
      <c r="AE76" s="93">
        <f t="shared" si="751"/>
        <v>0</v>
      </c>
      <c r="AF76" s="93">
        <f t="shared" si="751"/>
        <v>0</v>
      </c>
      <c r="AG76" s="76">
        <f t="shared" ca="1" si="751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752"/>
        <v>0</v>
      </c>
      <c r="AJ76" s="94">
        <f t="shared" si="752"/>
        <v>0</v>
      </c>
      <c r="AK76" s="49">
        <f ca="1">IFERROR(CF76/BY76,0)</f>
        <v>0</v>
      </c>
      <c r="AL76" s="47">
        <f t="shared" ca="1" si="681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753"/>
        <v>0</v>
      </c>
      <c r="AO76" s="94">
        <f t="shared" si="753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771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754"/>
        <v>0</v>
      </c>
      <c r="AT76" s="94">
        <f t="shared" si="754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772"/>
        <v>0</v>
      </c>
      <c r="AW76" s="190">
        <f t="shared" ca="1" si="755"/>
        <v>0</v>
      </c>
      <c r="AX76" s="191">
        <f t="shared" si="755"/>
        <v>0</v>
      </c>
      <c r="AY76" s="191">
        <f t="shared" si="755"/>
        <v>0</v>
      </c>
      <c r="AZ76" s="191">
        <f t="shared" ca="1" si="755"/>
        <v>0</v>
      </c>
      <c r="BA76" s="233">
        <f ca="1">IF(BA75+BV76+BL76+BR76-Q76&lt;0,0,BA75+BV76+BL76+BR76-Q76)</f>
        <v>0</v>
      </c>
      <c r="BB76" s="229">
        <f ca="1">IF(IFERROR(VLOOKUP($B76 &amp; $C76&amp;BB$4,tblForecast,BB$2,FALSE),0)=0,BA76,IFERROR(VLOOKUP($B76 &amp; $C76&amp;BB$4,tblForecast,BB$2,FALSE),0))</f>
        <v>0</v>
      </c>
      <c r="BC76" s="229">
        <f ca="1">SUMIFS(OFFSET(tblForecast,,BC$2,,1),OFFSET(tblForecast,,,,1),$B76-IF(CompareVer="LY",1,0)&amp; $C76 &amp;BC$4)</f>
        <v>0</v>
      </c>
      <c r="BD76" s="229">
        <f t="shared" ca="1" si="756"/>
        <v>0</v>
      </c>
      <c r="BE76" s="193">
        <f t="shared" ca="1" si="773"/>
        <v>0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0</v>
      </c>
      <c r="BH76" s="178">
        <f ca="1">IF(Q76&lt;&gt;0,BA76/Q76,0)</f>
        <v>0</v>
      </c>
      <c r="BI76" s="182">
        <f ca="1">IF(T76&lt;&gt;0,BD76/T76,0)</f>
        <v>0</v>
      </c>
      <c r="BJ76" s="194">
        <f t="shared" ca="1" si="757"/>
        <v>0</v>
      </c>
      <c r="BK76" s="50">
        <f t="shared" ca="1" si="758"/>
        <v>0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0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0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779">BN76-BP76</f>
        <v>0</v>
      </c>
      <c r="BS76" s="229">
        <f t="shared" ca="1" si="779"/>
        <v>0</v>
      </c>
      <c r="BT76" s="232">
        <f t="shared" si="759"/>
        <v>0</v>
      </c>
      <c r="BU76" s="229">
        <f t="shared" si="759"/>
        <v>0</v>
      </c>
      <c r="BV76" s="229">
        <f>IF($A76="a",IFERROR(VLOOKUP($B76 &amp; $C76&amp;BV$4,tblForecast,BV$2,FALSE),0),BT76+BU76)</f>
        <v>0</v>
      </c>
      <c r="BW76" s="229">
        <f t="shared" si="760"/>
        <v>0</v>
      </c>
      <c r="BX76" s="229">
        <f t="shared" si="760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774"/>
        <v>0</v>
      </c>
      <c r="CA76" s="330">
        <f t="shared" si="761"/>
        <v>0</v>
      </c>
      <c r="CB76" s="46">
        <f t="shared" si="761"/>
        <v>0</v>
      </c>
      <c r="CC76" s="46">
        <f>IF($A76="a",IFERROR(VLOOKUP($B76 &amp; $C76&amp;CC$4,tblForecast,CC$2,FALSE),0),CA76+CB76)</f>
        <v>0</v>
      </c>
      <c r="CD76" s="46">
        <f t="shared" si="762"/>
        <v>0</v>
      </c>
      <c r="CE76" s="46">
        <f t="shared" si="762"/>
        <v>0</v>
      </c>
      <c r="CF76" s="46">
        <f ca="1">SUMIFS(OFFSET(tblForecast,,CF$2,,1),OFFSET(tblForecast,,,,1),$B76-IF(CompareVer="LY",1,0)&amp; $C76 &amp;CF$4)</f>
        <v>0</v>
      </c>
      <c r="CG76" s="193">
        <f t="shared" ca="1" si="775"/>
        <v>0</v>
      </c>
      <c r="CH76" s="330">
        <f t="shared" si="763"/>
        <v>0</v>
      </c>
      <c r="CI76" s="46">
        <f t="shared" si="763"/>
        <v>0</v>
      </c>
      <c r="CJ76" s="46">
        <f>IF($A76="a",IFERROR(VLOOKUP($B76 &amp; $C76&amp;CJ$4,tblForecast,CJ$2,FALSE),0),CH76+CI76)</f>
        <v>0</v>
      </c>
      <c r="CK76" s="46">
        <f t="shared" si="764"/>
        <v>0</v>
      </c>
      <c r="CL76" s="46">
        <f t="shared" si="764"/>
        <v>0</v>
      </c>
      <c r="CM76" s="46">
        <f ca="1">SUMIFS(OFFSET(tblForecast,,CM$2,,1),OFFSET(tblForecast,,,,1),$B76-IF(CompareVer="LY",1,0)&amp; $C76 &amp;CM$4)</f>
        <v>0</v>
      </c>
      <c r="CN76" s="193">
        <f t="shared" ca="1" si="776"/>
        <v>0</v>
      </c>
      <c r="CO76" s="177">
        <f t="shared" si="46"/>
        <v>0</v>
      </c>
      <c r="CP76" s="221">
        <f t="shared" ca="1" si="46"/>
        <v>0</v>
      </c>
      <c r="CQ76" s="193">
        <f t="shared" ca="1" si="777"/>
        <v>0</v>
      </c>
      <c r="CR76" s="177">
        <f t="shared" ref="CR76:CS96" si="780">IFERROR(CL76/BX76,0)</f>
        <v>0</v>
      </c>
      <c r="CS76" s="221">
        <f t="shared" ca="1" si="780"/>
        <v>0</v>
      </c>
      <c r="CT76" s="193">
        <f t="shared" ca="1" si="47"/>
        <v>0</v>
      </c>
      <c r="CU76" s="44">
        <f t="shared" si="583"/>
        <v>0</v>
      </c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6">
        <f>IFERROR(VLOOKUP(Brand&amp;Channel&amp;Country&amp;$C76,tblDiscount,6,FALSE),0)</f>
        <v>0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284</v>
      </c>
      <c r="D77" s="252">
        <f t="shared" ref="D77" si="781">SUM(D73:D76)</f>
        <v>0</v>
      </c>
      <c r="E77" s="253">
        <f t="shared" ref="E77" si="782">SUM(E73:E76)</f>
        <v>0</v>
      </c>
      <c r="F77" s="254">
        <f t="shared" ref="F77:F96" si="783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784">SUM(M73:M76)</f>
        <v>0</v>
      </c>
      <c r="N77" s="257">
        <f t="shared" si="784"/>
        <v>0</v>
      </c>
      <c r="O77" s="257">
        <f t="shared" ca="1" si="784"/>
        <v>0</v>
      </c>
      <c r="P77" s="258">
        <f t="shared" ca="1" si="778"/>
        <v>0</v>
      </c>
      <c r="Q77" s="259">
        <f t="shared" ref="Q77" ca="1" si="785">SUM(Q73:Q76)</f>
        <v>0</v>
      </c>
      <c r="R77" s="260">
        <f t="shared" ref="R77:S77" si="786">SUM(R73:R76)</f>
        <v>0</v>
      </c>
      <c r="S77" s="260">
        <f t="shared" si="786"/>
        <v>0</v>
      </c>
      <c r="T77" s="260">
        <f ca="1">SUM(T73:T76)</f>
        <v>0</v>
      </c>
      <c r="U77" s="258">
        <f t="shared" ca="1" si="769"/>
        <v>0</v>
      </c>
      <c r="V77" s="261">
        <f t="shared" ref="V77:X77" ca="1" si="787">V76</f>
        <v>0</v>
      </c>
      <c r="W77" s="325">
        <f t="shared" ca="1" si="787"/>
        <v>0</v>
      </c>
      <c r="X77" s="262">
        <f t="shared" ca="1" si="787"/>
        <v>0</v>
      </c>
      <c r="Y77" s="252">
        <f ca="1">SUM(Y73:Y76)</f>
        <v>0</v>
      </c>
      <c r="Z77" s="257">
        <f t="shared" ref="Z77:AB77" si="788">SUM(Z73:Z76)</f>
        <v>0</v>
      </c>
      <c r="AA77" s="257">
        <f t="shared" si="788"/>
        <v>0</v>
      </c>
      <c r="AB77" s="257">
        <f t="shared" ca="1" si="788"/>
        <v>0</v>
      </c>
      <c r="AC77" s="258">
        <f t="shared" ca="1" si="770"/>
        <v>0</v>
      </c>
      <c r="AD77" s="263">
        <f t="shared" ref="AD77:AG79" ca="1" si="789">IFERROR(Y77/L77,0)</f>
        <v>0</v>
      </c>
      <c r="AE77" s="264">
        <f t="shared" si="789"/>
        <v>0</v>
      </c>
      <c r="AF77" s="264">
        <f t="shared" si="789"/>
        <v>0</v>
      </c>
      <c r="AG77" s="264">
        <f t="shared" ca="1" si="789"/>
        <v>0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790">IFERROR(SUMPRODUCT(AJ73:AJ76,S73:S76)/S77,0)</f>
        <v>0</v>
      </c>
      <c r="AK77" s="266">
        <f t="shared" ca="1" si="790"/>
        <v>0</v>
      </c>
      <c r="AL77" s="258">
        <f t="shared" ca="1" si="681"/>
        <v>0</v>
      </c>
      <c r="AM77" s="265">
        <f t="shared" ref="AM77:AP79" ca="1" si="791">IF(Q77&lt;&gt;0,L77/Q77,0)</f>
        <v>0</v>
      </c>
      <c r="AN77" s="266">
        <f t="shared" si="791"/>
        <v>0</v>
      </c>
      <c r="AO77" s="266">
        <f t="shared" si="791"/>
        <v>0</v>
      </c>
      <c r="AP77" s="266">
        <f t="shared" ca="1" si="791"/>
        <v>0</v>
      </c>
      <c r="AQ77" s="258">
        <f t="shared" ca="1" si="771"/>
        <v>0</v>
      </c>
      <c r="AR77" s="265">
        <f t="shared" ref="AR77:AU79" ca="1" si="792">IFERROR((L77*(1-AD77))/Q77,0)</f>
        <v>0</v>
      </c>
      <c r="AS77" s="266">
        <f t="shared" si="792"/>
        <v>0</v>
      </c>
      <c r="AT77" s="266">
        <f t="shared" si="792"/>
        <v>0</v>
      </c>
      <c r="AU77" s="266">
        <f t="shared" ca="1" si="792"/>
        <v>0</v>
      </c>
      <c r="AV77" s="258">
        <f t="shared" ca="1" si="772"/>
        <v>0</v>
      </c>
      <c r="AW77" s="267">
        <f ca="1">IFERROR(SUMPRODUCT(AW73:AW76,V73:V76)/V77,0)</f>
        <v>0</v>
      </c>
      <c r="AX77" s="268">
        <f t="shared" ref="AX77:AZ77" ca="1" si="793">IFERROR(SUMPRODUCT(AX73:AX76,X73:X76)/X77,0)</f>
        <v>0</v>
      </c>
      <c r="AY77" s="268">
        <f t="shared" ca="1" si="793"/>
        <v>0</v>
      </c>
      <c r="AZ77" s="268">
        <f t="shared" ca="1" si="793"/>
        <v>0</v>
      </c>
      <c r="BA77" s="259">
        <f ca="1">BA76</f>
        <v>0</v>
      </c>
      <c r="BB77" s="260">
        <f t="shared" ref="BB77:BD79" ca="1" si="794">BB76</f>
        <v>0</v>
      </c>
      <c r="BC77" s="260">
        <f t="shared" ca="1" si="794"/>
        <v>0</v>
      </c>
      <c r="BD77" s="260">
        <f t="shared" ca="1" si="794"/>
        <v>0</v>
      </c>
      <c r="BE77" s="258">
        <f t="shared" ca="1" si="773"/>
        <v>0</v>
      </c>
      <c r="BF77" s="260">
        <f t="shared" ref="BF77:BG79" si="795">BF76</f>
        <v>0</v>
      </c>
      <c r="BG77" s="260">
        <f t="shared" ca="1" si="795"/>
        <v>0</v>
      </c>
      <c r="BH77" s="269">
        <f ca="1">IF(Q77&lt;&gt;0,(BA77*COUNTIF(BH73:BH76,"&lt;&gt;0")/Q77),0)</f>
        <v>0</v>
      </c>
      <c r="BI77" s="270">
        <f ca="1">IF(T77&lt;&gt;0,(BD77*COUNTIF(BI73:BI76,"&lt;&gt;0")/T77),0)</f>
        <v>0</v>
      </c>
      <c r="BJ77" s="271">
        <f t="shared" ref="BJ77" ca="1" si="796">IF(BA77&lt;&gt;0,(Q77/COUNTIF(BJ73:BJ76,"&lt;&gt;0"))/BA77,0)</f>
        <v>0</v>
      </c>
      <c r="BK77" s="272">
        <f t="shared" ref="BK77" ca="1" si="797">IF(BD77&lt;&gt;0,(T77/COUNTIF(BK73:BK76,"&lt;&gt;0"))/BD77,0)</f>
        <v>0</v>
      </c>
      <c r="BL77" s="259">
        <f>SUM(BL73:BL76)</f>
        <v>0</v>
      </c>
      <c r="BM77" s="260">
        <f ca="1">SUM(BM73:BM76)</f>
        <v>0</v>
      </c>
      <c r="BN77" s="259">
        <f>SUM(BN73:BN76)</f>
        <v>0</v>
      </c>
      <c r="BO77" s="260">
        <f t="shared" ref="BO77:BQ77" ca="1" si="798">SUM(BO73:BO76)</f>
        <v>0</v>
      </c>
      <c r="BP77" s="259">
        <f>SUM(BP73:BP76)</f>
        <v>0</v>
      </c>
      <c r="BQ77" s="260">
        <f t="shared" ca="1" si="798"/>
        <v>0</v>
      </c>
      <c r="BR77" s="259">
        <f t="shared" si="779"/>
        <v>0</v>
      </c>
      <c r="BS77" s="260">
        <f t="shared" ca="1" si="779"/>
        <v>0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799">SUM(BW73:BW76)</f>
        <v>0</v>
      </c>
      <c r="BX77" s="260">
        <f t="shared" si="799"/>
        <v>0</v>
      </c>
      <c r="BY77" s="273">
        <f ca="1">SUM(BY73:BY76)</f>
        <v>0</v>
      </c>
      <c r="BZ77" s="258">
        <f t="shared" ca="1" si="774"/>
        <v>0</v>
      </c>
      <c r="CA77" s="331">
        <f>SUM(CA74:CA76)</f>
        <v>0</v>
      </c>
      <c r="CB77" s="257">
        <f t="shared" ref="CB77" si="800">SUM(CB74:CB76)</f>
        <v>0</v>
      </c>
      <c r="CC77" s="257">
        <f t="shared" ref="CC77:CF77" si="801">SUM(CC73:CC76)</f>
        <v>0</v>
      </c>
      <c r="CD77" s="257">
        <f t="shared" si="801"/>
        <v>0</v>
      </c>
      <c r="CE77" s="257">
        <f t="shared" si="801"/>
        <v>0</v>
      </c>
      <c r="CF77" s="257">
        <f t="shared" ca="1" si="801"/>
        <v>0</v>
      </c>
      <c r="CG77" s="258">
        <f t="shared" ca="1" si="775"/>
        <v>0</v>
      </c>
      <c r="CH77" s="331">
        <f>SUM(CH74:CH76)</f>
        <v>0</v>
      </c>
      <c r="CI77" s="257">
        <f t="shared" ref="CI77" si="802">SUM(CI74:CI76)</f>
        <v>0</v>
      </c>
      <c r="CJ77" s="257">
        <f t="shared" ref="CJ77:CM77" si="803">SUM(CJ73:CJ76)</f>
        <v>0</v>
      </c>
      <c r="CK77" s="257">
        <f t="shared" si="803"/>
        <v>0</v>
      </c>
      <c r="CL77" s="257">
        <f t="shared" si="803"/>
        <v>0</v>
      </c>
      <c r="CM77" s="257">
        <f t="shared" ca="1" si="803"/>
        <v>0</v>
      </c>
      <c r="CN77" s="258">
        <f t="shared" ca="1" si="776"/>
        <v>0</v>
      </c>
      <c r="CO77" s="274">
        <f t="shared" si="46"/>
        <v>0</v>
      </c>
      <c r="CP77" s="275">
        <f t="shared" ca="1" si="46"/>
        <v>0</v>
      </c>
      <c r="CQ77" s="258">
        <f t="shared" ca="1" si="777"/>
        <v>0</v>
      </c>
      <c r="CR77" s="274">
        <f t="shared" si="780"/>
        <v>0</v>
      </c>
      <c r="CS77" s="275">
        <f t="shared" ca="1" si="780"/>
        <v>0</v>
      </c>
      <c r="CT77" s="258">
        <f t="shared" ca="1" si="47"/>
        <v>0</v>
      </c>
      <c r="CU77" s="44">
        <f t="shared" si="583"/>
        <v>0</v>
      </c>
      <c r="CW77" s="100">
        <f t="shared" ref="CW77:CX79" ca="1" si="804">CW76</f>
        <v>0</v>
      </c>
      <c r="CX77" s="101">
        <f t="shared" ca="1" si="804"/>
        <v>0</v>
      </c>
      <c r="CY77" s="99">
        <f ca="1">IFERROR(CW77/CX77-1,)</f>
        <v>0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" si="805">D66+D72+D77</f>
        <v>0</v>
      </c>
      <c r="E78" s="204">
        <f t="shared" ref="E78" si="806">E66+E72+E77</f>
        <v>0</v>
      </c>
      <c r="F78" s="205">
        <f t="shared" si="783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" si="807">J66+J72+J77</f>
        <v>0</v>
      </c>
      <c r="K78" s="298">
        <f t="shared" ref="K78" si="808">K66+K72+K77</f>
        <v>0</v>
      </c>
      <c r="L78" s="53">
        <f ca="1">L66+L72+L77</f>
        <v>0</v>
      </c>
      <c r="M78" s="53">
        <f t="shared" ref="M78:O78" si="809">M66+M72+M77</f>
        <v>0</v>
      </c>
      <c r="N78" s="53">
        <f t="shared" si="809"/>
        <v>0</v>
      </c>
      <c r="O78" s="53">
        <f t="shared" ca="1" si="809"/>
        <v>0</v>
      </c>
      <c r="P78" s="54">
        <f t="shared" ca="1" si="778"/>
        <v>0</v>
      </c>
      <c r="Q78" s="227">
        <f t="shared" ref="Q78" ca="1" si="810">Q66+Q72+Q77</f>
        <v>0</v>
      </c>
      <c r="R78" s="228">
        <f t="shared" ref="R78:S78" si="811">R66+R72+R77</f>
        <v>0</v>
      </c>
      <c r="S78" s="228">
        <f t="shared" si="811"/>
        <v>0</v>
      </c>
      <c r="T78" s="228">
        <f ca="1">T66+T72+T77</f>
        <v>0</v>
      </c>
      <c r="U78" s="54">
        <f t="shared" ca="1" si="769"/>
        <v>0</v>
      </c>
      <c r="V78" s="245">
        <f t="shared" ref="V78:X78" ca="1" si="812">V77</f>
        <v>0</v>
      </c>
      <c r="W78" s="326">
        <f t="shared" ca="1" si="812"/>
        <v>0</v>
      </c>
      <c r="X78" s="246">
        <f t="shared" ca="1" si="812"/>
        <v>0</v>
      </c>
      <c r="Y78" s="52">
        <f ca="1">Y66+Y72+Y77</f>
        <v>0</v>
      </c>
      <c r="Z78" s="53">
        <f t="shared" ref="Z78:AB78" si="813">Z66+Z72+Z77</f>
        <v>0</v>
      </c>
      <c r="AA78" s="53">
        <f t="shared" si="813"/>
        <v>0</v>
      </c>
      <c r="AB78" s="53">
        <f t="shared" ca="1" si="813"/>
        <v>0</v>
      </c>
      <c r="AC78" s="54">
        <f t="shared" ca="1" si="770"/>
        <v>0</v>
      </c>
      <c r="AD78" s="77">
        <f t="shared" ca="1" si="789"/>
        <v>0</v>
      </c>
      <c r="AE78" s="78">
        <f t="shared" si="789"/>
        <v>0</v>
      </c>
      <c r="AF78" s="78">
        <f t="shared" si="789"/>
        <v>0</v>
      </c>
      <c r="AG78" s="78">
        <f t="shared" ca="1" si="789"/>
        <v>0</v>
      </c>
      <c r="AH78" s="58">
        <f ca="1">IFERROR((AH66*Q66+AH72*Q72+AH77*Q77)/Q78,0)</f>
        <v>0</v>
      </c>
      <c r="AI78" s="58">
        <f t="shared" ref="AI78:AL78" si="814">IFERROR((AI66*R66+AI72*R72+AI77*R77)/R78,0)</f>
        <v>0</v>
      </c>
      <c r="AJ78" s="58">
        <f t="shared" si="814"/>
        <v>0</v>
      </c>
      <c r="AK78" s="58">
        <f t="shared" ca="1" si="814"/>
        <v>0</v>
      </c>
      <c r="AL78" s="54">
        <f t="shared" ca="1" si="814"/>
        <v>0</v>
      </c>
      <c r="AM78" s="57">
        <f t="shared" ca="1" si="791"/>
        <v>0</v>
      </c>
      <c r="AN78" s="58">
        <f t="shared" si="791"/>
        <v>0</v>
      </c>
      <c r="AO78" s="58">
        <f t="shared" si="791"/>
        <v>0</v>
      </c>
      <c r="AP78" s="58">
        <f t="shared" ca="1" si="791"/>
        <v>0</v>
      </c>
      <c r="AQ78" s="54">
        <f t="shared" ca="1" si="771"/>
        <v>0</v>
      </c>
      <c r="AR78" s="57">
        <f t="shared" ca="1" si="792"/>
        <v>0</v>
      </c>
      <c r="AS78" s="58">
        <f t="shared" si="792"/>
        <v>0</v>
      </c>
      <c r="AT78" s="58">
        <f t="shared" si="792"/>
        <v>0</v>
      </c>
      <c r="AU78" s="58">
        <f t="shared" ca="1" si="792"/>
        <v>0</v>
      </c>
      <c r="AV78" s="54">
        <f t="shared" ca="1" si="772"/>
        <v>0</v>
      </c>
      <c r="AW78" s="59">
        <f ca="1">IFERROR((AW66*V66+AW72*V72+AW77*V77)/V78,0)</f>
        <v>0</v>
      </c>
      <c r="AX78" s="60">
        <f t="shared" ref="AX78:AZ78" ca="1" si="815">IFERROR((AX66*X66+AX72*X72+AX77*X77)/X78,0)</f>
        <v>0</v>
      </c>
      <c r="AY78" s="60">
        <f t="shared" ca="1" si="815"/>
        <v>0</v>
      </c>
      <c r="AZ78" s="60">
        <f t="shared" ca="1" si="815"/>
        <v>0</v>
      </c>
      <c r="BA78" s="234">
        <f ca="1">BA77</f>
        <v>0</v>
      </c>
      <c r="BB78" s="228">
        <f t="shared" ca="1" si="794"/>
        <v>0</v>
      </c>
      <c r="BC78" s="228">
        <f t="shared" ca="1" si="794"/>
        <v>0</v>
      </c>
      <c r="BD78" s="228">
        <f t="shared" ca="1" si="794"/>
        <v>0</v>
      </c>
      <c r="BE78" s="54">
        <f t="shared" ca="1" si="773"/>
        <v>0</v>
      </c>
      <c r="BF78" s="228">
        <f t="shared" si="795"/>
        <v>0</v>
      </c>
      <c r="BG78" s="228">
        <f t="shared" ca="1" si="795"/>
        <v>0</v>
      </c>
      <c r="BH78" s="62">
        <f ca="1">IF(Q76&lt;&gt;0,(BA78/(Q78/13)),0)</f>
        <v>0</v>
      </c>
      <c r="BI78" s="132">
        <f ca="1">IF(T76&lt;&gt;0,(BD78/(T78/13)),0)</f>
        <v>0</v>
      </c>
      <c r="BJ78" s="189">
        <f t="shared" ref="BJ78" ca="1" si="816">IF(BA78&lt;&gt;0,(Q78/13)/BA78,0)</f>
        <v>0</v>
      </c>
      <c r="BK78" s="61">
        <f t="shared" ref="BK78" ca="1" si="817">IF(BD78&lt;&gt;0,(T78/13)/BD78,0)</f>
        <v>0</v>
      </c>
      <c r="BL78" s="227">
        <f>BL66+BL72+BL77</f>
        <v>0</v>
      </c>
      <c r="BM78" s="228">
        <f t="shared" ref="BM78" ca="1" si="818">BM66+BM72+BM77</f>
        <v>0</v>
      </c>
      <c r="BN78" s="227">
        <f>BN66+BN72+BN77</f>
        <v>0</v>
      </c>
      <c r="BO78" s="228">
        <f t="shared" ref="BO78:BQ78" ca="1" si="819">BO66+BO72+BO77</f>
        <v>0</v>
      </c>
      <c r="BP78" s="227">
        <f>BP66+BP72+BP77</f>
        <v>0</v>
      </c>
      <c r="BQ78" s="228">
        <f t="shared" ca="1" si="819"/>
        <v>0</v>
      </c>
      <c r="BR78" s="227">
        <f t="shared" si="779"/>
        <v>0</v>
      </c>
      <c r="BS78" s="228">
        <f t="shared" ca="1" si="779"/>
        <v>0</v>
      </c>
      <c r="BT78" s="227">
        <f t="shared" ref="BT78:BY78" si="820">BT66+BT72+BT77</f>
        <v>0</v>
      </c>
      <c r="BU78" s="228">
        <f t="shared" si="820"/>
        <v>0</v>
      </c>
      <c r="BV78" s="228">
        <f t="shared" si="820"/>
        <v>0</v>
      </c>
      <c r="BW78" s="228">
        <f t="shared" si="820"/>
        <v>0</v>
      </c>
      <c r="BX78" s="228">
        <f t="shared" si="820"/>
        <v>0</v>
      </c>
      <c r="BY78" s="56">
        <f t="shared" ca="1" si="820"/>
        <v>0</v>
      </c>
      <c r="BZ78" s="54">
        <f t="shared" ca="1" si="774"/>
        <v>0</v>
      </c>
      <c r="CA78" s="332">
        <f t="shared" ref="CA78:CF78" si="821">CA66+CA72+CA77</f>
        <v>0</v>
      </c>
      <c r="CB78" s="53">
        <f t="shared" si="821"/>
        <v>0</v>
      </c>
      <c r="CC78" s="53">
        <f t="shared" si="821"/>
        <v>0</v>
      </c>
      <c r="CD78" s="53">
        <f t="shared" si="821"/>
        <v>0</v>
      </c>
      <c r="CE78" s="53">
        <f t="shared" si="821"/>
        <v>0</v>
      </c>
      <c r="CF78" s="53">
        <f t="shared" ca="1" si="821"/>
        <v>0</v>
      </c>
      <c r="CG78" s="54">
        <f t="shared" ca="1" si="775"/>
        <v>0</v>
      </c>
      <c r="CH78" s="332">
        <f t="shared" ref="CH78:CM78" si="822">CH66+CH72+CH77</f>
        <v>0</v>
      </c>
      <c r="CI78" s="53">
        <f t="shared" si="822"/>
        <v>0</v>
      </c>
      <c r="CJ78" s="53">
        <f t="shared" si="822"/>
        <v>0</v>
      </c>
      <c r="CK78" s="53">
        <f t="shared" si="822"/>
        <v>0</v>
      </c>
      <c r="CL78" s="53">
        <f t="shared" si="822"/>
        <v>0</v>
      </c>
      <c r="CM78" s="53">
        <f t="shared" ca="1" si="822"/>
        <v>0</v>
      </c>
      <c r="CN78" s="54">
        <f t="shared" ca="1" si="776"/>
        <v>0</v>
      </c>
      <c r="CO78" s="55">
        <f t="shared" ref="CO78:CP96" si="823">IFERROR(CE78/BX78,0)</f>
        <v>0</v>
      </c>
      <c r="CP78" s="222">
        <f t="shared" ca="1" si="823"/>
        <v>0</v>
      </c>
      <c r="CQ78" s="54">
        <f t="shared" ca="1" si="777"/>
        <v>0</v>
      </c>
      <c r="CR78" s="55">
        <f t="shared" si="780"/>
        <v>0</v>
      </c>
      <c r="CS78" s="222">
        <f t="shared" ca="1" si="780"/>
        <v>0</v>
      </c>
      <c r="CT78" s="54">
        <f t="shared" ref="CT78:CT96" ca="1" si="824">IFERROR(CO78/CS78-1,)</f>
        <v>0</v>
      </c>
      <c r="CU78" s="44">
        <f t="shared" si="583"/>
        <v>0</v>
      </c>
      <c r="CW78" s="55">
        <f t="shared" ca="1" si="804"/>
        <v>0</v>
      </c>
      <c r="CX78" s="56">
        <f t="shared" ca="1" si="804"/>
        <v>0</v>
      </c>
      <c r="CY78" s="54">
        <f ca="1">IFERROR(CW78/CX78-1,)</f>
        <v>0</v>
      </c>
      <c r="CZ78" s="279"/>
      <c r="DA78" s="280"/>
      <c r="DB78" s="280"/>
      <c r="DC78" s="281"/>
    </row>
    <row r="79" spans="1:107" ht="16.5" thickBot="1" x14ac:dyDescent="0.3">
      <c r="C79" s="282" t="s">
        <v>386</v>
      </c>
      <c r="D79" s="63">
        <f t="shared" ref="D79:K79" si="825">D27+D44+D61+D78</f>
        <v>0</v>
      </c>
      <c r="E79" s="208">
        <f t="shared" si="825"/>
        <v>0</v>
      </c>
      <c r="F79" s="209">
        <f t="shared" si="783"/>
        <v>0</v>
      </c>
      <c r="G79" s="207">
        <f t="shared" si="825"/>
        <v>0</v>
      </c>
      <c r="H79" s="210">
        <f>IFERROR(D79/G79,0)</f>
        <v>0</v>
      </c>
      <c r="I79" s="69">
        <f>IFERROR((I67*G67+I73*G73+I78*G78)/G79,0)</f>
        <v>0</v>
      </c>
      <c r="J79" s="207">
        <f t="shared" si="825"/>
        <v>0</v>
      </c>
      <c r="K79" s="299">
        <f t="shared" si="825"/>
        <v>0</v>
      </c>
      <c r="L79" s="64">
        <f ca="1">L27+L44+L61+L78</f>
        <v>0</v>
      </c>
      <c r="M79" s="64">
        <f t="shared" ref="M79:O79" si="826">M27+M44+M61+M78</f>
        <v>0</v>
      </c>
      <c r="N79" s="64">
        <f t="shared" si="826"/>
        <v>0</v>
      </c>
      <c r="O79" s="64">
        <f t="shared" ca="1" si="826"/>
        <v>0</v>
      </c>
      <c r="P79" s="65">
        <f t="shared" ca="1" si="778"/>
        <v>0</v>
      </c>
      <c r="Q79" s="241">
        <f t="shared" ref="Q79" ca="1" si="827">Q27+Q44+Q61+Q78</f>
        <v>0</v>
      </c>
      <c r="R79" s="242">
        <f t="shared" ref="R79:S79" si="828">R27+R44+R61+R78</f>
        <v>0</v>
      </c>
      <c r="S79" s="242">
        <f t="shared" si="828"/>
        <v>0</v>
      </c>
      <c r="T79" s="242">
        <f ca="1">T27+T44+T61+T78</f>
        <v>0</v>
      </c>
      <c r="U79" s="65">
        <f t="shared" ca="1" si="769"/>
        <v>0</v>
      </c>
      <c r="V79" s="249">
        <f t="shared" ref="V79:X79" ca="1" si="829">V78</f>
        <v>0</v>
      </c>
      <c r="W79" s="328">
        <f t="shared" ca="1" si="829"/>
        <v>0</v>
      </c>
      <c r="X79" s="250">
        <f t="shared" ca="1" si="829"/>
        <v>0</v>
      </c>
      <c r="Y79" s="63">
        <f ca="1">Y27+Y44+Y61+Y78</f>
        <v>0</v>
      </c>
      <c r="Z79" s="64">
        <f t="shared" ref="Z79:AB79" si="830">Z27+Z44+Z61+Z78</f>
        <v>0</v>
      </c>
      <c r="AA79" s="64">
        <f t="shared" si="830"/>
        <v>0</v>
      </c>
      <c r="AB79" s="64">
        <f t="shared" ca="1" si="830"/>
        <v>0</v>
      </c>
      <c r="AC79" s="65">
        <f t="shared" ca="1" si="770"/>
        <v>0</v>
      </c>
      <c r="AD79" s="79">
        <f t="shared" ca="1" si="789"/>
        <v>0</v>
      </c>
      <c r="AE79" s="80">
        <f t="shared" si="789"/>
        <v>0</v>
      </c>
      <c r="AF79" s="80">
        <f t="shared" si="789"/>
        <v>0</v>
      </c>
      <c r="AG79" s="80">
        <f t="shared" ca="1" si="789"/>
        <v>0</v>
      </c>
      <c r="AH79" s="69">
        <f ca="1">IFERROR((AH27*Q27+AH44*Q44+AH61*Q61+AH78*Q78)/Q79,0)</f>
        <v>0</v>
      </c>
      <c r="AI79" s="69">
        <f t="shared" ref="AI79:AK79" si="831">IFERROR((AI27*R27+AI44*R44+AI61*R61+AI78*R78)/R79,0)</f>
        <v>0</v>
      </c>
      <c r="AJ79" s="69">
        <f t="shared" si="831"/>
        <v>0</v>
      </c>
      <c r="AK79" s="69">
        <f t="shared" ca="1" si="831"/>
        <v>0</v>
      </c>
      <c r="AL79" s="65">
        <f t="shared" ca="1" si="681"/>
        <v>0</v>
      </c>
      <c r="AM79" s="68">
        <f t="shared" ca="1" si="791"/>
        <v>0</v>
      </c>
      <c r="AN79" s="69">
        <f t="shared" si="791"/>
        <v>0</v>
      </c>
      <c r="AO79" s="69">
        <f t="shared" si="791"/>
        <v>0</v>
      </c>
      <c r="AP79" s="69">
        <f t="shared" ca="1" si="791"/>
        <v>0</v>
      </c>
      <c r="AQ79" s="65">
        <f t="shared" ca="1" si="771"/>
        <v>0</v>
      </c>
      <c r="AR79" s="68">
        <f t="shared" ca="1" si="792"/>
        <v>0</v>
      </c>
      <c r="AS79" s="69">
        <f t="shared" si="792"/>
        <v>0</v>
      </c>
      <c r="AT79" s="69">
        <f t="shared" si="792"/>
        <v>0</v>
      </c>
      <c r="AU79" s="69">
        <f t="shared" ca="1" si="792"/>
        <v>0</v>
      </c>
      <c r="AV79" s="65">
        <f t="shared" ca="1" si="772"/>
        <v>0</v>
      </c>
      <c r="AW79" s="70">
        <f ca="1">IFERROR((AW27*V27+AW44*V44+AW61*V61+AW78*V78)/V79,0)</f>
        <v>0</v>
      </c>
      <c r="AX79" s="71">
        <f t="shared" ref="AX79:AZ79" ca="1" si="832">IFERROR((AX27*X27+AX44*X44+AX61*X61+AX78*X78)/X79,0)</f>
        <v>0</v>
      </c>
      <c r="AY79" s="71">
        <f t="shared" ca="1" si="832"/>
        <v>0</v>
      </c>
      <c r="AZ79" s="71">
        <f t="shared" ca="1" si="832"/>
        <v>0</v>
      </c>
      <c r="BA79" s="235">
        <f ca="1">BA78</f>
        <v>0</v>
      </c>
      <c r="BB79" s="231">
        <f t="shared" ca="1" si="794"/>
        <v>0</v>
      </c>
      <c r="BC79" s="231">
        <f t="shared" ca="1" si="794"/>
        <v>0</v>
      </c>
      <c r="BD79" s="231">
        <f t="shared" ca="1" si="794"/>
        <v>0</v>
      </c>
      <c r="BE79" s="134">
        <f t="shared" ca="1" si="773"/>
        <v>0</v>
      </c>
      <c r="BF79" s="231">
        <f t="shared" si="795"/>
        <v>0</v>
      </c>
      <c r="BG79" s="231">
        <f t="shared" ca="1" si="795"/>
        <v>0</v>
      </c>
      <c r="BH79" s="136">
        <f ca="1">IF(Q77&lt;&gt;0,(BA79/(Q79/52)),0)</f>
        <v>0</v>
      </c>
      <c r="BI79" s="137">
        <f ca="1">IF(T77&lt;&gt;0,(BD79/(T79/52)),0)</f>
        <v>0</v>
      </c>
      <c r="BJ79" s="195">
        <f ca="1">IF(BA79&lt;&gt;0,(Q79/52)/BA79,0)</f>
        <v>0</v>
      </c>
      <c r="BK79" s="72">
        <f ca="1">IF(BD79&lt;&gt;0,(T79/52)/BD79,0)</f>
        <v>0</v>
      </c>
      <c r="BL79" s="230">
        <f>BL27+BL44+BL61+BL78</f>
        <v>0</v>
      </c>
      <c r="BM79" s="231">
        <f ca="1">BM27+BM44+BM61+BM78</f>
        <v>0</v>
      </c>
      <c r="BN79" s="230">
        <f>BN27+BN44+BN61+BN78</f>
        <v>0</v>
      </c>
      <c r="BO79" s="231">
        <f t="shared" ref="BO79:BQ79" ca="1" si="833">BO27+BO44+BO61+BO78</f>
        <v>0</v>
      </c>
      <c r="BP79" s="230">
        <f>BP27+BP44+BP61+BP78</f>
        <v>0</v>
      </c>
      <c r="BQ79" s="231">
        <f t="shared" ca="1" si="833"/>
        <v>0</v>
      </c>
      <c r="BR79" s="230">
        <f t="shared" si="779"/>
        <v>0</v>
      </c>
      <c r="BS79" s="231">
        <f t="shared" ca="1" si="779"/>
        <v>0</v>
      </c>
      <c r="BT79" s="230">
        <f t="shared" ref="BT79:BY79" si="834">BT27+BT44+BT61+BT78</f>
        <v>0</v>
      </c>
      <c r="BU79" s="231">
        <f t="shared" si="834"/>
        <v>0</v>
      </c>
      <c r="BV79" s="231">
        <f t="shared" si="834"/>
        <v>0</v>
      </c>
      <c r="BW79" s="231">
        <f t="shared" si="834"/>
        <v>0</v>
      </c>
      <c r="BX79" s="231">
        <f t="shared" si="834"/>
        <v>0</v>
      </c>
      <c r="BY79" s="133">
        <f t="shared" ca="1" si="834"/>
        <v>0</v>
      </c>
      <c r="BZ79" s="134">
        <f t="shared" ca="1" si="774"/>
        <v>0</v>
      </c>
      <c r="CA79" s="333">
        <f t="shared" ref="CA79:CF79" si="835">CA27+CA44+CA61+CA78</f>
        <v>0</v>
      </c>
      <c r="CB79" s="64">
        <f t="shared" si="835"/>
        <v>0</v>
      </c>
      <c r="CC79" s="64">
        <f t="shared" si="835"/>
        <v>0</v>
      </c>
      <c r="CD79" s="64">
        <f t="shared" si="835"/>
        <v>0</v>
      </c>
      <c r="CE79" s="64">
        <f t="shared" si="835"/>
        <v>0</v>
      </c>
      <c r="CF79" s="64">
        <f t="shared" ca="1" si="835"/>
        <v>0</v>
      </c>
      <c r="CG79" s="134">
        <f t="shared" ca="1" si="775"/>
        <v>0</v>
      </c>
      <c r="CH79" s="333">
        <f t="shared" ref="CH79:CM79" si="836">CH27+CH44+CH61+CH78</f>
        <v>0</v>
      </c>
      <c r="CI79" s="64">
        <f t="shared" si="836"/>
        <v>0</v>
      </c>
      <c r="CJ79" s="64">
        <f t="shared" si="836"/>
        <v>0</v>
      </c>
      <c r="CK79" s="64">
        <f t="shared" si="836"/>
        <v>0</v>
      </c>
      <c r="CL79" s="64">
        <f t="shared" si="836"/>
        <v>0</v>
      </c>
      <c r="CM79" s="64">
        <f t="shared" ca="1" si="836"/>
        <v>0</v>
      </c>
      <c r="CN79" s="134">
        <f t="shared" ca="1" si="776"/>
        <v>0</v>
      </c>
      <c r="CO79" s="135">
        <f t="shared" si="823"/>
        <v>0</v>
      </c>
      <c r="CP79" s="223">
        <f t="shared" ca="1" si="823"/>
        <v>0</v>
      </c>
      <c r="CQ79" s="134">
        <f t="shared" ca="1" si="777"/>
        <v>0</v>
      </c>
      <c r="CR79" s="135">
        <f t="shared" si="780"/>
        <v>0</v>
      </c>
      <c r="CS79" s="223">
        <f t="shared" ca="1" si="780"/>
        <v>0</v>
      </c>
      <c r="CT79" s="134">
        <f t="shared" ca="1" si="824"/>
        <v>0</v>
      </c>
      <c r="CU79" s="44">
        <f t="shared" si="583"/>
        <v>0</v>
      </c>
      <c r="CW79" s="66">
        <f t="shared" ca="1" si="804"/>
        <v>0</v>
      </c>
      <c r="CX79" s="67">
        <f t="shared" ca="1" si="804"/>
        <v>0</v>
      </c>
      <c r="CY79" s="65">
        <f ca="1">IFERROR(CW79/CX79-1,)</f>
        <v>0</v>
      </c>
      <c r="CZ79" s="283"/>
      <c r="DA79" s="284"/>
      <c r="DB79" s="284"/>
      <c r="DC79" s="285"/>
    </row>
    <row r="80" spans="1:107" x14ac:dyDescent="0.25">
      <c r="A80" s="44" t="s">
        <v>478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783"/>
        <v>0</v>
      </c>
      <c r="G80" s="175">
        <f t="shared" ref="G80:I83" si="837">IFERROR(VLOOKUP($B80 &amp; $C80&amp;G$4&amp;$A80,tblForecast,G$2,FALSE),0)</f>
        <v>0</v>
      </c>
      <c r="H80" s="202">
        <f t="shared" si="837"/>
        <v>0</v>
      </c>
      <c r="I80" s="202">
        <f t="shared" si="837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838">R80*AN80</f>
        <v>0</v>
      </c>
      <c r="N80" s="46">
        <f t="shared" si="838"/>
        <v>0</v>
      </c>
      <c r="O80" s="46">
        <f t="shared" ca="1" si="838"/>
        <v>0</v>
      </c>
      <c r="P80" s="47">
        <f t="shared" ca="1" si="778"/>
        <v>0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839">IFERROR(VLOOKUP($B80 &amp; $C80&amp;S$4,tblForecast,S$2,FALSE),0)</f>
        <v>0</v>
      </c>
      <c r="T80" s="238">
        <f ca="1">SUMIFS(OFFSET(tblForecast,,T$2,,1),OFFSET(tblForecast,,,,1),$B80-IF(CompareVer="LY",1,0)&amp; $C80 &amp;T$4)</f>
        <v>0</v>
      </c>
      <c r="U80" s="91">
        <f t="shared" ca="1" si="769"/>
        <v>0</v>
      </c>
      <c r="V80" s="247">
        <f ca="1">IFERROR(IF(Q76&lt;&gt;0,Q80/Q76,0),0)</f>
        <v>0</v>
      </c>
      <c r="W80" s="327">
        <f ca="1">IFERROR(IF(R76&lt;&gt;0,R80/R76,X80),0)</f>
        <v>0</v>
      </c>
      <c r="X80" s="248">
        <f ca="1">IFERROR(IF(T76&lt;&gt;0,T80/T76,0),0)</f>
        <v>0</v>
      </c>
      <c r="Y80" s="51">
        <f t="shared" ref="Y80:AB83" ca="1" si="840">IFERROR(L80*AD80,0)</f>
        <v>0</v>
      </c>
      <c r="Z80" s="46">
        <f t="shared" si="840"/>
        <v>0</v>
      </c>
      <c r="AA80" s="46">
        <f t="shared" si="840"/>
        <v>0</v>
      </c>
      <c r="AB80" s="46">
        <f t="shared" ca="1" si="840"/>
        <v>0</v>
      </c>
      <c r="AC80" s="91">
        <f t="shared" ca="1" si="770"/>
        <v>0</v>
      </c>
      <c r="AD80" s="75">
        <f ca="1">IF(AM80&lt;&gt;0,1-AR80/AM80,0)</f>
        <v>0</v>
      </c>
      <c r="AE80" s="93">
        <f t="shared" ref="AE80:AG83" si="841">IF(AN80&lt;&gt;0,1-AS80/AN80,0)</f>
        <v>0</v>
      </c>
      <c r="AF80" s="93">
        <f t="shared" si="841"/>
        <v>0</v>
      </c>
      <c r="AG80" s="76">
        <f t="shared" ca="1" si="841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842">IFERROR(VLOOKUP($B80 &amp; $C80&amp;AI$4,tblForecast,AI$2,FALSE),0)</f>
        <v>0</v>
      </c>
      <c r="AJ80" s="94">
        <f t="shared" si="842"/>
        <v>0</v>
      </c>
      <c r="AK80" s="49">
        <f ca="1">IFERROR(CF80/BY80,0)</f>
        <v>0</v>
      </c>
      <c r="AL80" s="47">
        <f t="shared" ca="1" si="681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843">IFERROR(VLOOKUP($B80 &amp; $C80&amp;AN$4,tblForecast,AN$2,FALSE),0)</f>
        <v>0</v>
      </c>
      <c r="AO80" s="94">
        <f t="shared" si="843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771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844">IFERROR(VLOOKUP($B80 &amp; $C80&amp;AS$4,tblForecast,AS$2,FALSE),0)</f>
        <v>0</v>
      </c>
      <c r="AT80" s="94">
        <f t="shared" si="844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772"/>
        <v>0</v>
      </c>
      <c r="AW80" s="190">
        <f t="shared" ref="AW80:AZ83" ca="1" si="845">IFERROR((AM80/AH80-1)*-1,0)</f>
        <v>0</v>
      </c>
      <c r="AX80" s="191">
        <f t="shared" si="845"/>
        <v>0</v>
      </c>
      <c r="AY80" s="191">
        <f t="shared" si="845"/>
        <v>0</v>
      </c>
      <c r="AZ80" s="191">
        <f t="shared" ca="1" si="845"/>
        <v>0</v>
      </c>
      <c r="BA80" s="233">
        <f ca="1">IF(BA79+BV80+BL80+BR80-Q80&lt;0,0,BA79+BV80+BL80+BR80-Q80)</f>
        <v>0</v>
      </c>
      <c r="BB80" s="229">
        <f ca="1">IF(IFERROR(VLOOKUP($B80 &amp; $C80&amp;BB$4,tblForecast,BB$2,FALSE),0)=0,BA80,IFERROR(VLOOKUP($B80 &amp; $C80&amp;BB$4,tblForecast,BB$2,FALSE),0))</f>
        <v>0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846">CX80+BG80</f>
        <v>0</v>
      </c>
      <c r="BE80" s="193">
        <f t="shared" ca="1" si="773"/>
        <v>0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0</v>
      </c>
      <c r="BH80" s="178">
        <f ca="1">IF(Q80&lt;&gt;0,BA80/Q80,0)</f>
        <v>0</v>
      </c>
      <c r="BI80" s="182">
        <f ca="1">IF(T80&lt;&gt;0,BD80/T80,0)</f>
        <v>0</v>
      </c>
      <c r="BJ80" s="194">
        <f t="shared" ref="BJ80:BJ83" ca="1" si="847">IF(BA80&lt;&gt;0,Q80/BA80,0)</f>
        <v>0</v>
      </c>
      <c r="BK80" s="50">
        <f t="shared" ref="BK80:BK83" ca="1" si="848">IF(BD80&lt;&gt;0,T80/BD80,0)</f>
        <v>0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0</v>
      </c>
      <c r="BR80" s="225">
        <f t="shared" si="779"/>
        <v>0</v>
      </c>
      <c r="BS80" s="229">
        <f t="shared" ca="1" si="779"/>
        <v>0</v>
      </c>
      <c r="BT80" s="232">
        <f t="shared" ref="BT80:BU83" si="849">IFERROR(VLOOKUP($B80 &amp; $C80&amp;BT$4,tblForecast,BT$2,FALSE),0)</f>
        <v>0</v>
      </c>
      <c r="BU80" s="229">
        <f t="shared" si="849"/>
        <v>0</v>
      </c>
      <c r="BV80" s="229">
        <f>IF($A80="a",IFERROR(VLOOKUP($B80 &amp; $C80&amp;BV$4,tblForecast,BV$2,FALSE),0),BT80+BU80)</f>
        <v>0</v>
      </c>
      <c r="BW80" s="229">
        <f t="shared" ref="BW80:BX83" si="850">IFERROR(VLOOKUP($B80 &amp; $C80&amp;BW$4,tblForecast,BW$2,FALSE),0)</f>
        <v>0</v>
      </c>
      <c r="BX80" s="229">
        <f t="shared" si="850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774"/>
        <v>0</v>
      </c>
      <c r="CA80" s="330">
        <f t="shared" ref="CA80:CB83" si="851">IFERROR(VLOOKUP($B80 &amp; $C80&amp;CA$4,tblForecast,CA$2,FALSE),0)</f>
        <v>0</v>
      </c>
      <c r="CB80" s="46">
        <f t="shared" si="851"/>
        <v>0</v>
      </c>
      <c r="CC80" s="46">
        <f>IF($A80="a",IFERROR(VLOOKUP($B80 &amp; $C80&amp;CC$4,tblForecast,CC$2,FALSE),0),CA80+CB80)</f>
        <v>0</v>
      </c>
      <c r="CD80" s="46">
        <f t="shared" ref="CD80:CE83" si="852">IFERROR(VLOOKUP($B80 &amp; $C80&amp;CD$4,tblForecast,CD$2,FALSE),0)</f>
        <v>0</v>
      </c>
      <c r="CE80" s="46">
        <f t="shared" si="852"/>
        <v>0</v>
      </c>
      <c r="CF80" s="46">
        <f ca="1">SUMIFS(OFFSET(tblForecast,,CF$2,,1),OFFSET(tblForecast,,,,1),$B80-IF(CompareVer="LY",1,0)&amp; $C80 &amp;CF$4)</f>
        <v>0</v>
      </c>
      <c r="CG80" s="193">
        <f t="shared" ca="1" si="775"/>
        <v>0</v>
      </c>
      <c r="CH80" s="330">
        <f t="shared" ref="CH80:CI83" si="853">IFERROR(VLOOKUP($B80 &amp; $C80&amp;CH$4,tblForecast,CH$2,FALSE),0)</f>
        <v>0</v>
      </c>
      <c r="CI80" s="46">
        <f t="shared" si="853"/>
        <v>0</v>
      </c>
      <c r="CJ80" s="46">
        <f>IF($A80="a",IFERROR(VLOOKUP($B80 &amp; $C80&amp;CJ$4,tblForecast,CJ$2,FALSE),0),CH80+CI80)</f>
        <v>0</v>
      </c>
      <c r="CK80" s="46">
        <f t="shared" ref="CK80:CL83" si="854">IFERROR(VLOOKUP($B80 &amp; $C80&amp;CK$4,tblForecast,CK$2,FALSE),0)</f>
        <v>0</v>
      </c>
      <c r="CL80" s="46">
        <f t="shared" si="854"/>
        <v>0</v>
      </c>
      <c r="CM80" s="46">
        <f ca="1">SUMIFS(OFFSET(tblForecast,,CM$2,,1),OFFSET(tblForecast,,,,1),$B80-IF(CompareVer="LY",1,0)&amp; $C80 &amp;CM$4)</f>
        <v>0</v>
      </c>
      <c r="CN80" s="193">
        <f t="shared" ca="1" si="776"/>
        <v>0</v>
      </c>
      <c r="CO80" s="177">
        <f t="shared" si="823"/>
        <v>0</v>
      </c>
      <c r="CP80" s="221">
        <f t="shared" ca="1" si="823"/>
        <v>0</v>
      </c>
      <c r="CQ80" s="193">
        <f t="shared" ca="1" si="777"/>
        <v>0</v>
      </c>
      <c r="CR80" s="177">
        <f t="shared" si="780"/>
        <v>0</v>
      </c>
      <c r="CS80" s="221">
        <f t="shared" ca="1" si="780"/>
        <v>0</v>
      </c>
      <c r="CT80" s="193">
        <f t="shared" ca="1" si="824"/>
        <v>0</v>
      </c>
      <c r="CU80" s="44">
        <f t="shared" si="583"/>
        <v>0</v>
      </c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855">IFERROR(CW80/CX80-1,)</f>
        <v>0</v>
      </c>
      <c r="CZ80" s="276">
        <f>IFERROR(VLOOKUP(Brand&amp;Channel&amp;Country&amp;$C80,tblDiscount,6,FALSE),0)</f>
        <v>0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478</v>
      </c>
      <c r="B81" s="44">
        <v>2019</v>
      </c>
      <c r="C81" s="88">
        <v>2</v>
      </c>
      <c r="D81" s="51">
        <f t="shared" ref="D81:D83" si="856">G81*H81</f>
        <v>0</v>
      </c>
      <c r="E81" s="201">
        <f t="shared" ref="E81:E83" si="857">IFERROR(D81*F81,0)</f>
        <v>0</v>
      </c>
      <c r="F81" s="181">
        <f t="shared" si="783"/>
        <v>0</v>
      </c>
      <c r="G81" s="175">
        <f t="shared" si="837"/>
        <v>0</v>
      </c>
      <c r="H81" s="202">
        <f t="shared" si="837"/>
        <v>0</v>
      </c>
      <c r="I81" s="202">
        <f t="shared" si="837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838"/>
        <v>0</v>
      </c>
      <c r="N81" s="46">
        <f t="shared" si="838"/>
        <v>0</v>
      </c>
      <c r="O81" s="46">
        <f t="shared" ca="1" si="838"/>
        <v>0</v>
      </c>
      <c r="P81" s="47">
        <f t="shared" ca="1" si="778"/>
        <v>0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839"/>
        <v>0</v>
      </c>
      <c r="T81" s="238">
        <f ca="1">SUMIFS(OFFSET(tblForecast,,T$2,,1),OFFSET(tblForecast,,,,1),$B81-IF(CompareVer="LY",1,0)&amp; $C81 &amp;T$4)</f>
        <v>0</v>
      </c>
      <c r="U81" s="91">
        <f t="shared" ca="1" si="769"/>
        <v>0</v>
      </c>
      <c r="V81" s="247">
        <f t="shared" ref="V81:V83" ca="1" si="858">IFERROR(IF(Q80&lt;&gt;0,Q81/Q80,0),0)</f>
        <v>0</v>
      </c>
      <c r="W81" s="327">
        <f ca="1">IFERROR(IF(R80&lt;&gt;0,R81/R80,X81),0)</f>
        <v>0</v>
      </c>
      <c r="X81" s="248">
        <f ca="1">IFERROR(IF(T80&lt;&gt;0,T81/T80,0),0)</f>
        <v>0</v>
      </c>
      <c r="Y81" s="51">
        <f t="shared" ca="1" si="840"/>
        <v>0</v>
      </c>
      <c r="Z81" s="46">
        <f t="shared" si="840"/>
        <v>0</v>
      </c>
      <c r="AA81" s="46">
        <f t="shared" si="840"/>
        <v>0</v>
      </c>
      <c r="AB81" s="46">
        <f t="shared" ca="1" si="840"/>
        <v>0</v>
      </c>
      <c r="AC81" s="91">
        <f t="shared" ca="1" si="770"/>
        <v>0</v>
      </c>
      <c r="AD81" s="75">
        <f ca="1">IF(AM81&lt;&gt;0,1-AR81/AM81,0)</f>
        <v>0</v>
      </c>
      <c r="AE81" s="93">
        <f t="shared" si="841"/>
        <v>0</v>
      </c>
      <c r="AF81" s="93">
        <f t="shared" si="841"/>
        <v>0</v>
      </c>
      <c r="AG81" s="76">
        <f t="shared" ca="1" si="841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842"/>
        <v>0</v>
      </c>
      <c r="AJ81" s="94">
        <f t="shared" si="842"/>
        <v>0</v>
      </c>
      <c r="AK81" s="49">
        <f ca="1">IFERROR(CF81/BY81,0)</f>
        <v>0</v>
      </c>
      <c r="AL81" s="47">
        <f t="shared" ca="1" si="681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843"/>
        <v>0</v>
      </c>
      <c r="AO81" s="94">
        <f t="shared" si="843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771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844"/>
        <v>0</v>
      </c>
      <c r="AT81" s="94">
        <f t="shared" si="844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772"/>
        <v>0</v>
      </c>
      <c r="AW81" s="190">
        <f t="shared" ca="1" si="845"/>
        <v>0</v>
      </c>
      <c r="AX81" s="191">
        <f t="shared" si="845"/>
        <v>0</v>
      </c>
      <c r="AY81" s="191">
        <f t="shared" si="845"/>
        <v>0</v>
      </c>
      <c r="AZ81" s="191">
        <f t="shared" ca="1" si="845"/>
        <v>0</v>
      </c>
      <c r="BA81" s="233">
        <f ca="1">IF(BA80+BV81+BL81+BR81-Q81&lt;0,0,BA80+BV81+BL81+BR81-Q81)</f>
        <v>0</v>
      </c>
      <c r="BB81" s="229">
        <f ca="1">IF(IFERROR(VLOOKUP($B81 &amp; $C81&amp;BB$4,tblForecast,BB$2,FALSE),0)=0,BA81,IFERROR(VLOOKUP($B81 &amp; $C81&amp;BB$4,tblForecast,BB$2,FALSE),0))</f>
        <v>0</v>
      </c>
      <c r="BC81" s="229">
        <f ca="1">SUMIFS(OFFSET(tblForecast,,BC$2,,1),OFFSET(tblForecast,,,,1),$B81-IF(CompareVer="LY",1,0)&amp; $C81 &amp;BC$4)</f>
        <v>0</v>
      </c>
      <c r="BD81" s="229">
        <f t="shared" ca="1" si="846"/>
        <v>0</v>
      </c>
      <c r="BE81" s="193">
        <f t="shared" ca="1" si="773"/>
        <v>0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0</v>
      </c>
      <c r="BH81" s="178">
        <f ca="1">IF(Q81&lt;&gt;0,BA81/Q81,0)</f>
        <v>0</v>
      </c>
      <c r="BI81" s="182">
        <f ca="1">IF(T81&lt;&gt;0,BD81/T81,0)</f>
        <v>0</v>
      </c>
      <c r="BJ81" s="194">
        <f t="shared" ca="1" si="847"/>
        <v>0</v>
      </c>
      <c r="BK81" s="50">
        <f t="shared" ca="1" si="848"/>
        <v>0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0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0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0</v>
      </c>
      <c r="BR81" s="225">
        <f t="shared" si="779"/>
        <v>0</v>
      </c>
      <c r="BS81" s="229">
        <f t="shared" ca="1" si="779"/>
        <v>0</v>
      </c>
      <c r="BT81" s="232">
        <f t="shared" si="849"/>
        <v>0</v>
      </c>
      <c r="BU81" s="229">
        <f t="shared" si="849"/>
        <v>0</v>
      </c>
      <c r="BV81" s="229">
        <f>IF($A81="a",IFERROR(VLOOKUP($B81 &amp; $C81&amp;BV$4,tblForecast,BV$2,FALSE),0),BT81+BU81)</f>
        <v>0</v>
      </c>
      <c r="BW81" s="229">
        <f t="shared" si="850"/>
        <v>0</v>
      </c>
      <c r="BX81" s="229">
        <f t="shared" si="850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774"/>
        <v>0</v>
      </c>
      <c r="CA81" s="330">
        <f t="shared" si="851"/>
        <v>0</v>
      </c>
      <c r="CB81" s="46">
        <f t="shared" si="851"/>
        <v>0</v>
      </c>
      <c r="CC81" s="46">
        <f>IF($A81="a",IFERROR(VLOOKUP($B81 &amp; $C81&amp;CC$4,tblForecast,CC$2,FALSE),0),CA81+CB81)</f>
        <v>0</v>
      </c>
      <c r="CD81" s="46">
        <f t="shared" si="852"/>
        <v>0</v>
      </c>
      <c r="CE81" s="46">
        <f t="shared" si="852"/>
        <v>0</v>
      </c>
      <c r="CF81" s="46">
        <f ca="1">SUMIFS(OFFSET(tblForecast,,CF$2,,1),OFFSET(tblForecast,,,,1),$B81-IF(CompareVer="LY",1,0)&amp; $C81 &amp;CF$4)</f>
        <v>0</v>
      </c>
      <c r="CG81" s="193">
        <f t="shared" ca="1" si="775"/>
        <v>0</v>
      </c>
      <c r="CH81" s="330">
        <f t="shared" si="853"/>
        <v>0</v>
      </c>
      <c r="CI81" s="46">
        <f t="shared" si="853"/>
        <v>0</v>
      </c>
      <c r="CJ81" s="46">
        <f>IF($A81="a",IFERROR(VLOOKUP($B81 &amp; $C81&amp;CJ$4,tblForecast,CJ$2,FALSE),0),CH81+CI81)</f>
        <v>0</v>
      </c>
      <c r="CK81" s="46">
        <f t="shared" si="854"/>
        <v>0</v>
      </c>
      <c r="CL81" s="46">
        <f t="shared" si="854"/>
        <v>0</v>
      </c>
      <c r="CM81" s="46">
        <f ca="1">SUMIFS(OFFSET(tblForecast,,CM$2,,1),OFFSET(tblForecast,,,,1),$B81-IF(CompareVer="LY",1,0)&amp; $C81 &amp;CM$4)</f>
        <v>0</v>
      </c>
      <c r="CN81" s="193">
        <f t="shared" ca="1" si="776"/>
        <v>0</v>
      </c>
      <c r="CO81" s="177">
        <f t="shared" si="823"/>
        <v>0</v>
      </c>
      <c r="CP81" s="221">
        <f t="shared" ca="1" si="823"/>
        <v>0</v>
      </c>
      <c r="CQ81" s="193">
        <f t="shared" ca="1" si="777"/>
        <v>0</v>
      </c>
      <c r="CR81" s="177">
        <f t="shared" si="780"/>
        <v>0</v>
      </c>
      <c r="CS81" s="221">
        <f t="shared" ca="1" si="780"/>
        <v>0</v>
      </c>
      <c r="CT81" s="193">
        <f t="shared" ca="1" si="824"/>
        <v>0</v>
      </c>
      <c r="CU81" s="44">
        <f t="shared" si="583"/>
        <v>0</v>
      </c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855"/>
        <v>0</v>
      </c>
      <c r="CZ81" s="276">
        <f>IFERROR(VLOOKUP(Brand&amp;Channel&amp;Country&amp;$C81,tblDiscount,6,FALSE),0)</f>
        <v>0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478</v>
      </c>
      <c r="B82" s="44">
        <v>2019</v>
      </c>
      <c r="C82" s="88">
        <v>3</v>
      </c>
      <c r="D82" s="51">
        <f t="shared" si="856"/>
        <v>0</v>
      </c>
      <c r="E82" s="201">
        <f t="shared" si="857"/>
        <v>0</v>
      </c>
      <c r="F82" s="181">
        <f t="shared" si="783"/>
        <v>0</v>
      </c>
      <c r="G82" s="175">
        <f t="shared" si="837"/>
        <v>0</v>
      </c>
      <c r="H82" s="202">
        <f t="shared" si="837"/>
        <v>0</v>
      </c>
      <c r="I82" s="202">
        <f t="shared" si="837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838"/>
        <v>0</v>
      </c>
      <c r="N82" s="46">
        <f t="shared" si="838"/>
        <v>0</v>
      </c>
      <c r="O82" s="46">
        <f t="shared" ca="1" si="838"/>
        <v>0</v>
      </c>
      <c r="P82" s="47">
        <f t="shared" ca="1" si="778"/>
        <v>0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839"/>
        <v>0</v>
      </c>
      <c r="T82" s="238">
        <f ca="1">SUMIFS(OFFSET(tblForecast,,T$2,,1),OFFSET(tblForecast,,,,1),$B82-IF(CompareVer="LY",1,0)&amp; $C82 &amp;T$4)</f>
        <v>0</v>
      </c>
      <c r="U82" s="91">
        <f t="shared" ca="1" si="769"/>
        <v>0</v>
      </c>
      <c r="V82" s="247">
        <f t="shared" ca="1" si="858"/>
        <v>0</v>
      </c>
      <c r="W82" s="327">
        <f ca="1">IFERROR(IF(R81&lt;&gt;0,R82/R81,X82),0)</f>
        <v>0</v>
      </c>
      <c r="X82" s="248">
        <f ca="1">IFERROR(IF(T81&lt;&gt;0,T82/T81,0),0)</f>
        <v>0</v>
      </c>
      <c r="Y82" s="51">
        <f t="shared" ca="1" si="840"/>
        <v>0</v>
      </c>
      <c r="Z82" s="46">
        <f t="shared" si="840"/>
        <v>0</v>
      </c>
      <c r="AA82" s="46">
        <f t="shared" si="840"/>
        <v>0</v>
      </c>
      <c r="AB82" s="46">
        <f t="shared" ca="1" si="840"/>
        <v>0</v>
      </c>
      <c r="AC82" s="91">
        <f t="shared" ca="1" si="770"/>
        <v>0</v>
      </c>
      <c r="AD82" s="75">
        <f ca="1">IF(AM82&lt;&gt;0,1-AR82/AM82,0)</f>
        <v>0</v>
      </c>
      <c r="AE82" s="93">
        <f t="shared" si="841"/>
        <v>0</v>
      </c>
      <c r="AF82" s="93">
        <f t="shared" si="841"/>
        <v>0</v>
      </c>
      <c r="AG82" s="76">
        <f t="shared" ca="1" si="841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842"/>
        <v>0</v>
      </c>
      <c r="AJ82" s="94">
        <f t="shared" si="842"/>
        <v>0</v>
      </c>
      <c r="AK82" s="49">
        <f ca="1">IFERROR(CF82/BY82,0)</f>
        <v>0</v>
      </c>
      <c r="AL82" s="47">
        <f t="shared" ca="1" si="681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843"/>
        <v>0</v>
      </c>
      <c r="AO82" s="94">
        <f t="shared" si="843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771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844"/>
        <v>0</v>
      </c>
      <c r="AT82" s="94">
        <f t="shared" si="844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772"/>
        <v>0</v>
      </c>
      <c r="AW82" s="190">
        <f t="shared" ca="1" si="845"/>
        <v>0</v>
      </c>
      <c r="AX82" s="191">
        <f t="shared" si="845"/>
        <v>0</v>
      </c>
      <c r="AY82" s="191">
        <f t="shared" si="845"/>
        <v>0</v>
      </c>
      <c r="AZ82" s="191">
        <f t="shared" ca="1" si="845"/>
        <v>0</v>
      </c>
      <c r="BA82" s="233">
        <f ca="1">IF(BA81+BV82+BL82+BR82-Q82&lt;0,0,BA81+BV82+BL82+BR82-Q82)</f>
        <v>0</v>
      </c>
      <c r="BB82" s="229">
        <f ca="1">IF(IFERROR(VLOOKUP($B82 &amp; $C82&amp;BB$4,tblForecast,BB$2,FALSE),0)=0,BA82,IFERROR(VLOOKUP($B82 &amp; $C82&amp;BB$4,tblForecast,BB$2,FALSE),0))</f>
        <v>0</v>
      </c>
      <c r="BC82" s="229">
        <f ca="1">SUMIFS(OFFSET(tblForecast,,BC$2,,1),OFFSET(tblForecast,,,,1),$B82-IF(CompareVer="LY",1,0)&amp; $C82 &amp;BC$4)</f>
        <v>0</v>
      </c>
      <c r="BD82" s="229">
        <f t="shared" ca="1" si="846"/>
        <v>0</v>
      </c>
      <c r="BE82" s="193">
        <f t="shared" ca="1" si="773"/>
        <v>0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0</v>
      </c>
      <c r="BH82" s="178">
        <f ca="1">IF(Q82&lt;&gt;0,BA82/Q82,0)</f>
        <v>0</v>
      </c>
      <c r="BI82" s="182">
        <f ca="1">IF(T82&lt;&gt;0,BD82/T82,0)</f>
        <v>0</v>
      </c>
      <c r="BJ82" s="194">
        <f t="shared" ca="1" si="847"/>
        <v>0</v>
      </c>
      <c r="BK82" s="50">
        <f t="shared" ca="1" si="848"/>
        <v>0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0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0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779"/>
        <v>0</v>
      </c>
      <c r="BS82" s="229">
        <f t="shared" ca="1" si="779"/>
        <v>0</v>
      </c>
      <c r="BT82" s="232">
        <f t="shared" si="849"/>
        <v>0</v>
      </c>
      <c r="BU82" s="229">
        <f t="shared" si="849"/>
        <v>0</v>
      </c>
      <c r="BV82" s="229">
        <f>IF($A82="a",IFERROR(VLOOKUP($B82 &amp; $C82&amp;BV$4,tblForecast,BV$2,FALSE),0),BT82+BU82)</f>
        <v>0</v>
      </c>
      <c r="BW82" s="229">
        <f t="shared" si="850"/>
        <v>0</v>
      </c>
      <c r="BX82" s="229">
        <f t="shared" si="850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774"/>
        <v>0</v>
      </c>
      <c r="CA82" s="330">
        <f t="shared" si="851"/>
        <v>0</v>
      </c>
      <c r="CB82" s="46">
        <f t="shared" si="851"/>
        <v>0</v>
      </c>
      <c r="CC82" s="46">
        <f>IF($A82="a",IFERROR(VLOOKUP($B82 &amp; $C82&amp;CC$4,tblForecast,CC$2,FALSE),0),CA82+CB82)</f>
        <v>0</v>
      </c>
      <c r="CD82" s="46">
        <f t="shared" si="852"/>
        <v>0</v>
      </c>
      <c r="CE82" s="46">
        <f t="shared" si="852"/>
        <v>0</v>
      </c>
      <c r="CF82" s="46">
        <f ca="1">SUMIFS(OFFSET(tblForecast,,CF$2,,1),OFFSET(tblForecast,,,,1),$B82-IF(CompareVer="LY",1,0)&amp; $C82 &amp;CF$4)</f>
        <v>0</v>
      </c>
      <c r="CG82" s="193">
        <f t="shared" ca="1" si="775"/>
        <v>0</v>
      </c>
      <c r="CH82" s="330">
        <f t="shared" si="853"/>
        <v>0</v>
      </c>
      <c r="CI82" s="46">
        <f t="shared" si="853"/>
        <v>0</v>
      </c>
      <c r="CJ82" s="46">
        <f>IF($A82="a",IFERROR(VLOOKUP($B82 &amp; $C82&amp;CJ$4,tblForecast,CJ$2,FALSE),0),CH82+CI82)</f>
        <v>0</v>
      </c>
      <c r="CK82" s="46">
        <f t="shared" si="854"/>
        <v>0</v>
      </c>
      <c r="CL82" s="46">
        <f t="shared" si="854"/>
        <v>0</v>
      </c>
      <c r="CM82" s="46">
        <f ca="1">SUMIFS(OFFSET(tblForecast,,CM$2,,1),OFFSET(tblForecast,,,,1),$B82-IF(CompareVer="LY",1,0)&amp; $C82 &amp;CM$4)</f>
        <v>0</v>
      </c>
      <c r="CN82" s="193">
        <f t="shared" ca="1" si="776"/>
        <v>0</v>
      </c>
      <c r="CO82" s="177">
        <f t="shared" si="823"/>
        <v>0</v>
      </c>
      <c r="CP82" s="221">
        <f t="shared" ca="1" si="823"/>
        <v>0</v>
      </c>
      <c r="CQ82" s="193">
        <f t="shared" ca="1" si="777"/>
        <v>0</v>
      </c>
      <c r="CR82" s="177">
        <f t="shared" si="780"/>
        <v>0</v>
      </c>
      <c r="CS82" s="221">
        <f t="shared" ca="1" si="780"/>
        <v>0</v>
      </c>
      <c r="CT82" s="193">
        <f t="shared" ca="1" si="824"/>
        <v>0</v>
      </c>
      <c r="CU82" s="44">
        <f t="shared" ref="CU82:CU113" si="859">IFERROR(VLOOKUP($B82 &amp; $C82&amp;CU$4,tblForecast,CU$2,FALSE),0)</f>
        <v>0</v>
      </c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855"/>
        <v>0</v>
      </c>
      <c r="CZ82" s="276">
        <f>IFERROR(VLOOKUP(Brand&amp;Channel&amp;Country&amp;$C82,tblDiscount,6,FALSE),0)</f>
        <v>0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478</v>
      </c>
      <c r="B83" s="44">
        <v>2019</v>
      </c>
      <c r="C83" s="88">
        <v>4</v>
      </c>
      <c r="D83" s="51">
        <f t="shared" si="856"/>
        <v>0</v>
      </c>
      <c r="E83" s="201">
        <f t="shared" si="857"/>
        <v>0</v>
      </c>
      <c r="F83" s="181">
        <f t="shared" si="783"/>
        <v>0</v>
      </c>
      <c r="G83" s="175">
        <f t="shared" si="837"/>
        <v>0</v>
      </c>
      <c r="H83" s="202">
        <f t="shared" si="837"/>
        <v>0</v>
      </c>
      <c r="I83" s="202">
        <f t="shared" si="837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838"/>
        <v>0</v>
      </c>
      <c r="N83" s="46">
        <f t="shared" si="838"/>
        <v>0</v>
      </c>
      <c r="O83" s="46">
        <f t="shared" ca="1" si="838"/>
        <v>0</v>
      </c>
      <c r="P83" s="47">
        <f t="shared" ca="1" si="778"/>
        <v>0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839"/>
        <v>0</v>
      </c>
      <c r="T83" s="238">
        <f ca="1">SUMIFS(OFFSET(tblForecast,,T$2,,1),OFFSET(tblForecast,,,,1),$B83-IF(CompareVer="LY",1,0)&amp; $C83 &amp;T$4)</f>
        <v>0</v>
      </c>
      <c r="U83" s="91">
        <f t="shared" ca="1" si="769"/>
        <v>0</v>
      </c>
      <c r="V83" s="247">
        <f t="shared" ca="1" si="858"/>
        <v>0</v>
      </c>
      <c r="W83" s="327">
        <f ca="1">IFERROR(IF(R82&lt;&gt;0,R83/R82,X83),0)</f>
        <v>0</v>
      </c>
      <c r="X83" s="248">
        <f ca="1">IFERROR(IF(T82&lt;&gt;0,T83/T82,0),0)</f>
        <v>0</v>
      </c>
      <c r="Y83" s="51">
        <f t="shared" ca="1" si="840"/>
        <v>0</v>
      </c>
      <c r="Z83" s="46">
        <f t="shared" si="840"/>
        <v>0</v>
      </c>
      <c r="AA83" s="46">
        <f t="shared" si="840"/>
        <v>0</v>
      </c>
      <c r="AB83" s="46">
        <f t="shared" ca="1" si="840"/>
        <v>0</v>
      </c>
      <c r="AC83" s="91">
        <f t="shared" ca="1" si="770"/>
        <v>0</v>
      </c>
      <c r="AD83" s="75">
        <f ca="1">IF(AM83&lt;&gt;0,1-AR83/AM83,0)</f>
        <v>0</v>
      </c>
      <c r="AE83" s="93">
        <f t="shared" si="841"/>
        <v>0</v>
      </c>
      <c r="AF83" s="93">
        <f t="shared" si="841"/>
        <v>0</v>
      </c>
      <c r="AG83" s="76">
        <f t="shared" ca="1" si="841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842"/>
        <v>0</v>
      </c>
      <c r="AJ83" s="94">
        <f t="shared" si="842"/>
        <v>0</v>
      </c>
      <c r="AK83" s="49">
        <f ca="1">IFERROR(CF83/BY83,0)</f>
        <v>0</v>
      </c>
      <c r="AL83" s="47">
        <f t="shared" ca="1" si="681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843"/>
        <v>0</v>
      </c>
      <c r="AO83" s="94">
        <f t="shared" si="843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771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844"/>
        <v>0</v>
      </c>
      <c r="AT83" s="94">
        <f t="shared" si="844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772"/>
        <v>0</v>
      </c>
      <c r="AW83" s="190">
        <f t="shared" ca="1" si="845"/>
        <v>0</v>
      </c>
      <c r="AX83" s="191">
        <f t="shared" si="845"/>
        <v>0</v>
      </c>
      <c r="AY83" s="191">
        <f t="shared" si="845"/>
        <v>0</v>
      </c>
      <c r="AZ83" s="191">
        <f t="shared" ca="1" si="845"/>
        <v>0</v>
      </c>
      <c r="BA83" s="233">
        <f ca="1">IF(BA82+BV83+BL83+BR83-Q83&lt;0,0,BA82+BV83+BL83+BR83-Q83)</f>
        <v>0</v>
      </c>
      <c r="BB83" s="229">
        <f ca="1">IF(IFERROR(VLOOKUP($B83 &amp; $C83&amp;BB$4,tblForecast,BB$2,FALSE),0)=0,BA83,IFERROR(VLOOKUP($B83 &amp; $C83&amp;BB$4,tblForecast,BB$2,FALSE),0))</f>
        <v>0</v>
      </c>
      <c r="BC83" s="229">
        <f ca="1">SUMIFS(OFFSET(tblForecast,,BC$2,,1),OFFSET(tblForecast,,,,1),$B83-IF(CompareVer="LY",1,0)&amp; $C83 &amp;BC$4)</f>
        <v>0</v>
      </c>
      <c r="BD83" s="229">
        <f t="shared" ca="1" si="846"/>
        <v>0</v>
      </c>
      <c r="BE83" s="193">
        <f t="shared" ca="1" si="773"/>
        <v>0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0</v>
      </c>
      <c r="BH83" s="178">
        <f ca="1">IF(Q83&lt;&gt;0,BA83/Q83,0)</f>
        <v>0</v>
      </c>
      <c r="BI83" s="182">
        <f ca="1">IF(T83&lt;&gt;0,BD83/T83,0)</f>
        <v>0</v>
      </c>
      <c r="BJ83" s="194">
        <f t="shared" ca="1" si="847"/>
        <v>0</v>
      </c>
      <c r="BK83" s="50">
        <f t="shared" ca="1" si="848"/>
        <v>0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0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779"/>
        <v>0</v>
      </c>
      <c r="BS83" s="229">
        <f t="shared" ca="1" si="779"/>
        <v>0</v>
      </c>
      <c r="BT83" s="232">
        <f t="shared" si="849"/>
        <v>0</v>
      </c>
      <c r="BU83" s="229">
        <f t="shared" si="849"/>
        <v>0</v>
      </c>
      <c r="BV83" s="229">
        <f>IF($A83="a",IFERROR(VLOOKUP($B83 &amp; $C83&amp;BV$4,tblForecast,BV$2,FALSE),0),BT83+BU83)</f>
        <v>0</v>
      </c>
      <c r="BW83" s="229">
        <f t="shared" si="850"/>
        <v>0</v>
      </c>
      <c r="BX83" s="229">
        <f t="shared" si="850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774"/>
        <v>0</v>
      </c>
      <c r="CA83" s="330">
        <f t="shared" si="851"/>
        <v>0</v>
      </c>
      <c r="CB83" s="46">
        <f t="shared" si="851"/>
        <v>0</v>
      </c>
      <c r="CC83" s="46">
        <f>IF($A83="a",IFERROR(VLOOKUP($B83 &amp; $C83&amp;CC$4,tblForecast,CC$2,FALSE),0),CA83+CB83)</f>
        <v>0</v>
      </c>
      <c r="CD83" s="46">
        <f t="shared" si="852"/>
        <v>0</v>
      </c>
      <c r="CE83" s="46">
        <f t="shared" si="852"/>
        <v>0</v>
      </c>
      <c r="CF83" s="46">
        <f ca="1">SUMIFS(OFFSET(tblForecast,,CF$2,,1),OFFSET(tblForecast,,,,1),$B83-IF(CompareVer="LY",1,0)&amp; $C83 &amp;CF$4)</f>
        <v>0</v>
      </c>
      <c r="CG83" s="193">
        <f t="shared" ca="1" si="775"/>
        <v>0</v>
      </c>
      <c r="CH83" s="330">
        <f t="shared" si="853"/>
        <v>0</v>
      </c>
      <c r="CI83" s="46">
        <f t="shared" si="853"/>
        <v>0</v>
      </c>
      <c r="CJ83" s="46">
        <f>IF($A83="a",IFERROR(VLOOKUP($B83 &amp; $C83&amp;CJ$4,tblForecast,CJ$2,FALSE),0),CH83+CI83)</f>
        <v>0</v>
      </c>
      <c r="CK83" s="46">
        <f t="shared" si="854"/>
        <v>0</v>
      </c>
      <c r="CL83" s="46">
        <f t="shared" si="854"/>
        <v>0</v>
      </c>
      <c r="CM83" s="46">
        <f ca="1">SUMIFS(OFFSET(tblForecast,,CM$2,,1),OFFSET(tblForecast,,,,1),$B83-IF(CompareVer="LY",1,0)&amp; $C83 &amp;CM$4)</f>
        <v>0</v>
      </c>
      <c r="CN83" s="193">
        <f t="shared" ca="1" si="776"/>
        <v>0</v>
      </c>
      <c r="CO83" s="177">
        <f t="shared" si="823"/>
        <v>0</v>
      </c>
      <c r="CP83" s="221">
        <f t="shared" ca="1" si="823"/>
        <v>0</v>
      </c>
      <c r="CQ83" s="193">
        <f t="shared" ca="1" si="777"/>
        <v>0</v>
      </c>
      <c r="CR83" s="177">
        <f t="shared" si="780"/>
        <v>0</v>
      </c>
      <c r="CS83" s="221">
        <f t="shared" ca="1" si="780"/>
        <v>0</v>
      </c>
      <c r="CT83" s="193">
        <f t="shared" ca="1" si="824"/>
        <v>0</v>
      </c>
      <c r="CU83" s="44">
        <f t="shared" si="859"/>
        <v>0</v>
      </c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855"/>
        <v>0</v>
      </c>
      <c r="CZ83" s="276">
        <f>IFERROR(VLOOKUP(Brand&amp;Channel&amp;Country&amp;$C83,tblDiscount,6,FALSE),0)</f>
        <v>0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7" t="s">
        <v>20</v>
      </c>
      <c r="D84" s="348">
        <f t="shared" ref="D84" si="860">SUM(D80:D83)</f>
        <v>0</v>
      </c>
      <c r="E84" s="349">
        <f t="shared" ref="E84" si="861">SUM(E80:E83)</f>
        <v>0</v>
      </c>
      <c r="F84" s="350">
        <f t="shared" si="783"/>
        <v>0</v>
      </c>
      <c r="G84" s="351">
        <f>SUM(G80:G83)</f>
        <v>0</v>
      </c>
      <c r="H84" s="352">
        <f>IFERROR(D84/G84,0)</f>
        <v>0</v>
      </c>
      <c r="I84" s="352">
        <f>IFERROR(SUMPRODUCT(I80:I83,G80:G83)/G84,0)</f>
        <v>0</v>
      </c>
      <c r="J84" s="351">
        <f>SUM(J80:J83)</f>
        <v>0</v>
      </c>
      <c r="K84" s="353">
        <f>SUM(K80:K83)</f>
        <v>0</v>
      </c>
      <c r="L84" s="354">
        <f ca="1">SUM(L80:L83)</f>
        <v>0</v>
      </c>
      <c r="M84" s="354">
        <f t="shared" ref="M84:O84" si="862">SUM(M80:M83)</f>
        <v>0</v>
      </c>
      <c r="N84" s="354">
        <f t="shared" si="862"/>
        <v>0</v>
      </c>
      <c r="O84" s="354">
        <f t="shared" ca="1" si="862"/>
        <v>0</v>
      </c>
      <c r="P84" s="355">
        <f t="shared" ca="1" si="778"/>
        <v>0</v>
      </c>
      <c r="Q84" s="356">
        <f t="shared" ref="Q84" ca="1" si="863">SUM(Q80:Q83)</f>
        <v>0</v>
      </c>
      <c r="R84" s="356">
        <f t="shared" ref="R84:S84" si="864">SUM(R80:R83)</f>
        <v>0</v>
      </c>
      <c r="S84" s="356">
        <f t="shared" si="864"/>
        <v>0</v>
      </c>
      <c r="T84" s="356">
        <f ca="1">SUM(T80:T83)</f>
        <v>0</v>
      </c>
      <c r="U84" s="355">
        <f t="shared" ca="1" si="769"/>
        <v>0</v>
      </c>
      <c r="V84" s="357">
        <f ca="1">V83</f>
        <v>0</v>
      </c>
      <c r="W84" s="358">
        <f ca="1">W83</f>
        <v>0</v>
      </c>
      <c r="X84" s="359">
        <f ca="1">X83</f>
        <v>0</v>
      </c>
      <c r="Y84" s="348">
        <f ca="1">SUM(Y80:Y83)</f>
        <v>0</v>
      </c>
      <c r="Z84" s="354">
        <f t="shared" ref="Z84:AB84" si="865">SUM(Z80:Z83)</f>
        <v>0</v>
      </c>
      <c r="AA84" s="354">
        <f t="shared" si="865"/>
        <v>0</v>
      </c>
      <c r="AB84" s="354">
        <f t="shared" ca="1" si="865"/>
        <v>0</v>
      </c>
      <c r="AC84" s="355">
        <f t="shared" ca="1" si="770"/>
        <v>0</v>
      </c>
      <c r="AD84" s="360">
        <f ca="1">IFERROR(Y84/L84,0)</f>
        <v>0</v>
      </c>
      <c r="AE84" s="361">
        <f>IFERROR(Z84/M84,0)</f>
        <v>0</v>
      </c>
      <c r="AF84" s="361">
        <f>IFERROR(AA84/N84,0)</f>
        <v>0</v>
      </c>
      <c r="AG84" s="361">
        <f ca="1">IFERROR(AB84/O84,0)</f>
        <v>0</v>
      </c>
      <c r="AH84" s="362">
        <f ca="1">IFERROR(SUMPRODUCT(AH80:AH83,Q80:Q83)/Q84,0)</f>
        <v>0</v>
      </c>
      <c r="AI84" s="363">
        <f>IFERROR(SUMPRODUCT(AI80:AI83,R80:R83)/R84,0)</f>
        <v>0</v>
      </c>
      <c r="AJ84" s="363">
        <f t="shared" ref="AJ84:AK84" si="866">IFERROR(SUMPRODUCT(AJ80:AJ83,S80:S83)/S84,0)</f>
        <v>0</v>
      </c>
      <c r="AK84" s="363">
        <f t="shared" ca="1" si="866"/>
        <v>0</v>
      </c>
      <c r="AL84" s="355">
        <f t="shared" ca="1" si="681"/>
        <v>0</v>
      </c>
      <c r="AM84" s="362">
        <f ca="1">IF(Q84&lt;&gt;0,L84/Q84,0)</f>
        <v>0</v>
      </c>
      <c r="AN84" s="363">
        <f>IF(R84&lt;&gt;0,M84/R84,0)</f>
        <v>0</v>
      </c>
      <c r="AO84" s="363">
        <f>IF(S84&lt;&gt;0,N84/S84,0)</f>
        <v>0</v>
      </c>
      <c r="AP84" s="363">
        <f ca="1">IF(T84&lt;&gt;0,O84/T84,0)</f>
        <v>0</v>
      </c>
      <c r="AQ84" s="355">
        <f t="shared" ca="1" si="771"/>
        <v>0</v>
      </c>
      <c r="AR84" s="362">
        <f ca="1">IFERROR((L84*(1-AD84))/Q84,0)</f>
        <v>0</v>
      </c>
      <c r="AS84" s="363">
        <f>IFERROR((M84*(1-AE84))/R84,0)</f>
        <v>0</v>
      </c>
      <c r="AT84" s="363">
        <f>IFERROR((N84*(1-AF84))/S84,0)</f>
        <v>0</v>
      </c>
      <c r="AU84" s="363">
        <f ca="1">IFERROR((O84*(1-AG84))/T84,0)</f>
        <v>0</v>
      </c>
      <c r="AV84" s="355">
        <f t="shared" ca="1" si="772"/>
        <v>0</v>
      </c>
      <c r="AW84" s="364">
        <f ca="1">IFERROR(SUMPRODUCT(AW80:AW83,V80:V83)/V84,0)</f>
        <v>0</v>
      </c>
      <c r="AX84" s="365">
        <f t="shared" ref="AX84:AZ84" ca="1" si="867">IFERROR(SUMPRODUCT(AX80:AX83,X80:X83)/X84,0)</f>
        <v>0</v>
      </c>
      <c r="AY84" s="365">
        <f t="shared" ca="1" si="867"/>
        <v>0</v>
      </c>
      <c r="AZ84" s="365">
        <f t="shared" ca="1" si="867"/>
        <v>0</v>
      </c>
      <c r="BA84" s="366">
        <f ca="1">BA83</f>
        <v>0</v>
      </c>
      <c r="BB84" s="356">
        <f t="shared" ref="BB84:BD84" ca="1" si="868">BB83</f>
        <v>0</v>
      </c>
      <c r="BC84" s="356">
        <f t="shared" ca="1" si="868"/>
        <v>0</v>
      </c>
      <c r="BD84" s="356">
        <f t="shared" ca="1" si="868"/>
        <v>0</v>
      </c>
      <c r="BE84" s="355">
        <f t="shared" ca="1" si="773"/>
        <v>0</v>
      </c>
      <c r="BF84" s="356">
        <f>BF83</f>
        <v>0</v>
      </c>
      <c r="BG84" s="356">
        <f ca="1">BG83</f>
        <v>0</v>
      </c>
      <c r="BH84" s="367">
        <f ca="1">IF(Q82&lt;&gt;0,(BA84/Q84),0)</f>
        <v>0</v>
      </c>
      <c r="BI84" s="368">
        <f ca="1">IF(T82&lt;&gt;0,(BD84/T82),0)</f>
        <v>0</v>
      </c>
      <c r="BJ84" s="369">
        <f ca="1">IFERROR((Q84/COUNTIF(BJ80:BJ83,"&lt;&gt;0"))/BA84,0)</f>
        <v>0</v>
      </c>
      <c r="BK84" s="370">
        <f ca="1">IF(BD84&lt;&gt;0,(T84/COUNTIF(BK80:BK83,"&lt;&gt;0"))/BD84,0)</f>
        <v>0</v>
      </c>
      <c r="BL84" s="366">
        <f>SUM(BL80:BL83)</f>
        <v>0</v>
      </c>
      <c r="BM84" s="356">
        <f ca="1">SUM(BM80:BM83)</f>
        <v>0</v>
      </c>
      <c r="BN84" s="366">
        <f>SUM(BN80:BN83)</f>
        <v>0</v>
      </c>
      <c r="BO84" s="356">
        <f t="shared" ref="BO84" ca="1" si="869">SUM(BO80:BO83)</f>
        <v>0</v>
      </c>
      <c r="BP84" s="366">
        <f>SUM(BP80:BP83)</f>
        <v>0</v>
      </c>
      <c r="BQ84" s="356">
        <f t="shared" ref="BQ84" ca="1" si="870">SUM(BQ80:BQ83)</f>
        <v>0</v>
      </c>
      <c r="BR84" s="366">
        <f t="shared" si="779"/>
        <v>0</v>
      </c>
      <c r="BS84" s="356">
        <f t="shared" ca="1" si="779"/>
        <v>0</v>
      </c>
      <c r="BT84" s="366">
        <f>SUM(BT80:BT83)</f>
        <v>0</v>
      </c>
      <c r="BU84" s="356">
        <f>SUM(BU80:BU83)</f>
        <v>0</v>
      </c>
      <c r="BV84" s="356">
        <f>SUM(BV80:BV83)</f>
        <v>0</v>
      </c>
      <c r="BW84" s="356">
        <f t="shared" ref="BW84:BX84" si="871">SUM(BW80:BW83)</f>
        <v>0</v>
      </c>
      <c r="BX84" s="356">
        <f t="shared" si="871"/>
        <v>0</v>
      </c>
      <c r="BY84" s="371">
        <f ca="1">SUM(BY80:BY83)</f>
        <v>0</v>
      </c>
      <c r="BZ84" s="355">
        <f t="shared" ca="1" si="774"/>
        <v>0</v>
      </c>
      <c r="CA84" s="372">
        <f>SUM(CA80:CA83)</f>
        <v>0</v>
      </c>
      <c r="CB84" s="354">
        <f t="shared" ref="CB84:CF84" si="872">SUM(CB80:CB83)</f>
        <v>0</v>
      </c>
      <c r="CC84" s="354">
        <f t="shared" si="872"/>
        <v>0</v>
      </c>
      <c r="CD84" s="354">
        <f t="shared" si="872"/>
        <v>0</v>
      </c>
      <c r="CE84" s="354">
        <f t="shared" si="872"/>
        <v>0</v>
      </c>
      <c r="CF84" s="354">
        <f t="shared" ca="1" si="872"/>
        <v>0</v>
      </c>
      <c r="CG84" s="355">
        <f t="shared" ca="1" si="775"/>
        <v>0</v>
      </c>
      <c r="CH84" s="372">
        <f>SUM(CH80:CH83)</f>
        <v>0</v>
      </c>
      <c r="CI84" s="354">
        <f t="shared" ref="CI84:CM84" si="873">SUM(CI80:CI83)</f>
        <v>0</v>
      </c>
      <c r="CJ84" s="354">
        <f t="shared" si="873"/>
        <v>0</v>
      </c>
      <c r="CK84" s="354">
        <f t="shared" si="873"/>
        <v>0</v>
      </c>
      <c r="CL84" s="354">
        <f t="shared" si="873"/>
        <v>0</v>
      </c>
      <c r="CM84" s="354">
        <f t="shared" ca="1" si="873"/>
        <v>0</v>
      </c>
      <c r="CN84" s="355">
        <f t="shared" ca="1" si="776"/>
        <v>0</v>
      </c>
      <c r="CO84" s="373">
        <f t="shared" si="823"/>
        <v>0</v>
      </c>
      <c r="CP84" s="374">
        <f t="shared" ca="1" si="823"/>
        <v>0</v>
      </c>
      <c r="CQ84" s="355">
        <f t="shared" ca="1" si="777"/>
        <v>0</v>
      </c>
      <c r="CR84" s="373">
        <f t="shared" si="780"/>
        <v>0</v>
      </c>
      <c r="CS84" s="374">
        <f t="shared" ca="1" si="780"/>
        <v>0</v>
      </c>
      <c r="CT84" s="355">
        <f t="shared" ca="1" si="824"/>
        <v>0</v>
      </c>
      <c r="CU84" s="44">
        <f t="shared" si="859"/>
        <v>0</v>
      </c>
      <c r="CW84" s="100">
        <f>CW83</f>
        <v>0</v>
      </c>
      <c r="CX84" s="101">
        <f ca="1">CX83</f>
        <v>0</v>
      </c>
      <c r="CY84" s="99">
        <f t="shared" ca="1" si="855"/>
        <v>0</v>
      </c>
      <c r="CZ84" s="276"/>
      <c r="DA84" s="277"/>
      <c r="DB84" s="277"/>
      <c r="DC84" s="278"/>
    </row>
    <row r="85" spans="1:107" x14ac:dyDescent="0.25">
      <c r="A85" s="44" t="s">
        <v>478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783"/>
        <v>0</v>
      </c>
      <c r="G85" s="175">
        <f t="shared" ref="G85:I89" si="874">IFERROR(VLOOKUP($B85 &amp; $C85&amp;G$4&amp;$A85,tblForecast,G$2,FALSE),0)</f>
        <v>0</v>
      </c>
      <c r="H85" s="202">
        <f t="shared" si="874"/>
        <v>0</v>
      </c>
      <c r="I85" s="202">
        <f t="shared" si="874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875">R85*AN85</f>
        <v>0</v>
      </c>
      <c r="N85" s="46">
        <f t="shared" si="875"/>
        <v>0</v>
      </c>
      <c r="O85" s="46">
        <f t="shared" ca="1" si="875"/>
        <v>0</v>
      </c>
      <c r="P85" s="47">
        <f t="shared" ca="1" si="778"/>
        <v>0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876">IFERROR(VLOOKUP($B85 &amp; $C85&amp;S$4,tblForecast,S$2,FALSE),0)</f>
        <v>0</v>
      </c>
      <c r="T85" s="238">
        <f ca="1">SUMIFS(OFFSET(tblForecast,,T$2,,1),OFFSET(tblForecast,,,,1),$B85-IF(CompareVer="LY",1,0)&amp; $C85 &amp;T$4)</f>
        <v>0</v>
      </c>
      <c r="U85" s="91">
        <f t="shared" ca="1" si="769"/>
        <v>0</v>
      </c>
      <c r="V85" s="247">
        <f ca="1">IFERROR(IF(Q83&gt;0,Q85/Q83,0),0)</f>
        <v>0</v>
      </c>
      <c r="W85" s="327">
        <f ca="1">IFERROR(IF(R83&gt;0,R85/R83,X85),0)</f>
        <v>0</v>
      </c>
      <c r="X85" s="248">
        <f ca="1">IFERROR(IF(T83&gt;0,T85/T83,0),0)</f>
        <v>0</v>
      </c>
      <c r="Y85" s="51">
        <f t="shared" ref="Y85:AB89" ca="1" si="877">IFERROR(L85*AD85,0)</f>
        <v>0</v>
      </c>
      <c r="Z85" s="46">
        <f t="shared" si="877"/>
        <v>0</v>
      </c>
      <c r="AA85" s="46">
        <f t="shared" si="877"/>
        <v>0</v>
      </c>
      <c r="AB85" s="46">
        <f t="shared" ca="1" si="877"/>
        <v>0</v>
      </c>
      <c r="AC85" s="91">
        <f t="shared" ca="1" si="770"/>
        <v>0</v>
      </c>
      <c r="AD85" s="75">
        <f ca="1">IF(AM85&lt;&gt;0,1-AR85/AM85,0)</f>
        <v>0</v>
      </c>
      <c r="AE85" s="93">
        <f t="shared" ref="AE85:AG89" si="878">IF(AN85&lt;&gt;0,1-AS85/AN85,0)</f>
        <v>0</v>
      </c>
      <c r="AF85" s="93">
        <f t="shared" si="878"/>
        <v>0</v>
      </c>
      <c r="AG85" s="76">
        <f t="shared" ca="1" si="878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879">IFERROR(VLOOKUP($B85 &amp; $C85&amp;AI$4,tblForecast,AI$2,FALSE),0)</f>
        <v>0</v>
      </c>
      <c r="AJ85" s="94">
        <f t="shared" si="879"/>
        <v>0</v>
      </c>
      <c r="AK85" s="49">
        <f ca="1">IFERROR(CF85/BY85,0)</f>
        <v>0</v>
      </c>
      <c r="AL85" s="47">
        <f t="shared" ca="1" si="681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880">IFERROR(VLOOKUP($B85 &amp; $C85&amp;AN$4,tblForecast,AN$2,FALSE),0)</f>
        <v>0</v>
      </c>
      <c r="AO85" s="94">
        <f t="shared" si="880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771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881">IFERROR(VLOOKUP($B85 &amp; $C85&amp;AS$4,tblForecast,AS$2,FALSE),0)</f>
        <v>0</v>
      </c>
      <c r="AT85" s="94">
        <f t="shared" si="881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772"/>
        <v>0</v>
      </c>
      <c r="AW85" s="190">
        <f t="shared" ref="AW85:AZ89" ca="1" si="882">IFERROR((AM85/AH85-1)*-1,0)</f>
        <v>0</v>
      </c>
      <c r="AX85" s="191">
        <f t="shared" si="882"/>
        <v>0</v>
      </c>
      <c r="AY85" s="191">
        <f t="shared" si="882"/>
        <v>0</v>
      </c>
      <c r="AZ85" s="191">
        <f t="shared" ca="1" si="882"/>
        <v>0</v>
      </c>
      <c r="BA85" s="233">
        <f ca="1">IF(BA84+BV85+BL85+BR85-Q85&lt;0,0,BA84+BV85+BL85+BR85-Q85)</f>
        <v>0</v>
      </c>
      <c r="BB85" s="229">
        <f ca="1">IF(IFERROR(VLOOKUP($B85 &amp; $C85&amp;BB$4,tblForecast,BB$2,FALSE),0)=0,BA85,IFERROR(VLOOKUP($B85 &amp; $C85&amp;BB$4,tblForecast,BB$2,FALSE),0))</f>
        <v>0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883">CX85+BG85</f>
        <v>0</v>
      </c>
      <c r="BE85" s="193">
        <f t="shared" ca="1" si="773"/>
        <v>0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0</v>
      </c>
      <c r="BH85" s="178">
        <f ca="1">IF(Q85&lt;&gt;0,BA85/Q85,0)</f>
        <v>0</v>
      </c>
      <c r="BI85" s="182">
        <f ca="1">IF(T85&lt;&gt;0,BD85/T85,0)</f>
        <v>0</v>
      </c>
      <c r="BJ85" s="194">
        <f t="shared" ref="BJ85:BJ89" ca="1" si="884">IF(BA85&lt;&gt;0,Q85/BA85,0)</f>
        <v>0</v>
      </c>
      <c r="BK85" s="50">
        <f t="shared" ref="BK85:BK89" ca="1" si="885">IF(BD85&lt;&gt;0,T85/BD85,0)</f>
        <v>0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0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0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779"/>
        <v>0</v>
      </c>
      <c r="BS85" s="229">
        <f t="shared" ca="1" si="779"/>
        <v>0</v>
      </c>
      <c r="BT85" s="232">
        <f t="shared" ref="BT85:BU89" si="886">IFERROR(VLOOKUP($B85 &amp; $C85&amp;BT$4,tblForecast,BT$2,FALSE),0)</f>
        <v>0</v>
      </c>
      <c r="BU85" s="229">
        <f t="shared" si="886"/>
        <v>0</v>
      </c>
      <c r="BV85" s="229">
        <f>IF($A85="a",IFERROR(VLOOKUP($B85 &amp; $C85&amp;BV$4,tblForecast,BV$2,FALSE),0),BT85+BU85)</f>
        <v>0</v>
      </c>
      <c r="BW85" s="229">
        <f t="shared" ref="BW85:BX89" si="887">IFERROR(VLOOKUP($B85 &amp; $C85&amp;BW$4,tblForecast,BW$2,FALSE),0)</f>
        <v>0</v>
      </c>
      <c r="BX85" s="229">
        <f t="shared" si="887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774"/>
        <v>0</v>
      </c>
      <c r="CA85" s="330">
        <f t="shared" ref="CA85:CB89" si="888">IFERROR(VLOOKUP($B85 &amp; $C85&amp;CA$4,tblForecast,CA$2,FALSE),0)</f>
        <v>0</v>
      </c>
      <c r="CB85" s="46">
        <f t="shared" si="888"/>
        <v>0</v>
      </c>
      <c r="CC85" s="46">
        <f>IF($A85="a",IFERROR(VLOOKUP($B85 &amp; $C85&amp;CC$4,tblForecast,CC$2,FALSE),0),CA85+CB85)</f>
        <v>0</v>
      </c>
      <c r="CD85" s="46">
        <f t="shared" ref="CD85:CE89" si="889">IFERROR(VLOOKUP($B85 &amp; $C85&amp;CD$4,tblForecast,CD$2,FALSE),0)</f>
        <v>0</v>
      </c>
      <c r="CE85" s="46">
        <f t="shared" si="889"/>
        <v>0</v>
      </c>
      <c r="CF85" s="46">
        <f ca="1">SUMIFS(OFFSET(tblForecast,,CF$2,,1),OFFSET(tblForecast,,,,1),$B85-IF(CompareVer="LY",1,0)&amp; $C85 &amp;CF$4)</f>
        <v>0</v>
      </c>
      <c r="CG85" s="193">
        <f t="shared" ca="1" si="775"/>
        <v>0</v>
      </c>
      <c r="CH85" s="330">
        <f t="shared" ref="CH85:CI89" si="890">IFERROR(VLOOKUP($B85 &amp; $C85&amp;CH$4,tblForecast,CH$2,FALSE),0)</f>
        <v>0</v>
      </c>
      <c r="CI85" s="46">
        <f t="shared" si="890"/>
        <v>0</v>
      </c>
      <c r="CJ85" s="46">
        <f>IF($A85="a",IFERROR(VLOOKUP($B85 &amp; $C85&amp;CJ$4,tblForecast,CJ$2,FALSE),0),CH85+CI85)</f>
        <v>0</v>
      </c>
      <c r="CK85" s="46">
        <f t="shared" ref="CK85:CL89" si="891">IFERROR(VLOOKUP($B85 &amp; $C85&amp;CK$4,tblForecast,CK$2,FALSE),0)</f>
        <v>0</v>
      </c>
      <c r="CL85" s="46">
        <f t="shared" si="891"/>
        <v>0</v>
      </c>
      <c r="CM85" s="46">
        <f ca="1">SUMIFS(OFFSET(tblForecast,,CM$2,,1),OFFSET(tblForecast,,,,1),$B85-IF(CompareVer="LY",1,0)&amp; $C85 &amp;CM$4)</f>
        <v>0</v>
      </c>
      <c r="CN85" s="193">
        <f t="shared" ca="1" si="776"/>
        <v>0</v>
      </c>
      <c r="CO85" s="177">
        <f t="shared" si="823"/>
        <v>0</v>
      </c>
      <c r="CP85" s="221">
        <f t="shared" ca="1" si="823"/>
        <v>0</v>
      </c>
      <c r="CQ85" s="193">
        <f t="shared" ca="1" si="777"/>
        <v>0</v>
      </c>
      <c r="CR85" s="177">
        <f t="shared" si="780"/>
        <v>0</v>
      </c>
      <c r="CS85" s="221">
        <f t="shared" ca="1" si="780"/>
        <v>0</v>
      </c>
      <c r="CT85" s="193">
        <f t="shared" ca="1" si="824"/>
        <v>0</v>
      </c>
      <c r="CU85" s="44">
        <f t="shared" si="859"/>
        <v>0</v>
      </c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855"/>
        <v>0</v>
      </c>
      <c r="CZ85" s="276">
        <f>IFERROR(VLOOKUP(Brand&amp;Channel&amp;Country&amp;$C85,tblDiscount,6,FALSE),0)</f>
        <v>0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478</v>
      </c>
      <c r="B86" s="44">
        <v>2019</v>
      </c>
      <c r="C86" s="88">
        <v>6</v>
      </c>
      <c r="D86" s="51">
        <f t="shared" ref="D86:D89" si="892">G86*H86</f>
        <v>0</v>
      </c>
      <c r="E86" s="201">
        <f t="shared" ref="E86:E89" si="893">IFERROR(D86*F86,0)</f>
        <v>0</v>
      </c>
      <c r="F86" s="181">
        <f t="shared" si="783"/>
        <v>0</v>
      </c>
      <c r="G86" s="175">
        <f t="shared" si="874"/>
        <v>0</v>
      </c>
      <c r="H86" s="202">
        <f t="shared" si="874"/>
        <v>0</v>
      </c>
      <c r="I86" s="202">
        <f t="shared" si="874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875"/>
        <v>0</v>
      </c>
      <c r="N86" s="46">
        <f t="shared" si="875"/>
        <v>0</v>
      </c>
      <c r="O86" s="46">
        <f t="shared" ca="1" si="875"/>
        <v>0</v>
      </c>
      <c r="P86" s="47">
        <f t="shared" ca="1" si="778"/>
        <v>0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876"/>
        <v>0</v>
      </c>
      <c r="T86" s="238">
        <f ca="1">SUMIFS(OFFSET(tblForecast,,T$2,,1),OFFSET(tblForecast,,,,1),$B86-IF(CompareVer="LY",1,0)&amp; $C86 &amp;T$4)</f>
        <v>0</v>
      </c>
      <c r="U86" s="91">
        <f t="shared" ca="1" si="769"/>
        <v>0</v>
      </c>
      <c r="V86" s="247">
        <f t="shared" ref="V86:V89" ca="1" si="894">IFERROR(IF(Q85&lt;&gt;0,Q86/Q85,0),0)</f>
        <v>0</v>
      </c>
      <c r="W86" s="327">
        <f ca="1">IFERROR(IF(R85&lt;&gt;0,R86/R85,X86),0)</f>
        <v>0</v>
      </c>
      <c r="X86" s="248">
        <f t="shared" ref="X86:X89" ca="1" si="895">IFERROR(IF(T85&lt;&gt;0,T86/T85,0),0)</f>
        <v>0</v>
      </c>
      <c r="Y86" s="51">
        <f t="shared" ca="1" si="877"/>
        <v>0</v>
      </c>
      <c r="Z86" s="46">
        <f t="shared" si="877"/>
        <v>0</v>
      </c>
      <c r="AA86" s="46">
        <f t="shared" si="877"/>
        <v>0</v>
      </c>
      <c r="AB86" s="46">
        <f t="shared" ca="1" si="877"/>
        <v>0</v>
      </c>
      <c r="AC86" s="91">
        <f t="shared" ca="1" si="770"/>
        <v>0</v>
      </c>
      <c r="AD86" s="75">
        <f ca="1">IF(AM86&lt;&gt;0,1-AR86/AM86,0)</f>
        <v>0</v>
      </c>
      <c r="AE86" s="93">
        <f t="shared" si="878"/>
        <v>0</v>
      </c>
      <c r="AF86" s="93">
        <f t="shared" si="878"/>
        <v>0</v>
      </c>
      <c r="AG86" s="76">
        <f t="shared" ca="1" si="878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879"/>
        <v>0</v>
      </c>
      <c r="AJ86" s="94">
        <f t="shared" si="879"/>
        <v>0</v>
      </c>
      <c r="AK86" s="49">
        <f ca="1">IFERROR(CF86/BY86,0)</f>
        <v>0</v>
      </c>
      <c r="AL86" s="47">
        <f t="shared" ca="1" si="681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880"/>
        <v>0</v>
      </c>
      <c r="AO86" s="94">
        <f t="shared" si="880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771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881"/>
        <v>0</v>
      </c>
      <c r="AT86" s="94">
        <f t="shared" si="881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772"/>
        <v>0</v>
      </c>
      <c r="AW86" s="190">
        <f t="shared" ca="1" si="882"/>
        <v>0</v>
      </c>
      <c r="AX86" s="191">
        <f t="shared" si="882"/>
        <v>0</v>
      </c>
      <c r="AY86" s="191">
        <f t="shared" si="882"/>
        <v>0</v>
      </c>
      <c r="AZ86" s="191">
        <f t="shared" ca="1" si="882"/>
        <v>0</v>
      </c>
      <c r="BA86" s="233">
        <f ca="1">IF(BA85+BV86+BL86+BR86-Q86&lt;0,0,BA85+BV86+BL86+BR86-Q86)</f>
        <v>0</v>
      </c>
      <c r="BB86" s="229">
        <f ca="1">IF(IFERROR(VLOOKUP($B86 &amp; $C86&amp;BB$4,tblForecast,BB$2,FALSE),0)=0,BA86,IFERROR(VLOOKUP($B86 &amp; $C86&amp;BB$4,tblForecast,BB$2,FALSE),0))</f>
        <v>0</v>
      </c>
      <c r="BC86" s="229">
        <f ca="1">SUMIFS(OFFSET(tblForecast,,BC$2,,1),OFFSET(tblForecast,,,,1),$B86-IF(CompareVer="LY",1,0)&amp; $C86 &amp;BC$4)</f>
        <v>0</v>
      </c>
      <c r="BD86" s="229">
        <f t="shared" ca="1" si="883"/>
        <v>0</v>
      </c>
      <c r="BE86" s="193">
        <f t="shared" ca="1" si="773"/>
        <v>0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0</v>
      </c>
      <c r="BH86" s="178">
        <f ca="1">IF(Q86&lt;&gt;0,BA86/Q86,0)</f>
        <v>0</v>
      </c>
      <c r="BI86" s="182">
        <f ca="1">IF(T86&lt;&gt;0,BD86/T86,0)</f>
        <v>0</v>
      </c>
      <c r="BJ86" s="194">
        <f t="shared" ca="1" si="884"/>
        <v>0</v>
      </c>
      <c r="BK86" s="50">
        <f t="shared" ca="1" si="885"/>
        <v>0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0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0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0</v>
      </c>
      <c r="BR86" s="225">
        <f t="shared" si="779"/>
        <v>0</v>
      </c>
      <c r="BS86" s="229">
        <f t="shared" ca="1" si="779"/>
        <v>0</v>
      </c>
      <c r="BT86" s="232">
        <f t="shared" si="886"/>
        <v>0</v>
      </c>
      <c r="BU86" s="229">
        <f t="shared" si="886"/>
        <v>0</v>
      </c>
      <c r="BV86" s="229">
        <f>IF($A86="a",IFERROR(VLOOKUP($B86 &amp; $C86&amp;BV$4,tblForecast,BV$2,FALSE),0),BT86+BU86)</f>
        <v>0</v>
      </c>
      <c r="BW86" s="229">
        <f t="shared" si="887"/>
        <v>0</v>
      </c>
      <c r="BX86" s="229">
        <f t="shared" si="887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774"/>
        <v>0</v>
      </c>
      <c r="CA86" s="330">
        <f t="shared" si="888"/>
        <v>0</v>
      </c>
      <c r="CB86" s="46">
        <f t="shared" si="888"/>
        <v>0</v>
      </c>
      <c r="CC86" s="46">
        <f>IF($A86="a",IFERROR(VLOOKUP($B86 &amp; $C86&amp;CC$4,tblForecast,CC$2,FALSE),0),CA86+CB86)</f>
        <v>0</v>
      </c>
      <c r="CD86" s="46">
        <f t="shared" si="889"/>
        <v>0</v>
      </c>
      <c r="CE86" s="46">
        <f t="shared" si="889"/>
        <v>0</v>
      </c>
      <c r="CF86" s="46">
        <f ca="1">SUMIFS(OFFSET(tblForecast,,CF$2,,1),OFFSET(tblForecast,,,,1),$B86-IF(CompareVer="LY",1,0)&amp; $C86 &amp;CF$4)</f>
        <v>0</v>
      </c>
      <c r="CG86" s="193">
        <f t="shared" ca="1" si="775"/>
        <v>0</v>
      </c>
      <c r="CH86" s="330">
        <f t="shared" si="890"/>
        <v>0</v>
      </c>
      <c r="CI86" s="46">
        <f t="shared" si="890"/>
        <v>0</v>
      </c>
      <c r="CJ86" s="46">
        <f>IF($A86="a",IFERROR(VLOOKUP($B86 &amp; $C86&amp;CJ$4,tblForecast,CJ$2,FALSE),0),CH86+CI86)</f>
        <v>0</v>
      </c>
      <c r="CK86" s="46">
        <f t="shared" si="891"/>
        <v>0</v>
      </c>
      <c r="CL86" s="46">
        <f t="shared" si="891"/>
        <v>0</v>
      </c>
      <c r="CM86" s="46">
        <f ca="1">SUMIFS(OFFSET(tblForecast,,CM$2,,1),OFFSET(tblForecast,,,,1),$B86-IF(CompareVer="LY",1,0)&amp; $C86 &amp;CM$4)</f>
        <v>0</v>
      </c>
      <c r="CN86" s="193">
        <f t="shared" ca="1" si="776"/>
        <v>0</v>
      </c>
      <c r="CO86" s="177">
        <f t="shared" si="823"/>
        <v>0</v>
      </c>
      <c r="CP86" s="221">
        <f t="shared" ca="1" si="823"/>
        <v>0</v>
      </c>
      <c r="CQ86" s="193">
        <f t="shared" ca="1" si="777"/>
        <v>0</v>
      </c>
      <c r="CR86" s="177">
        <f t="shared" si="780"/>
        <v>0</v>
      </c>
      <c r="CS86" s="221">
        <f t="shared" ca="1" si="780"/>
        <v>0</v>
      </c>
      <c r="CT86" s="193">
        <f t="shared" ca="1" si="824"/>
        <v>0</v>
      </c>
      <c r="CU86" s="44">
        <f t="shared" si="859"/>
        <v>0</v>
      </c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855"/>
        <v>0</v>
      </c>
      <c r="CZ86" s="276">
        <f>IFERROR(VLOOKUP(Brand&amp;Channel&amp;Country&amp;$C86,tblDiscount,6,FALSE),0)</f>
        <v>0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478</v>
      </c>
      <c r="B87" s="44">
        <v>2019</v>
      </c>
      <c r="C87" s="88">
        <v>7</v>
      </c>
      <c r="D87" s="51">
        <f t="shared" si="892"/>
        <v>0</v>
      </c>
      <c r="E87" s="201">
        <f t="shared" si="893"/>
        <v>0</v>
      </c>
      <c r="F87" s="181">
        <f t="shared" si="783"/>
        <v>0</v>
      </c>
      <c r="G87" s="175">
        <f t="shared" si="874"/>
        <v>0</v>
      </c>
      <c r="H87" s="202">
        <f t="shared" si="874"/>
        <v>0</v>
      </c>
      <c r="I87" s="202">
        <f t="shared" si="874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875"/>
        <v>0</v>
      </c>
      <c r="N87" s="46">
        <f t="shared" si="875"/>
        <v>0</v>
      </c>
      <c r="O87" s="46">
        <f t="shared" ca="1" si="875"/>
        <v>0</v>
      </c>
      <c r="P87" s="47">
        <f t="shared" ca="1" si="778"/>
        <v>0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876"/>
        <v>0</v>
      </c>
      <c r="T87" s="238">
        <f ca="1">SUMIFS(OFFSET(tblForecast,,T$2,,1),OFFSET(tblForecast,,,,1),$B87-IF(CompareVer="LY",1,0)&amp; $C87 &amp;T$4)</f>
        <v>0</v>
      </c>
      <c r="U87" s="91">
        <f t="shared" ca="1" si="769"/>
        <v>0</v>
      </c>
      <c r="V87" s="247">
        <f t="shared" ca="1" si="894"/>
        <v>0</v>
      </c>
      <c r="W87" s="327">
        <f ca="1">IFERROR(IF(R86&lt;&gt;0,R87/R86,X87),0)</f>
        <v>0</v>
      </c>
      <c r="X87" s="248">
        <f t="shared" ca="1" si="895"/>
        <v>0</v>
      </c>
      <c r="Y87" s="51">
        <f t="shared" ca="1" si="877"/>
        <v>0</v>
      </c>
      <c r="Z87" s="46">
        <f t="shared" si="877"/>
        <v>0</v>
      </c>
      <c r="AA87" s="46">
        <f t="shared" si="877"/>
        <v>0</v>
      </c>
      <c r="AB87" s="46">
        <f t="shared" ca="1" si="877"/>
        <v>0</v>
      </c>
      <c r="AC87" s="91">
        <f t="shared" ca="1" si="770"/>
        <v>0</v>
      </c>
      <c r="AD87" s="75">
        <f ca="1">IF(AM87&lt;&gt;0,1-AR87/AM87,0)</f>
        <v>0</v>
      </c>
      <c r="AE87" s="93">
        <f t="shared" si="878"/>
        <v>0</v>
      </c>
      <c r="AF87" s="93">
        <f t="shared" si="878"/>
        <v>0</v>
      </c>
      <c r="AG87" s="76">
        <f t="shared" ca="1" si="878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879"/>
        <v>0</v>
      </c>
      <c r="AJ87" s="94">
        <f t="shared" si="879"/>
        <v>0</v>
      </c>
      <c r="AK87" s="49">
        <f ca="1">IFERROR(CF87/BY87,0)</f>
        <v>0</v>
      </c>
      <c r="AL87" s="47">
        <f t="shared" ca="1" si="681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880"/>
        <v>0</v>
      </c>
      <c r="AO87" s="94">
        <f t="shared" si="880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771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881"/>
        <v>0</v>
      </c>
      <c r="AT87" s="94">
        <f t="shared" si="881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772"/>
        <v>0</v>
      </c>
      <c r="AW87" s="190">
        <f t="shared" ca="1" si="882"/>
        <v>0</v>
      </c>
      <c r="AX87" s="191">
        <f t="shared" si="882"/>
        <v>0</v>
      </c>
      <c r="AY87" s="191">
        <f t="shared" si="882"/>
        <v>0</v>
      </c>
      <c r="AZ87" s="191">
        <f t="shared" ca="1" si="882"/>
        <v>0</v>
      </c>
      <c r="BA87" s="233">
        <f ca="1">IF(BA86+BV87+BL87+BR87-Q87&lt;0,0,BA86+BV87+BL87+BR87-Q87)</f>
        <v>0</v>
      </c>
      <c r="BB87" s="229">
        <f ca="1">IF(IFERROR(VLOOKUP($B87 &amp; $C87&amp;BB$4,tblForecast,BB$2,FALSE),0)=0,BA87,IFERROR(VLOOKUP($B87 &amp; $C87&amp;BB$4,tblForecast,BB$2,FALSE),0))</f>
        <v>0</v>
      </c>
      <c r="BC87" s="229">
        <f ca="1">SUMIFS(OFFSET(tblForecast,,BC$2,,1),OFFSET(tblForecast,,,,1),$B87-IF(CompareVer="LY",1,0)&amp; $C87 &amp;BC$4)</f>
        <v>0</v>
      </c>
      <c r="BD87" s="229">
        <f t="shared" ca="1" si="883"/>
        <v>0</v>
      </c>
      <c r="BE87" s="193">
        <f t="shared" ca="1" si="773"/>
        <v>0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0</v>
      </c>
      <c r="BH87" s="178">
        <f ca="1">IF(Q87&lt;&gt;0,BA87/Q87,0)</f>
        <v>0</v>
      </c>
      <c r="BI87" s="182">
        <f ca="1">IF(T87&lt;&gt;0,BD87/T87,0)</f>
        <v>0</v>
      </c>
      <c r="BJ87" s="194">
        <f t="shared" ca="1" si="884"/>
        <v>0</v>
      </c>
      <c r="BK87" s="50">
        <f t="shared" ca="1" si="885"/>
        <v>0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0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0</v>
      </c>
      <c r="BR87" s="225">
        <f t="shared" si="779"/>
        <v>0</v>
      </c>
      <c r="BS87" s="229">
        <f t="shared" ca="1" si="779"/>
        <v>0</v>
      </c>
      <c r="BT87" s="232">
        <f t="shared" si="886"/>
        <v>0</v>
      </c>
      <c r="BU87" s="229">
        <f t="shared" si="886"/>
        <v>0</v>
      </c>
      <c r="BV87" s="229">
        <f>IF($A87="a",IFERROR(VLOOKUP($B87 &amp; $C87&amp;BV$4,tblForecast,BV$2,FALSE),0),BT87+BU87)</f>
        <v>0</v>
      </c>
      <c r="BW87" s="229">
        <f t="shared" si="887"/>
        <v>0</v>
      </c>
      <c r="BX87" s="229">
        <f t="shared" si="887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774"/>
        <v>0</v>
      </c>
      <c r="CA87" s="330">
        <f t="shared" si="888"/>
        <v>0</v>
      </c>
      <c r="CB87" s="46">
        <f t="shared" si="888"/>
        <v>0</v>
      </c>
      <c r="CC87" s="46">
        <f>IF($A87="a",IFERROR(VLOOKUP($B87 &amp; $C87&amp;CC$4,tblForecast,CC$2,FALSE),0),CA87+CB87)</f>
        <v>0</v>
      </c>
      <c r="CD87" s="46">
        <f t="shared" si="889"/>
        <v>0</v>
      </c>
      <c r="CE87" s="46">
        <f t="shared" si="889"/>
        <v>0</v>
      </c>
      <c r="CF87" s="46">
        <f ca="1">SUMIFS(OFFSET(tblForecast,,CF$2,,1),OFFSET(tblForecast,,,,1),$B87-IF(CompareVer="LY",1,0)&amp; $C87 &amp;CF$4)</f>
        <v>0</v>
      </c>
      <c r="CG87" s="193">
        <f t="shared" ca="1" si="775"/>
        <v>0</v>
      </c>
      <c r="CH87" s="330">
        <f t="shared" si="890"/>
        <v>0</v>
      </c>
      <c r="CI87" s="46">
        <f t="shared" si="890"/>
        <v>0</v>
      </c>
      <c r="CJ87" s="46">
        <f>IF($A87="a",IFERROR(VLOOKUP($B87 &amp; $C87&amp;CJ$4,tblForecast,CJ$2,FALSE),0),CH87+CI87)</f>
        <v>0</v>
      </c>
      <c r="CK87" s="46">
        <f t="shared" si="891"/>
        <v>0</v>
      </c>
      <c r="CL87" s="46">
        <f t="shared" si="891"/>
        <v>0</v>
      </c>
      <c r="CM87" s="46">
        <f ca="1">SUMIFS(OFFSET(tblForecast,,CM$2,,1),OFFSET(tblForecast,,,,1),$B87-IF(CompareVer="LY",1,0)&amp; $C87 &amp;CM$4)</f>
        <v>0</v>
      </c>
      <c r="CN87" s="193">
        <f t="shared" ca="1" si="776"/>
        <v>0</v>
      </c>
      <c r="CO87" s="177">
        <f t="shared" si="823"/>
        <v>0</v>
      </c>
      <c r="CP87" s="221">
        <f t="shared" ca="1" si="823"/>
        <v>0</v>
      </c>
      <c r="CQ87" s="193">
        <f t="shared" ca="1" si="777"/>
        <v>0</v>
      </c>
      <c r="CR87" s="177">
        <f t="shared" si="780"/>
        <v>0</v>
      </c>
      <c r="CS87" s="221">
        <f t="shared" ca="1" si="780"/>
        <v>0</v>
      </c>
      <c r="CT87" s="193">
        <f t="shared" ca="1" si="824"/>
        <v>0</v>
      </c>
      <c r="CU87" s="44">
        <f t="shared" si="859"/>
        <v>0</v>
      </c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855"/>
        <v>0</v>
      </c>
      <c r="CZ87" s="276">
        <f>IFERROR(VLOOKUP(Brand&amp;Channel&amp;Country&amp;$C87,tblDiscount,6,FALSE),0)</f>
        <v>0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478</v>
      </c>
      <c r="B88" s="44">
        <v>2019</v>
      </c>
      <c r="C88" s="88">
        <v>8</v>
      </c>
      <c r="D88" s="51">
        <f t="shared" si="892"/>
        <v>0</v>
      </c>
      <c r="E88" s="201">
        <f t="shared" si="893"/>
        <v>0</v>
      </c>
      <c r="F88" s="181">
        <f t="shared" si="783"/>
        <v>0</v>
      </c>
      <c r="G88" s="175">
        <f t="shared" si="874"/>
        <v>0</v>
      </c>
      <c r="H88" s="202">
        <f t="shared" si="874"/>
        <v>0</v>
      </c>
      <c r="I88" s="202">
        <f t="shared" si="874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875"/>
        <v>0</v>
      </c>
      <c r="N88" s="46">
        <f t="shared" si="875"/>
        <v>0</v>
      </c>
      <c r="O88" s="46">
        <f t="shared" ca="1" si="875"/>
        <v>0</v>
      </c>
      <c r="P88" s="47">
        <f t="shared" ca="1" si="778"/>
        <v>0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876"/>
        <v>0</v>
      </c>
      <c r="T88" s="238">
        <f ca="1">SUMIFS(OFFSET(tblForecast,,T$2,,1),OFFSET(tblForecast,,,,1),$B88-IF(CompareVer="LY",1,0)&amp; $C88 &amp;T$4)</f>
        <v>0</v>
      </c>
      <c r="U88" s="91">
        <f t="shared" ca="1" si="769"/>
        <v>0</v>
      </c>
      <c r="V88" s="247">
        <f t="shared" ca="1" si="894"/>
        <v>0</v>
      </c>
      <c r="W88" s="327">
        <f ca="1">IFERROR(IF(R87&lt;&gt;0,R88/R87,X88),0)</f>
        <v>0</v>
      </c>
      <c r="X88" s="248">
        <f t="shared" ca="1" si="895"/>
        <v>0</v>
      </c>
      <c r="Y88" s="51">
        <f t="shared" ca="1" si="877"/>
        <v>0</v>
      </c>
      <c r="Z88" s="46">
        <f t="shared" si="877"/>
        <v>0</v>
      </c>
      <c r="AA88" s="46">
        <f t="shared" si="877"/>
        <v>0</v>
      </c>
      <c r="AB88" s="46">
        <f t="shared" ca="1" si="877"/>
        <v>0</v>
      </c>
      <c r="AC88" s="91">
        <f t="shared" ca="1" si="770"/>
        <v>0</v>
      </c>
      <c r="AD88" s="75">
        <f ca="1">IF(AM88&lt;&gt;0,1-AR88/AM88,0)</f>
        <v>0</v>
      </c>
      <c r="AE88" s="93">
        <f t="shared" si="878"/>
        <v>0</v>
      </c>
      <c r="AF88" s="93">
        <f t="shared" si="878"/>
        <v>0</v>
      </c>
      <c r="AG88" s="76">
        <f t="shared" ca="1" si="878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879"/>
        <v>0</v>
      </c>
      <c r="AJ88" s="94">
        <f t="shared" si="879"/>
        <v>0</v>
      </c>
      <c r="AK88" s="49">
        <f ca="1">IFERROR(CF88/BY88,0)</f>
        <v>0</v>
      </c>
      <c r="AL88" s="47">
        <f t="shared" ca="1" si="681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880"/>
        <v>0</v>
      </c>
      <c r="AO88" s="94">
        <f t="shared" si="880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771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881"/>
        <v>0</v>
      </c>
      <c r="AT88" s="94">
        <f t="shared" si="881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772"/>
        <v>0</v>
      </c>
      <c r="AW88" s="190">
        <f t="shared" ca="1" si="882"/>
        <v>0</v>
      </c>
      <c r="AX88" s="191">
        <f t="shared" si="882"/>
        <v>0</v>
      </c>
      <c r="AY88" s="191">
        <f t="shared" si="882"/>
        <v>0</v>
      </c>
      <c r="AZ88" s="191">
        <f t="shared" ca="1" si="882"/>
        <v>0</v>
      </c>
      <c r="BA88" s="233">
        <f ca="1">IF(BA87+BV88+BL88+BR88-Q88&lt;0,0,BA87+BV88+BL88+BR88-Q88)</f>
        <v>0</v>
      </c>
      <c r="BB88" s="229">
        <f ca="1">IF(IFERROR(VLOOKUP($B88 &amp; $C88&amp;BB$4,tblForecast,BB$2,FALSE),0)=0,BA88,IFERROR(VLOOKUP($B88 &amp; $C88&amp;BB$4,tblForecast,BB$2,FALSE),0))</f>
        <v>0</v>
      </c>
      <c r="BC88" s="229">
        <f ca="1">SUMIFS(OFFSET(tblForecast,,BC$2,,1),OFFSET(tblForecast,,,,1),$B88-IF(CompareVer="LY",1,0)&amp; $C88 &amp;BC$4)</f>
        <v>0</v>
      </c>
      <c r="BD88" s="229">
        <f t="shared" ca="1" si="883"/>
        <v>0</v>
      </c>
      <c r="BE88" s="193">
        <f t="shared" ca="1" si="773"/>
        <v>0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0</v>
      </c>
      <c r="BH88" s="178">
        <f ca="1">IF(Q88&lt;&gt;0,BA88/Q88,0)</f>
        <v>0</v>
      </c>
      <c r="BI88" s="182">
        <f ca="1">IF(T88&lt;&gt;0,BD88/T88,0)</f>
        <v>0</v>
      </c>
      <c r="BJ88" s="194">
        <f t="shared" ca="1" si="884"/>
        <v>0</v>
      </c>
      <c r="BK88" s="50">
        <f t="shared" ca="1" si="885"/>
        <v>0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0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0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0</v>
      </c>
      <c r="BR88" s="225">
        <f t="shared" si="779"/>
        <v>0</v>
      </c>
      <c r="BS88" s="229">
        <f t="shared" ca="1" si="779"/>
        <v>0</v>
      </c>
      <c r="BT88" s="232">
        <f t="shared" si="886"/>
        <v>0</v>
      </c>
      <c r="BU88" s="229">
        <f t="shared" si="886"/>
        <v>0</v>
      </c>
      <c r="BV88" s="229">
        <f>IF($A88="a",IFERROR(VLOOKUP($B88 &amp; $C88&amp;BV$4,tblForecast,BV$2,FALSE),0),BT88+BU88)</f>
        <v>0</v>
      </c>
      <c r="BW88" s="229">
        <f t="shared" si="887"/>
        <v>0</v>
      </c>
      <c r="BX88" s="229">
        <f t="shared" si="887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774"/>
        <v>0</v>
      </c>
      <c r="CA88" s="330">
        <f t="shared" si="888"/>
        <v>0</v>
      </c>
      <c r="CB88" s="46">
        <f t="shared" si="888"/>
        <v>0</v>
      </c>
      <c r="CC88" s="46">
        <f>IF($A88="a",IFERROR(VLOOKUP($B88 &amp; $C88&amp;CC$4,tblForecast,CC$2,FALSE),0),CA88+CB88)</f>
        <v>0</v>
      </c>
      <c r="CD88" s="46">
        <f t="shared" si="889"/>
        <v>0</v>
      </c>
      <c r="CE88" s="46">
        <f t="shared" si="889"/>
        <v>0</v>
      </c>
      <c r="CF88" s="46">
        <f ca="1">SUMIFS(OFFSET(tblForecast,,CF$2,,1),OFFSET(tblForecast,,,,1),$B88-IF(CompareVer="LY",1,0)&amp; $C88 &amp;CF$4)</f>
        <v>0</v>
      </c>
      <c r="CG88" s="193">
        <f t="shared" ca="1" si="775"/>
        <v>0</v>
      </c>
      <c r="CH88" s="330">
        <f t="shared" si="890"/>
        <v>0</v>
      </c>
      <c r="CI88" s="46">
        <f t="shared" si="890"/>
        <v>0</v>
      </c>
      <c r="CJ88" s="46">
        <f>IF($A88="a",IFERROR(VLOOKUP($B88 &amp; $C88&amp;CJ$4,tblForecast,CJ$2,FALSE),0),CH88+CI88)</f>
        <v>0</v>
      </c>
      <c r="CK88" s="46">
        <f t="shared" si="891"/>
        <v>0</v>
      </c>
      <c r="CL88" s="46">
        <f t="shared" si="891"/>
        <v>0</v>
      </c>
      <c r="CM88" s="46">
        <f ca="1">SUMIFS(OFFSET(tblForecast,,CM$2,,1),OFFSET(tblForecast,,,,1),$B88-IF(CompareVer="LY",1,0)&amp; $C88 &amp;CM$4)</f>
        <v>0</v>
      </c>
      <c r="CN88" s="193">
        <f t="shared" ca="1" si="776"/>
        <v>0</v>
      </c>
      <c r="CO88" s="177">
        <f t="shared" si="823"/>
        <v>0</v>
      </c>
      <c r="CP88" s="221">
        <f t="shared" ca="1" si="823"/>
        <v>0</v>
      </c>
      <c r="CQ88" s="193">
        <f t="shared" ca="1" si="777"/>
        <v>0</v>
      </c>
      <c r="CR88" s="177">
        <f t="shared" si="780"/>
        <v>0</v>
      </c>
      <c r="CS88" s="221">
        <f t="shared" ca="1" si="780"/>
        <v>0</v>
      </c>
      <c r="CT88" s="193">
        <f t="shared" ca="1" si="824"/>
        <v>0</v>
      </c>
      <c r="CU88" s="44">
        <f t="shared" si="859"/>
        <v>0</v>
      </c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855"/>
        <v>0</v>
      </c>
      <c r="CZ88" s="276">
        <f>IFERROR(VLOOKUP(Brand&amp;Channel&amp;Country&amp;$C88,tblDiscount,6,FALSE),0)</f>
        <v>0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478</v>
      </c>
      <c r="B89" s="44">
        <v>2019</v>
      </c>
      <c r="C89" s="88">
        <v>9</v>
      </c>
      <c r="D89" s="51">
        <f t="shared" si="892"/>
        <v>0</v>
      </c>
      <c r="E89" s="201">
        <f t="shared" si="893"/>
        <v>0</v>
      </c>
      <c r="F89" s="181">
        <f t="shared" si="783"/>
        <v>0</v>
      </c>
      <c r="G89" s="175">
        <f t="shared" si="874"/>
        <v>0</v>
      </c>
      <c r="H89" s="202">
        <f t="shared" si="874"/>
        <v>0</v>
      </c>
      <c r="I89" s="202">
        <f t="shared" si="874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875"/>
        <v>0</v>
      </c>
      <c r="N89" s="46">
        <f t="shared" si="875"/>
        <v>0</v>
      </c>
      <c r="O89" s="46">
        <f t="shared" ca="1" si="875"/>
        <v>0</v>
      </c>
      <c r="P89" s="47">
        <f t="shared" ca="1" si="778"/>
        <v>0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876"/>
        <v>0</v>
      </c>
      <c r="T89" s="238">
        <f ca="1">SUMIFS(OFFSET(tblForecast,,T$2,,1),OFFSET(tblForecast,,,,1),$B89-IF(CompareVer="LY",1,0)&amp; $C89 &amp;T$4)</f>
        <v>0</v>
      </c>
      <c r="U89" s="91">
        <f t="shared" ca="1" si="769"/>
        <v>0</v>
      </c>
      <c r="V89" s="247">
        <f t="shared" ca="1" si="894"/>
        <v>0</v>
      </c>
      <c r="W89" s="327">
        <f ca="1">IFERROR(IF(R88&lt;&gt;0,R89/R88,X89),0)</f>
        <v>0</v>
      </c>
      <c r="X89" s="248">
        <f t="shared" ca="1" si="895"/>
        <v>0</v>
      </c>
      <c r="Y89" s="51">
        <f t="shared" ca="1" si="877"/>
        <v>0</v>
      </c>
      <c r="Z89" s="46">
        <f t="shared" si="877"/>
        <v>0</v>
      </c>
      <c r="AA89" s="46">
        <f t="shared" si="877"/>
        <v>0</v>
      </c>
      <c r="AB89" s="46">
        <f t="shared" ca="1" si="877"/>
        <v>0</v>
      </c>
      <c r="AC89" s="91">
        <f t="shared" ca="1" si="770"/>
        <v>0</v>
      </c>
      <c r="AD89" s="75">
        <f ca="1">IF(AM89&lt;&gt;0,1-AR89/AM89,0)</f>
        <v>0</v>
      </c>
      <c r="AE89" s="93">
        <f t="shared" si="878"/>
        <v>0</v>
      </c>
      <c r="AF89" s="93">
        <f t="shared" si="878"/>
        <v>0</v>
      </c>
      <c r="AG89" s="76">
        <f t="shared" ca="1" si="878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879"/>
        <v>0</v>
      </c>
      <c r="AJ89" s="94">
        <f t="shared" si="879"/>
        <v>0</v>
      </c>
      <c r="AK89" s="49">
        <f ca="1">IFERROR(CF89/BY89,0)</f>
        <v>0</v>
      </c>
      <c r="AL89" s="47">
        <f t="shared" ca="1" si="681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880"/>
        <v>0</v>
      </c>
      <c r="AO89" s="94">
        <f t="shared" si="880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771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881"/>
        <v>0</v>
      </c>
      <c r="AT89" s="94">
        <f t="shared" si="881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772"/>
        <v>0</v>
      </c>
      <c r="AW89" s="190">
        <f t="shared" ca="1" si="882"/>
        <v>0</v>
      </c>
      <c r="AX89" s="191">
        <f t="shared" si="882"/>
        <v>0</v>
      </c>
      <c r="AY89" s="191">
        <f t="shared" si="882"/>
        <v>0</v>
      </c>
      <c r="AZ89" s="191">
        <f t="shared" ca="1" si="882"/>
        <v>0</v>
      </c>
      <c r="BA89" s="233">
        <f ca="1">IF(BA88+BV89+BL89+BR89-Q89&lt;0,0,BA88+BV89+BL89+BR89-Q89)</f>
        <v>0</v>
      </c>
      <c r="BB89" s="229">
        <f ca="1">IF(IFERROR(VLOOKUP($B89 &amp; $C89&amp;BB$4,tblForecast,BB$2,FALSE),0)=0,BA89,IFERROR(VLOOKUP($B89 &amp; $C89&amp;BB$4,tblForecast,BB$2,FALSE),0))</f>
        <v>0</v>
      </c>
      <c r="BC89" s="229">
        <f ca="1">SUMIFS(OFFSET(tblForecast,,BC$2,,1),OFFSET(tblForecast,,,,1),$B89-IF(CompareVer="LY",1,0)&amp; $C89 &amp;BC$4)</f>
        <v>0</v>
      </c>
      <c r="BD89" s="229">
        <f t="shared" ca="1" si="883"/>
        <v>0</v>
      </c>
      <c r="BE89" s="193">
        <f t="shared" ca="1" si="773"/>
        <v>0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0</v>
      </c>
      <c r="BH89" s="178">
        <f ca="1">IF(Q89&lt;&gt;0,BA89/Q89,0)</f>
        <v>0</v>
      </c>
      <c r="BI89" s="182">
        <f ca="1">IF(T89&lt;&gt;0,BD89/T89,0)</f>
        <v>0</v>
      </c>
      <c r="BJ89" s="194">
        <f t="shared" ca="1" si="884"/>
        <v>0</v>
      </c>
      <c r="BK89" s="50">
        <f t="shared" ca="1" si="885"/>
        <v>0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0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0</v>
      </c>
      <c r="BR89" s="225">
        <f t="shared" si="779"/>
        <v>0</v>
      </c>
      <c r="BS89" s="229">
        <f t="shared" ca="1" si="779"/>
        <v>0</v>
      </c>
      <c r="BT89" s="232">
        <f t="shared" si="886"/>
        <v>0</v>
      </c>
      <c r="BU89" s="229">
        <f t="shared" si="886"/>
        <v>0</v>
      </c>
      <c r="BV89" s="229">
        <f>IF($A89="a",IFERROR(VLOOKUP($B89 &amp; $C89&amp;BV$4,tblForecast,BV$2,FALSE),0),BT89+BU89)</f>
        <v>0</v>
      </c>
      <c r="BW89" s="229">
        <f t="shared" si="887"/>
        <v>0</v>
      </c>
      <c r="BX89" s="229">
        <f t="shared" si="887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774"/>
        <v>0</v>
      </c>
      <c r="CA89" s="330">
        <f t="shared" si="888"/>
        <v>0</v>
      </c>
      <c r="CB89" s="46">
        <f t="shared" si="888"/>
        <v>0</v>
      </c>
      <c r="CC89" s="46">
        <f>IF($A89="a",IFERROR(VLOOKUP($B89 &amp; $C89&amp;CC$4,tblForecast,CC$2,FALSE),0),CA89+CB89)</f>
        <v>0</v>
      </c>
      <c r="CD89" s="46">
        <f t="shared" si="889"/>
        <v>0</v>
      </c>
      <c r="CE89" s="46">
        <f t="shared" si="889"/>
        <v>0</v>
      </c>
      <c r="CF89" s="46">
        <f ca="1">SUMIFS(OFFSET(tblForecast,,CF$2,,1),OFFSET(tblForecast,,,,1),$B89-IF(CompareVer="LY",1,0)&amp; $C89 &amp;CF$4)</f>
        <v>0</v>
      </c>
      <c r="CG89" s="193">
        <f t="shared" ca="1" si="775"/>
        <v>0</v>
      </c>
      <c r="CH89" s="330">
        <f t="shared" si="890"/>
        <v>0</v>
      </c>
      <c r="CI89" s="46">
        <f t="shared" si="890"/>
        <v>0</v>
      </c>
      <c r="CJ89" s="46">
        <f>IF($A89="a",IFERROR(VLOOKUP($B89 &amp; $C89&amp;CJ$4,tblForecast,CJ$2,FALSE),0),CH89+CI89)</f>
        <v>0</v>
      </c>
      <c r="CK89" s="46">
        <f t="shared" si="891"/>
        <v>0</v>
      </c>
      <c r="CL89" s="46">
        <f t="shared" si="891"/>
        <v>0</v>
      </c>
      <c r="CM89" s="46">
        <f ca="1">SUMIFS(OFFSET(tblForecast,,CM$2,,1),OFFSET(tblForecast,,,,1),$B89-IF(CompareVer="LY",1,0)&amp; $C89 &amp;CM$4)</f>
        <v>0</v>
      </c>
      <c r="CN89" s="193">
        <f t="shared" ca="1" si="776"/>
        <v>0</v>
      </c>
      <c r="CO89" s="177">
        <f t="shared" si="823"/>
        <v>0</v>
      </c>
      <c r="CP89" s="221">
        <f t="shared" ca="1" si="823"/>
        <v>0</v>
      </c>
      <c r="CQ89" s="193">
        <f t="shared" ca="1" si="777"/>
        <v>0</v>
      </c>
      <c r="CR89" s="177">
        <f t="shared" si="780"/>
        <v>0</v>
      </c>
      <c r="CS89" s="221">
        <f t="shared" ca="1" si="780"/>
        <v>0</v>
      </c>
      <c r="CT89" s="193">
        <f t="shared" ca="1" si="824"/>
        <v>0</v>
      </c>
      <c r="CU89" s="44">
        <f t="shared" si="859"/>
        <v>0</v>
      </c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855"/>
        <v>0</v>
      </c>
      <c r="CZ89" s="276">
        <f>IFERROR(VLOOKUP(Brand&amp;Channel&amp;Country&amp;$C89,tblDiscount,6,FALSE),0)</f>
        <v>0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7" t="s">
        <v>21</v>
      </c>
      <c r="D90" s="348">
        <f>SUM(D85:D89)</f>
        <v>0</v>
      </c>
      <c r="E90" s="349">
        <f>SUM(E85:E89)</f>
        <v>0</v>
      </c>
      <c r="F90" s="350">
        <f t="shared" si="783"/>
        <v>0</v>
      </c>
      <c r="G90" s="351">
        <f>SUM(G85:G89)</f>
        <v>0</v>
      </c>
      <c r="H90" s="352">
        <f>IFERROR(D90/G90,0)</f>
        <v>0</v>
      </c>
      <c r="I90" s="352">
        <f>IFERROR(SUMPRODUCT(I85:I89,G85:G89)/G90,0)</f>
        <v>0</v>
      </c>
      <c r="J90" s="351">
        <f>SUM(J85:J89)</f>
        <v>0</v>
      </c>
      <c r="K90" s="353">
        <f>SUM(K85:K89)</f>
        <v>0</v>
      </c>
      <c r="L90" s="354">
        <f ca="1">SUM(L85:L89)</f>
        <v>0</v>
      </c>
      <c r="M90" s="354">
        <f t="shared" ref="M90:O90" si="896">SUM(M85:M89)</f>
        <v>0</v>
      </c>
      <c r="N90" s="354">
        <f t="shared" si="896"/>
        <v>0</v>
      </c>
      <c r="O90" s="354">
        <f t="shared" ca="1" si="896"/>
        <v>0</v>
      </c>
      <c r="P90" s="355">
        <f t="shared" ca="1" si="778"/>
        <v>0</v>
      </c>
      <c r="Q90" s="356">
        <f t="shared" ref="Q90" ca="1" si="897">SUM(Q85:Q89)</f>
        <v>0</v>
      </c>
      <c r="R90" s="356">
        <f t="shared" ref="R90:S90" si="898">SUM(R85:R89)</f>
        <v>0</v>
      </c>
      <c r="S90" s="356">
        <f t="shared" si="898"/>
        <v>0</v>
      </c>
      <c r="T90" s="356">
        <f ca="1">SUM(T85:T89)</f>
        <v>0</v>
      </c>
      <c r="U90" s="355">
        <f t="shared" ca="1" si="769"/>
        <v>0</v>
      </c>
      <c r="V90" s="357">
        <f ca="1">V89</f>
        <v>0</v>
      </c>
      <c r="W90" s="358">
        <f ca="1">W89</f>
        <v>0</v>
      </c>
      <c r="X90" s="359">
        <f ca="1">X89</f>
        <v>0</v>
      </c>
      <c r="Y90" s="348">
        <f ca="1">SUM(Y85:Y89)</f>
        <v>0</v>
      </c>
      <c r="Z90" s="354">
        <f t="shared" ref="Z90:AB90" si="899">SUM(Z85:Z89)</f>
        <v>0</v>
      </c>
      <c r="AA90" s="354">
        <f t="shared" si="899"/>
        <v>0</v>
      </c>
      <c r="AB90" s="354">
        <f t="shared" ca="1" si="899"/>
        <v>0</v>
      </c>
      <c r="AC90" s="355">
        <f t="shared" ca="1" si="770"/>
        <v>0</v>
      </c>
      <c r="AD90" s="360">
        <f ca="1">IFERROR(Y90/L90,0)</f>
        <v>0</v>
      </c>
      <c r="AE90" s="361">
        <f>IFERROR(Z90/M90,0)</f>
        <v>0</v>
      </c>
      <c r="AF90" s="361">
        <f>IFERROR(AA90/N90,0)</f>
        <v>0</v>
      </c>
      <c r="AG90" s="361">
        <f ca="1">IFERROR(AB90/O90,0)</f>
        <v>0</v>
      </c>
      <c r="AH90" s="362">
        <f ca="1">IFERROR(SUMPRODUCT(AH85:AH89,Q85:Q89)/Q90,0)</f>
        <v>0</v>
      </c>
      <c r="AI90" s="363">
        <f>IFERROR(SUMPRODUCT(AI85:AI89,R85:R89)/R90,0)</f>
        <v>0</v>
      </c>
      <c r="AJ90" s="363">
        <f>IFERROR(SUMPRODUCT(AJ85:AJ89,S85:S89)/S90,0)</f>
        <v>0</v>
      </c>
      <c r="AK90" s="363">
        <f ca="1">IFERROR(SUMPRODUCT(AK85:AK89,T85:T89)/T90,0)</f>
        <v>0</v>
      </c>
      <c r="AL90" s="355">
        <f t="shared" ca="1" si="681"/>
        <v>0</v>
      </c>
      <c r="AM90" s="362">
        <f ca="1">IF(Q90&lt;&gt;0,L90/Q90,0)</f>
        <v>0</v>
      </c>
      <c r="AN90" s="363">
        <f>IF(R90&lt;&gt;0,M90/R90,0)</f>
        <v>0</v>
      </c>
      <c r="AO90" s="363">
        <f>IF(S90&lt;&gt;0,N90/S90,0)</f>
        <v>0</v>
      </c>
      <c r="AP90" s="363">
        <f ca="1">IF(T90&lt;&gt;0,O90/T90,0)</f>
        <v>0</v>
      </c>
      <c r="AQ90" s="355">
        <f t="shared" ca="1" si="771"/>
        <v>0</v>
      </c>
      <c r="AR90" s="362">
        <f ca="1">IFERROR((L90*(1-AD90))/Q90,0)</f>
        <v>0</v>
      </c>
      <c r="AS90" s="363">
        <f>IFERROR((M90*(1-AE90))/R90,0)</f>
        <v>0</v>
      </c>
      <c r="AT90" s="363">
        <f>IFERROR((N90*(1-AF90))/S90,0)</f>
        <v>0</v>
      </c>
      <c r="AU90" s="363">
        <f ca="1">IFERROR((O90*(1-AG90))/T90,0)</f>
        <v>0</v>
      </c>
      <c r="AV90" s="355">
        <f t="shared" ca="1" si="772"/>
        <v>0</v>
      </c>
      <c r="AW90" s="364">
        <f ca="1">IFERROR(SUMPRODUCT(AW85:AW89,V85:V89)/V90,0)</f>
        <v>0</v>
      </c>
      <c r="AX90" s="365">
        <f t="shared" ref="AX90:AZ90" ca="1" si="900">IFERROR(SUMPRODUCT(AX85:AX89,X85:X89)/X90,0)</f>
        <v>0</v>
      </c>
      <c r="AY90" s="365">
        <f t="shared" ca="1" si="900"/>
        <v>0</v>
      </c>
      <c r="AZ90" s="365">
        <f t="shared" ca="1" si="900"/>
        <v>0</v>
      </c>
      <c r="BA90" s="366">
        <f ca="1">BA89</f>
        <v>0</v>
      </c>
      <c r="BB90" s="356">
        <f t="shared" ref="BB90:BD90" ca="1" si="901">BB89</f>
        <v>0</v>
      </c>
      <c r="BC90" s="356">
        <f t="shared" ca="1" si="901"/>
        <v>0</v>
      </c>
      <c r="BD90" s="356">
        <f t="shared" ca="1" si="901"/>
        <v>0</v>
      </c>
      <c r="BE90" s="355">
        <f t="shared" ca="1" si="773"/>
        <v>0</v>
      </c>
      <c r="BF90" s="356">
        <f>BF89</f>
        <v>0</v>
      </c>
      <c r="BG90" s="356">
        <f ca="1">BG89</f>
        <v>0</v>
      </c>
      <c r="BH90" s="367">
        <f ca="1">IF(Q88&lt;&gt;0,(BA90/Q90),0)</f>
        <v>0</v>
      </c>
      <c r="BI90" s="368">
        <f ca="1">IF(T88&lt;&gt;0,(BD90/T88),0)</f>
        <v>0</v>
      </c>
      <c r="BJ90" s="369">
        <f ca="1">IFERROR((Q90/COUNTIF(BJ85:BJ89,"&lt;&gt;0"))/BA90,0)</f>
        <v>0</v>
      </c>
      <c r="BK90" s="370">
        <f ca="1">IF(BD90&lt;&gt;0,(T90/COUNTIF(BK85:BK89,"&lt;&gt;0"))/BD90,0)</f>
        <v>0</v>
      </c>
      <c r="BL90" s="366">
        <f t="shared" ref="BL90" si="902">SUM(BL85:BL89)</f>
        <v>0</v>
      </c>
      <c r="BM90" s="356">
        <f ca="1">SUM(BM85:BM89)</f>
        <v>0</v>
      </c>
      <c r="BN90" s="366">
        <f t="shared" ref="BN90:BQ90" si="903">SUM(BN85:BN89)</f>
        <v>0</v>
      </c>
      <c r="BO90" s="356">
        <f t="shared" ca="1" si="903"/>
        <v>0</v>
      </c>
      <c r="BP90" s="366">
        <f t="shared" si="903"/>
        <v>0</v>
      </c>
      <c r="BQ90" s="356">
        <f t="shared" ca="1" si="903"/>
        <v>0</v>
      </c>
      <c r="BR90" s="366">
        <f t="shared" si="779"/>
        <v>0</v>
      </c>
      <c r="BS90" s="356">
        <f t="shared" ca="1" si="779"/>
        <v>0</v>
      </c>
      <c r="BT90" s="366">
        <f t="shared" ref="BT90:BY90" si="904">SUM(BT85:BT89)</f>
        <v>0</v>
      </c>
      <c r="BU90" s="356">
        <f t="shared" si="904"/>
        <v>0</v>
      </c>
      <c r="BV90" s="356">
        <f t="shared" si="904"/>
        <v>0</v>
      </c>
      <c r="BW90" s="356">
        <f t="shared" si="904"/>
        <v>0</v>
      </c>
      <c r="BX90" s="356">
        <f t="shared" si="904"/>
        <v>0</v>
      </c>
      <c r="BY90" s="371">
        <f t="shared" ca="1" si="904"/>
        <v>0</v>
      </c>
      <c r="BZ90" s="355">
        <f t="shared" ca="1" si="774"/>
        <v>0</v>
      </c>
      <c r="CA90" s="372">
        <f t="shared" ref="CA90:CF90" si="905">SUM(CA85:CA89)</f>
        <v>0</v>
      </c>
      <c r="CB90" s="354">
        <f t="shared" si="905"/>
        <v>0</v>
      </c>
      <c r="CC90" s="354">
        <f t="shared" si="905"/>
        <v>0</v>
      </c>
      <c r="CD90" s="354">
        <f t="shared" si="905"/>
        <v>0</v>
      </c>
      <c r="CE90" s="354">
        <f t="shared" si="905"/>
        <v>0</v>
      </c>
      <c r="CF90" s="354">
        <f t="shared" ca="1" si="905"/>
        <v>0</v>
      </c>
      <c r="CG90" s="355">
        <f t="shared" ca="1" si="775"/>
        <v>0</v>
      </c>
      <c r="CH90" s="372">
        <f t="shared" ref="CH90:CM90" si="906">SUM(CH85:CH89)</f>
        <v>0</v>
      </c>
      <c r="CI90" s="354">
        <f t="shared" si="906"/>
        <v>0</v>
      </c>
      <c r="CJ90" s="354">
        <f t="shared" si="906"/>
        <v>0</v>
      </c>
      <c r="CK90" s="354">
        <f t="shared" si="906"/>
        <v>0</v>
      </c>
      <c r="CL90" s="354">
        <f t="shared" si="906"/>
        <v>0</v>
      </c>
      <c r="CM90" s="354">
        <f t="shared" ca="1" si="906"/>
        <v>0</v>
      </c>
      <c r="CN90" s="355">
        <f t="shared" ca="1" si="776"/>
        <v>0</v>
      </c>
      <c r="CO90" s="373">
        <f t="shared" si="823"/>
        <v>0</v>
      </c>
      <c r="CP90" s="374">
        <f t="shared" ca="1" si="823"/>
        <v>0</v>
      </c>
      <c r="CQ90" s="355">
        <f t="shared" ca="1" si="777"/>
        <v>0</v>
      </c>
      <c r="CR90" s="373">
        <f t="shared" si="780"/>
        <v>0</v>
      </c>
      <c r="CS90" s="374">
        <f t="shared" ca="1" si="780"/>
        <v>0</v>
      </c>
      <c r="CT90" s="355">
        <f t="shared" ca="1" si="824"/>
        <v>0</v>
      </c>
      <c r="CU90" s="44">
        <f t="shared" si="859"/>
        <v>0</v>
      </c>
      <c r="CW90" s="100">
        <f>CW89</f>
        <v>0</v>
      </c>
      <c r="CX90" s="101">
        <f ca="1">CX89</f>
        <v>0</v>
      </c>
      <c r="CY90" s="99">
        <f t="shared" ca="1" si="855"/>
        <v>0</v>
      </c>
      <c r="CZ90" s="276"/>
      <c r="DA90" s="277"/>
      <c r="DB90" s="277"/>
      <c r="DC90" s="278"/>
    </row>
    <row r="91" spans="1:107" x14ac:dyDescent="0.25">
      <c r="A91" s="44" t="s">
        <v>478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783"/>
        <v>0</v>
      </c>
      <c r="G91" s="175">
        <f t="shared" ref="G91:I94" si="907">IFERROR(VLOOKUP($B91 &amp; $C91&amp;G$4&amp;$A91,tblForecast,G$2,FALSE),0)</f>
        <v>0</v>
      </c>
      <c r="H91" s="202">
        <f t="shared" si="907"/>
        <v>0</v>
      </c>
      <c r="I91" s="202">
        <f t="shared" si="907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908">R91*AN91</f>
        <v>0</v>
      </c>
      <c r="N91" s="46">
        <f t="shared" si="908"/>
        <v>0</v>
      </c>
      <c r="O91" s="46">
        <f t="shared" ca="1" si="908"/>
        <v>0</v>
      </c>
      <c r="P91" s="47">
        <f t="shared" ca="1" si="778"/>
        <v>0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909">IFERROR(VLOOKUP($B91 &amp; $C91&amp;S$4,tblForecast,S$2,FALSE),0)</f>
        <v>0</v>
      </c>
      <c r="T91" s="238">
        <f ca="1">SUMIFS(OFFSET(tblForecast,,T$2,,1),OFFSET(tblForecast,,,,1),$B91-IF(CompareVer="LY",1,0)&amp; $C91 &amp;T$4)</f>
        <v>0</v>
      </c>
      <c r="U91" s="91">
        <f t="shared" ca="1" si="769"/>
        <v>0</v>
      </c>
      <c r="V91" s="247">
        <f ca="1">IFERROR(IF(Q89&gt;0,Q91/Q89,0),0)</f>
        <v>0</v>
      </c>
      <c r="W91" s="327">
        <f ca="1">IFERROR(IF(R89&gt;0,R91/R89,X91),0)</f>
        <v>0</v>
      </c>
      <c r="X91" s="248">
        <f ca="1">IFERROR(IF(T89&gt;0,T91/T89,0),0)</f>
        <v>0</v>
      </c>
      <c r="Y91" s="51">
        <f t="shared" ref="Y91:AB94" ca="1" si="910">IFERROR(L91*AD91,0)</f>
        <v>0</v>
      </c>
      <c r="Z91" s="46">
        <f t="shared" si="910"/>
        <v>0</v>
      </c>
      <c r="AA91" s="46">
        <f t="shared" si="910"/>
        <v>0</v>
      </c>
      <c r="AB91" s="46">
        <f t="shared" ca="1" si="910"/>
        <v>0</v>
      </c>
      <c r="AC91" s="91">
        <f t="shared" ca="1" si="770"/>
        <v>0</v>
      </c>
      <c r="AD91" s="75">
        <f ca="1">IF(AM91&lt;&gt;0,1-AR91/AM91,0)</f>
        <v>0</v>
      </c>
      <c r="AE91" s="93">
        <f t="shared" ref="AE91:AG94" si="911">IF(AN91&lt;&gt;0,1-AS91/AN91,0)</f>
        <v>0</v>
      </c>
      <c r="AF91" s="93">
        <f t="shared" si="911"/>
        <v>0</v>
      </c>
      <c r="AG91" s="76">
        <f t="shared" ca="1" si="911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912">IFERROR(VLOOKUP($B91 &amp; $C91&amp;AI$4,tblForecast,AI$2,FALSE),0)</f>
        <v>0</v>
      </c>
      <c r="AJ91" s="94">
        <f t="shared" si="912"/>
        <v>0</v>
      </c>
      <c r="AK91" s="49">
        <f ca="1">IFERROR(CF91/BY91,0)</f>
        <v>0</v>
      </c>
      <c r="AL91" s="47">
        <f t="shared" ca="1" si="681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913">IFERROR(VLOOKUP($B91 &amp; $C91&amp;AN$4,tblForecast,AN$2,FALSE),0)</f>
        <v>0</v>
      </c>
      <c r="AO91" s="94">
        <f t="shared" si="913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771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914">IFERROR(VLOOKUP($B91 &amp; $C91&amp;AS$4,tblForecast,AS$2,FALSE),0)</f>
        <v>0</v>
      </c>
      <c r="AT91" s="94">
        <f t="shared" si="914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772"/>
        <v>0</v>
      </c>
      <c r="AW91" s="190">
        <f t="shared" ref="AW91:AZ94" ca="1" si="915">IFERROR((AM91/AH91-1)*-1,0)</f>
        <v>0</v>
      </c>
      <c r="AX91" s="191">
        <f t="shared" si="915"/>
        <v>0</v>
      </c>
      <c r="AY91" s="191">
        <f t="shared" si="915"/>
        <v>0</v>
      </c>
      <c r="AZ91" s="191">
        <f t="shared" ca="1" si="915"/>
        <v>0</v>
      </c>
      <c r="BA91" s="233">
        <f ca="1">IF(BA90+BV91+BL91+BR91-Q91&lt;0,0,BA90+BV91+BL91+BR91-Q91)</f>
        <v>0</v>
      </c>
      <c r="BB91" s="229">
        <f ca="1">IF(IFERROR(VLOOKUP($B91 &amp; $C91&amp;BB$4,tblForecast,BB$2,FALSE),0)=0,BA91,IFERROR(VLOOKUP($B91 &amp; $C91&amp;BB$4,tblForecast,BB$2,FALSE),0))</f>
        <v>0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916">CX91+BG91</f>
        <v>0</v>
      </c>
      <c r="BE91" s="193">
        <f t="shared" ca="1" si="773"/>
        <v>0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0</v>
      </c>
      <c r="BH91" s="178">
        <f ca="1">IF(Q91&lt;&gt;0,BA91/Q91,0)</f>
        <v>0</v>
      </c>
      <c r="BI91" s="182">
        <f ca="1">IF(T91&lt;&gt;0,BD91/T91,0)</f>
        <v>0</v>
      </c>
      <c r="BJ91" s="194">
        <f t="shared" ref="BJ91:BJ94" ca="1" si="917">IF(BA91&lt;&gt;0,Q91/BA91,0)</f>
        <v>0</v>
      </c>
      <c r="BK91" s="50">
        <f t="shared" ref="BK91:BK94" ca="1" si="918">IF(BD91&lt;&gt;0,T91/BD91,0)</f>
        <v>0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0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0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0</v>
      </c>
      <c r="BR91" s="225">
        <f t="shared" si="779"/>
        <v>0</v>
      </c>
      <c r="BS91" s="229">
        <f t="shared" ca="1" si="779"/>
        <v>0</v>
      </c>
      <c r="BT91" s="232">
        <f t="shared" ref="BT91:BU94" si="919">IFERROR(VLOOKUP($B91 &amp; $C91&amp;BT$4,tblForecast,BT$2,FALSE),0)</f>
        <v>0</v>
      </c>
      <c r="BU91" s="229">
        <f t="shared" si="919"/>
        <v>0</v>
      </c>
      <c r="BV91" s="229">
        <f>IF($A91="a",IFERROR(VLOOKUP($B91 &amp; $C91&amp;BV$4,tblForecast,BV$2,FALSE),0),BT91+BU91)</f>
        <v>0</v>
      </c>
      <c r="BW91" s="229">
        <f t="shared" ref="BW91:BX94" si="920">IFERROR(VLOOKUP($B91 &amp; $C91&amp;BW$4,tblForecast,BW$2,FALSE),0)</f>
        <v>0</v>
      </c>
      <c r="BX91" s="229">
        <f t="shared" si="920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774"/>
        <v>0</v>
      </c>
      <c r="CA91" s="330">
        <f t="shared" ref="CA91:CB94" si="921">IFERROR(VLOOKUP($B91 &amp; $C91&amp;CA$4,tblForecast,CA$2,FALSE),0)</f>
        <v>0</v>
      </c>
      <c r="CB91" s="46">
        <f t="shared" si="921"/>
        <v>0</v>
      </c>
      <c r="CC91" s="46">
        <f>IF($A91="a",IFERROR(VLOOKUP($B91 &amp; $C91&amp;CC$4,tblForecast,CC$2,FALSE),0),CA91+CB91)</f>
        <v>0</v>
      </c>
      <c r="CD91" s="46">
        <f t="shared" ref="CD91:CE94" si="922">IFERROR(VLOOKUP($B91 &amp; $C91&amp;CD$4,tblForecast,CD$2,FALSE),0)</f>
        <v>0</v>
      </c>
      <c r="CE91" s="46">
        <f t="shared" si="922"/>
        <v>0</v>
      </c>
      <c r="CF91" s="46">
        <f ca="1">SUMIFS(OFFSET(tblForecast,,CF$2,,1),OFFSET(tblForecast,,,,1),$B91-IF(CompareVer="LY",1,0)&amp; $C91 &amp;CF$4)</f>
        <v>0</v>
      </c>
      <c r="CG91" s="193">
        <f t="shared" ca="1" si="775"/>
        <v>0</v>
      </c>
      <c r="CH91" s="330">
        <f t="shared" ref="CH91:CI94" si="923">IFERROR(VLOOKUP($B91 &amp; $C91&amp;CH$4,tblForecast,CH$2,FALSE),0)</f>
        <v>0</v>
      </c>
      <c r="CI91" s="46">
        <f t="shared" si="923"/>
        <v>0</v>
      </c>
      <c r="CJ91" s="46">
        <f>IF($A91="a",IFERROR(VLOOKUP($B91 &amp; $C91&amp;CJ$4,tblForecast,CJ$2,FALSE),0),CH91+CI91)</f>
        <v>0</v>
      </c>
      <c r="CK91" s="46">
        <f t="shared" ref="CK91:CL94" si="924">IFERROR(VLOOKUP($B91 &amp; $C91&amp;CK$4,tblForecast,CK$2,FALSE),0)</f>
        <v>0</v>
      </c>
      <c r="CL91" s="46">
        <f t="shared" si="924"/>
        <v>0</v>
      </c>
      <c r="CM91" s="46">
        <f ca="1">SUMIFS(OFFSET(tblForecast,,CM$2,,1),OFFSET(tblForecast,,,,1),$B91-IF(CompareVer="LY",1,0)&amp; $C91 &amp;CM$4)</f>
        <v>0</v>
      </c>
      <c r="CN91" s="193">
        <f t="shared" ca="1" si="776"/>
        <v>0</v>
      </c>
      <c r="CO91" s="177">
        <f t="shared" si="823"/>
        <v>0</v>
      </c>
      <c r="CP91" s="221">
        <f t="shared" ca="1" si="823"/>
        <v>0</v>
      </c>
      <c r="CQ91" s="193">
        <f t="shared" ca="1" si="777"/>
        <v>0</v>
      </c>
      <c r="CR91" s="177">
        <f t="shared" si="780"/>
        <v>0</v>
      </c>
      <c r="CS91" s="221">
        <f t="shared" ca="1" si="780"/>
        <v>0</v>
      </c>
      <c r="CT91" s="193">
        <f t="shared" ca="1" si="824"/>
        <v>0</v>
      </c>
      <c r="CU91" s="44">
        <f t="shared" si="859"/>
        <v>0</v>
      </c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855"/>
        <v>0</v>
      </c>
      <c r="CZ91" s="276">
        <f>IFERROR(VLOOKUP(Brand&amp;Channel&amp;Country&amp;$C91,tblDiscount,6,FALSE),0)</f>
        <v>0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478</v>
      </c>
      <c r="B92" s="44">
        <v>2019</v>
      </c>
      <c r="C92" s="88">
        <v>11</v>
      </c>
      <c r="D92" s="51">
        <f t="shared" ref="D92:D94" si="925">G92*H92</f>
        <v>0</v>
      </c>
      <c r="E92" s="201">
        <f t="shared" ref="E92:E94" si="926">IFERROR(D92*F92,0)</f>
        <v>0</v>
      </c>
      <c r="F92" s="181">
        <f t="shared" si="783"/>
        <v>0</v>
      </c>
      <c r="G92" s="175">
        <f t="shared" si="907"/>
        <v>0</v>
      </c>
      <c r="H92" s="202">
        <f t="shared" si="907"/>
        <v>0</v>
      </c>
      <c r="I92" s="202">
        <f t="shared" si="907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908"/>
        <v>0</v>
      </c>
      <c r="N92" s="46">
        <f t="shared" si="908"/>
        <v>0</v>
      </c>
      <c r="O92" s="46">
        <f t="shared" ca="1" si="908"/>
        <v>0</v>
      </c>
      <c r="P92" s="47">
        <f t="shared" ca="1" si="778"/>
        <v>0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909"/>
        <v>0</v>
      </c>
      <c r="T92" s="238">
        <f ca="1">SUMIFS(OFFSET(tblForecast,,T$2,,1),OFFSET(tblForecast,,,,1),$B92-IF(CompareVer="LY",1,0)&amp; $C92 &amp;T$4)</f>
        <v>0</v>
      </c>
      <c r="U92" s="91">
        <f t="shared" ca="1" si="769"/>
        <v>0</v>
      </c>
      <c r="V92" s="247">
        <f t="shared" ref="V92:V94" ca="1" si="927">IFERROR(IF(Q91&lt;&gt;0,Q92/Q91,0),0)</f>
        <v>0</v>
      </c>
      <c r="W92" s="327">
        <f ca="1">IFERROR(IF(R91&lt;&gt;0,R92/R91,X92),0)</f>
        <v>0</v>
      </c>
      <c r="X92" s="248">
        <f t="shared" ref="X92:X94" ca="1" si="928">IFERROR(IF(T91&lt;&gt;0,T92/T91,0),0)</f>
        <v>0</v>
      </c>
      <c r="Y92" s="51">
        <f t="shared" ca="1" si="910"/>
        <v>0</v>
      </c>
      <c r="Z92" s="46">
        <f t="shared" si="910"/>
        <v>0</v>
      </c>
      <c r="AA92" s="46">
        <f t="shared" si="910"/>
        <v>0</v>
      </c>
      <c r="AB92" s="46">
        <f t="shared" ca="1" si="910"/>
        <v>0</v>
      </c>
      <c r="AC92" s="91">
        <f t="shared" ca="1" si="770"/>
        <v>0</v>
      </c>
      <c r="AD92" s="75">
        <f ca="1">IF(AM92&lt;&gt;0,1-AR92/AM92,0)</f>
        <v>0</v>
      </c>
      <c r="AE92" s="93">
        <f t="shared" si="911"/>
        <v>0</v>
      </c>
      <c r="AF92" s="93">
        <f t="shared" si="911"/>
        <v>0</v>
      </c>
      <c r="AG92" s="76">
        <f t="shared" ca="1" si="911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912"/>
        <v>0</v>
      </c>
      <c r="AJ92" s="94">
        <f t="shared" si="912"/>
        <v>0</v>
      </c>
      <c r="AK92" s="49">
        <f ca="1">IFERROR(CF92/BY92,0)</f>
        <v>0</v>
      </c>
      <c r="AL92" s="47">
        <f t="shared" ca="1" si="681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913"/>
        <v>0</v>
      </c>
      <c r="AO92" s="94">
        <f t="shared" si="913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771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914"/>
        <v>0</v>
      </c>
      <c r="AT92" s="94">
        <f t="shared" si="914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772"/>
        <v>0</v>
      </c>
      <c r="AW92" s="190">
        <f t="shared" ca="1" si="915"/>
        <v>0</v>
      </c>
      <c r="AX92" s="191">
        <f t="shared" si="915"/>
        <v>0</v>
      </c>
      <c r="AY92" s="191">
        <f t="shared" si="915"/>
        <v>0</v>
      </c>
      <c r="AZ92" s="191">
        <f t="shared" ca="1" si="915"/>
        <v>0</v>
      </c>
      <c r="BA92" s="233">
        <f ca="1">IF(BA91+BV92+BL92+BR92-Q92&lt;0,0,BA91+BV92+BL92+BR92-Q92)</f>
        <v>0</v>
      </c>
      <c r="BB92" s="229">
        <f ca="1">IF(IFERROR(VLOOKUP($B92 &amp; $C92&amp;BB$4,tblForecast,BB$2,FALSE),0)=0,BA92,IFERROR(VLOOKUP($B92 &amp; $C92&amp;BB$4,tblForecast,BB$2,FALSE),0))</f>
        <v>0</v>
      </c>
      <c r="BC92" s="229">
        <f ca="1">SUMIFS(OFFSET(tblForecast,,BC$2,,1),OFFSET(tblForecast,,,,1),$B92-IF(CompareVer="LY",1,0)&amp; $C92 &amp;BC$4)</f>
        <v>0</v>
      </c>
      <c r="BD92" s="229">
        <f t="shared" ca="1" si="916"/>
        <v>0</v>
      </c>
      <c r="BE92" s="193">
        <f t="shared" ca="1" si="773"/>
        <v>0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0</v>
      </c>
      <c r="BH92" s="178">
        <f ca="1">IF(Q92&lt;&gt;0,BA92/Q92,0)</f>
        <v>0</v>
      </c>
      <c r="BI92" s="182">
        <f ca="1">IF(T92&lt;&gt;0,BD92/T92,0)</f>
        <v>0</v>
      </c>
      <c r="BJ92" s="194">
        <f t="shared" ca="1" si="917"/>
        <v>0</v>
      </c>
      <c r="BK92" s="50">
        <f t="shared" ca="1" si="918"/>
        <v>0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0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0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0</v>
      </c>
      <c r="BR92" s="225">
        <f t="shared" ref="BR92:BS107" si="929">BN92-BP92</f>
        <v>0</v>
      </c>
      <c r="BS92" s="229">
        <f t="shared" ca="1" si="929"/>
        <v>0</v>
      </c>
      <c r="BT92" s="232">
        <f t="shared" si="919"/>
        <v>0</v>
      </c>
      <c r="BU92" s="229">
        <f t="shared" si="919"/>
        <v>0</v>
      </c>
      <c r="BV92" s="229">
        <f>IF($A92="a",IFERROR(VLOOKUP($B92 &amp; $C92&amp;BV$4,tblForecast,BV$2,FALSE),0),BT92+BU92)</f>
        <v>0</v>
      </c>
      <c r="BW92" s="229">
        <f t="shared" si="920"/>
        <v>0</v>
      </c>
      <c r="BX92" s="229">
        <f t="shared" si="920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774"/>
        <v>0</v>
      </c>
      <c r="CA92" s="330">
        <f t="shared" si="921"/>
        <v>0</v>
      </c>
      <c r="CB92" s="46">
        <f t="shared" si="921"/>
        <v>0</v>
      </c>
      <c r="CC92" s="46">
        <f>IF($A92="a",IFERROR(VLOOKUP($B92 &amp; $C92&amp;CC$4,tblForecast,CC$2,FALSE),0),CA92+CB92)</f>
        <v>0</v>
      </c>
      <c r="CD92" s="46">
        <f t="shared" si="922"/>
        <v>0</v>
      </c>
      <c r="CE92" s="46">
        <f t="shared" si="922"/>
        <v>0</v>
      </c>
      <c r="CF92" s="46">
        <f ca="1">SUMIFS(OFFSET(tblForecast,,CF$2,,1),OFFSET(tblForecast,,,,1),$B92-IF(CompareVer="LY",1,0)&amp; $C92 &amp;CF$4)</f>
        <v>0</v>
      </c>
      <c r="CG92" s="193">
        <f t="shared" ca="1" si="775"/>
        <v>0</v>
      </c>
      <c r="CH92" s="330">
        <f t="shared" si="923"/>
        <v>0</v>
      </c>
      <c r="CI92" s="46">
        <f t="shared" si="923"/>
        <v>0</v>
      </c>
      <c r="CJ92" s="46">
        <f>IF($A92="a",IFERROR(VLOOKUP($B92 &amp; $C92&amp;CJ$4,tblForecast,CJ$2,FALSE),0),CH92+CI92)</f>
        <v>0</v>
      </c>
      <c r="CK92" s="46">
        <f t="shared" si="924"/>
        <v>0</v>
      </c>
      <c r="CL92" s="46">
        <f t="shared" si="924"/>
        <v>0</v>
      </c>
      <c r="CM92" s="46">
        <f ca="1">SUMIFS(OFFSET(tblForecast,,CM$2,,1),OFFSET(tblForecast,,,,1),$B92-IF(CompareVer="LY",1,0)&amp; $C92 &amp;CM$4)</f>
        <v>0</v>
      </c>
      <c r="CN92" s="193">
        <f t="shared" ca="1" si="776"/>
        <v>0</v>
      </c>
      <c r="CO92" s="177">
        <f t="shared" si="823"/>
        <v>0</v>
      </c>
      <c r="CP92" s="221">
        <f t="shared" ca="1" si="823"/>
        <v>0</v>
      </c>
      <c r="CQ92" s="193">
        <f t="shared" ca="1" si="777"/>
        <v>0</v>
      </c>
      <c r="CR92" s="177">
        <f t="shared" si="780"/>
        <v>0</v>
      </c>
      <c r="CS92" s="221">
        <f t="shared" ca="1" si="780"/>
        <v>0</v>
      </c>
      <c r="CT92" s="193">
        <f t="shared" ca="1" si="824"/>
        <v>0</v>
      </c>
      <c r="CU92" s="44">
        <f t="shared" si="859"/>
        <v>0</v>
      </c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855"/>
        <v>0</v>
      </c>
      <c r="CZ92" s="276">
        <f>IFERROR(VLOOKUP(Brand&amp;Channel&amp;Country&amp;$C92,tblDiscount,6,FALSE),0)</f>
        <v>0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478</v>
      </c>
      <c r="B93" s="44">
        <v>2019</v>
      </c>
      <c r="C93" s="88">
        <v>12</v>
      </c>
      <c r="D93" s="51">
        <f t="shared" si="925"/>
        <v>0</v>
      </c>
      <c r="E93" s="201">
        <f t="shared" si="926"/>
        <v>0</v>
      </c>
      <c r="F93" s="181">
        <f t="shared" si="783"/>
        <v>0</v>
      </c>
      <c r="G93" s="175">
        <f t="shared" si="907"/>
        <v>0</v>
      </c>
      <c r="H93" s="202">
        <f t="shared" si="907"/>
        <v>0</v>
      </c>
      <c r="I93" s="202">
        <f t="shared" si="907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908"/>
        <v>0</v>
      </c>
      <c r="N93" s="46">
        <f t="shared" si="908"/>
        <v>0</v>
      </c>
      <c r="O93" s="46">
        <f t="shared" ca="1" si="908"/>
        <v>0</v>
      </c>
      <c r="P93" s="47">
        <f t="shared" ca="1" si="778"/>
        <v>0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909"/>
        <v>0</v>
      </c>
      <c r="T93" s="238">
        <f ca="1">SUMIFS(OFFSET(tblForecast,,T$2,,1),OFFSET(tblForecast,,,,1),$B93-IF(CompareVer="LY",1,0)&amp; $C93 &amp;T$4)</f>
        <v>0</v>
      </c>
      <c r="U93" s="91">
        <f t="shared" ca="1" si="769"/>
        <v>0</v>
      </c>
      <c r="V93" s="247">
        <f t="shared" ca="1" si="927"/>
        <v>0</v>
      </c>
      <c r="W93" s="327">
        <f ca="1">IFERROR(IF(R92&lt;&gt;0,R93/R92,X93),0)</f>
        <v>0</v>
      </c>
      <c r="X93" s="248">
        <f t="shared" ca="1" si="928"/>
        <v>0</v>
      </c>
      <c r="Y93" s="51">
        <f t="shared" ca="1" si="910"/>
        <v>0</v>
      </c>
      <c r="Z93" s="46">
        <f t="shared" si="910"/>
        <v>0</v>
      </c>
      <c r="AA93" s="46">
        <f t="shared" si="910"/>
        <v>0</v>
      </c>
      <c r="AB93" s="46">
        <f t="shared" ca="1" si="910"/>
        <v>0</v>
      </c>
      <c r="AC93" s="91">
        <f t="shared" ca="1" si="770"/>
        <v>0</v>
      </c>
      <c r="AD93" s="75">
        <f ca="1">IF(AM93&lt;&gt;0,1-AR93/AM93,0)</f>
        <v>0</v>
      </c>
      <c r="AE93" s="93">
        <f t="shared" si="911"/>
        <v>0</v>
      </c>
      <c r="AF93" s="93">
        <f t="shared" si="911"/>
        <v>0</v>
      </c>
      <c r="AG93" s="76">
        <f t="shared" ca="1" si="911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912"/>
        <v>0</v>
      </c>
      <c r="AJ93" s="94">
        <f t="shared" si="912"/>
        <v>0</v>
      </c>
      <c r="AK93" s="49">
        <f ca="1">IFERROR(CF93/BY93,0)</f>
        <v>0</v>
      </c>
      <c r="AL93" s="47">
        <f t="shared" ca="1" si="681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913"/>
        <v>0</v>
      </c>
      <c r="AO93" s="94">
        <f t="shared" si="913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771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914"/>
        <v>0</v>
      </c>
      <c r="AT93" s="94">
        <f t="shared" si="914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772"/>
        <v>0</v>
      </c>
      <c r="AW93" s="190">
        <f t="shared" ca="1" si="915"/>
        <v>0</v>
      </c>
      <c r="AX93" s="191">
        <f t="shared" si="915"/>
        <v>0</v>
      </c>
      <c r="AY93" s="191">
        <f t="shared" si="915"/>
        <v>0</v>
      </c>
      <c r="AZ93" s="191">
        <f t="shared" ca="1" si="915"/>
        <v>0</v>
      </c>
      <c r="BA93" s="233">
        <f ca="1">IF(BA92+BV93+BL93+BR93-Q93&lt;0,0,BA92+BV93+BL93+BR93-Q93)</f>
        <v>0</v>
      </c>
      <c r="BB93" s="229">
        <f ca="1">IF(IFERROR(VLOOKUP($B93 &amp; $C93&amp;BB$4,tblForecast,BB$2,FALSE),0)=0,BA93,IFERROR(VLOOKUP($B93 &amp; $C93&amp;BB$4,tblForecast,BB$2,FALSE),0))</f>
        <v>0</v>
      </c>
      <c r="BC93" s="229">
        <f ca="1">SUMIFS(OFFSET(tblForecast,,BC$2,,1),OFFSET(tblForecast,,,,1),$B93-IF(CompareVer="LY",1,0)&amp; $C93 &amp;BC$4)</f>
        <v>0</v>
      </c>
      <c r="BD93" s="229">
        <f t="shared" ca="1" si="916"/>
        <v>0</v>
      </c>
      <c r="BE93" s="193">
        <f t="shared" ca="1" si="773"/>
        <v>0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0</v>
      </c>
      <c r="BH93" s="178">
        <f ca="1">IF(Q93&lt;&gt;0,BA93/Q93,0)</f>
        <v>0</v>
      </c>
      <c r="BI93" s="182">
        <f ca="1">IF(T93&lt;&gt;0,BD93/T93,0)</f>
        <v>0</v>
      </c>
      <c r="BJ93" s="194">
        <f t="shared" ca="1" si="917"/>
        <v>0</v>
      </c>
      <c r="BK93" s="50">
        <f t="shared" ca="1" si="918"/>
        <v>0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0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0</v>
      </c>
      <c r="BR93" s="225">
        <f t="shared" si="929"/>
        <v>0</v>
      </c>
      <c r="BS93" s="229">
        <f t="shared" ca="1" si="929"/>
        <v>0</v>
      </c>
      <c r="BT93" s="232">
        <f t="shared" si="919"/>
        <v>0</v>
      </c>
      <c r="BU93" s="229">
        <f t="shared" si="919"/>
        <v>0</v>
      </c>
      <c r="BV93" s="229">
        <f>IF($A93="a",IFERROR(VLOOKUP($B93 &amp; $C93&amp;BV$4,tblForecast,BV$2,FALSE),0),BT93+BU93)</f>
        <v>0</v>
      </c>
      <c r="BW93" s="229">
        <f t="shared" si="920"/>
        <v>0</v>
      </c>
      <c r="BX93" s="229">
        <f t="shared" si="920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774"/>
        <v>0</v>
      </c>
      <c r="CA93" s="330">
        <f t="shared" si="921"/>
        <v>0</v>
      </c>
      <c r="CB93" s="46">
        <f t="shared" si="921"/>
        <v>0</v>
      </c>
      <c r="CC93" s="46">
        <f>IF($A93="a",IFERROR(VLOOKUP($B93 &amp; $C93&amp;CC$4,tblForecast,CC$2,FALSE),0),CA93+CB93)</f>
        <v>0</v>
      </c>
      <c r="CD93" s="46">
        <f t="shared" si="922"/>
        <v>0</v>
      </c>
      <c r="CE93" s="46">
        <f t="shared" si="922"/>
        <v>0</v>
      </c>
      <c r="CF93" s="46">
        <f ca="1">SUMIFS(OFFSET(tblForecast,,CF$2,,1),OFFSET(tblForecast,,,,1),$B93-IF(CompareVer="LY",1,0)&amp; $C93 &amp;CF$4)</f>
        <v>0</v>
      </c>
      <c r="CG93" s="193">
        <f t="shared" ca="1" si="775"/>
        <v>0</v>
      </c>
      <c r="CH93" s="330">
        <f t="shared" si="923"/>
        <v>0</v>
      </c>
      <c r="CI93" s="46">
        <f t="shared" si="923"/>
        <v>0</v>
      </c>
      <c r="CJ93" s="46">
        <f>IF($A93="a",IFERROR(VLOOKUP($B93 &amp; $C93&amp;CJ$4,tblForecast,CJ$2,FALSE),0),CH93+CI93)</f>
        <v>0</v>
      </c>
      <c r="CK93" s="46">
        <f t="shared" si="924"/>
        <v>0</v>
      </c>
      <c r="CL93" s="46">
        <f t="shared" si="924"/>
        <v>0</v>
      </c>
      <c r="CM93" s="46">
        <f ca="1">SUMIFS(OFFSET(tblForecast,,CM$2,,1),OFFSET(tblForecast,,,,1),$B93-IF(CompareVer="LY",1,0)&amp; $C93 &amp;CM$4)</f>
        <v>0</v>
      </c>
      <c r="CN93" s="193">
        <f t="shared" ca="1" si="776"/>
        <v>0</v>
      </c>
      <c r="CO93" s="177">
        <f t="shared" si="823"/>
        <v>0</v>
      </c>
      <c r="CP93" s="221">
        <f t="shared" ca="1" si="823"/>
        <v>0</v>
      </c>
      <c r="CQ93" s="193">
        <f t="shared" ca="1" si="777"/>
        <v>0</v>
      </c>
      <c r="CR93" s="177">
        <f t="shared" si="780"/>
        <v>0</v>
      </c>
      <c r="CS93" s="221">
        <f t="shared" ca="1" si="780"/>
        <v>0</v>
      </c>
      <c r="CT93" s="193">
        <f t="shared" ca="1" si="824"/>
        <v>0</v>
      </c>
      <c r="CU93" s="44">
        <f t="shared" si="859"/>
        <v>0</v>
      </c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6">
        <f>IFERROR(VLOOKUP(Brand&amp;Channel&amp;Country&amp;$C93,tblDiscount,6,FALSE),0)</f>
        <v>0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478</v>
      </c>
      <c r="B94" s="44">
        <v>2019</v>
      </c>
      <c r="C94" s="88">
        <v>13</v>
      </c>
      <c r="D94" s="51">
        <f t="shared" si="925"/>
        <v>0</v>
      </c>
      <c r="E94" s="201">
        <f t="shared" si="926"/>
        <v>0</v>
      </c>
      <c r="F94" s="181">
        <f t="shared" si="783"/>
        <v>0</v>
      </c>
      <c r="G94" s="175">
        <f t="shared" si="907"/>
        <v>0</v>
      </c>
      <c r="H94" s="202">
        <f t="shared" si="907"/>
        <v>0</v>
      </c>
      <c r="I94" s="202">
        <f t="shared" si="907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908"/>
        <v>0</v>
      </c>
      <c r="N94" s="46">
        <f t="shared" si="908"/>
        <v>0</v>
      </c>
      <c r="O94" s="46">
        <f t="shared" ca="1" si="908"/>
        <v>0</v>
      </c>
      <c r="P94" s="47">
        <f t="shared" ca="1" si="778"/>
        <v>0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909"/>
        <v>0</v>
      </c>
      <c r="T94" s="238">
        <f ca="1">SUMIFS(OFFSET(tblForecast,,T$2,,1),OFFSET(tblForecast,,,,1),$B94-IF(CompareVer="LY",1,0)&amp; $C94 &amp;T$4)</f>
        <v>0</v>
      </c>
      <c r="U94" s="91">
        <f t="shared" ca="1" si="769"/>
        <v>0</v>
      </c>
      <c r="V94" s="247">
        <f t="shared" ca="1" si="927"/>
        <v>0</v>
      </c>
      <c r="W94" s="327">
        <f ca="1">IFERROR(IF(R93&lt;&gt;0,R94/R93,X94),0)</f>
        <v>0</v>
      </c>
      <c r="X94" s="248">
        <f t="shared" ca="1" si="928"/>
        <v>0</v>
      </c>
      <c r="Y94" s="51">
        <f t="shared" ca="1" si="910"/>
        <v>0</v>
      </c>
      <c r="Z94" s="46">
        <f t="shared" si="910"/>
        <v>0</v>
      </c>
      <c r="AA94" s="46">
        <f t="shared" si="910"/>
        <v>0</v>
      </c>
      <c r="AB94" s="46">
        <f t="shared" ca="1" si="910"/>
        <v>0</v>
      </c>
      <c r="AC94" s="91">
        <f t="shared" ca="1" si="770"/>
        <v>0</v>
      </c>
      <c r="AD94" s="75">
        <f ca="1">IF(AM94&lt;&gt;0,1-AR94/AM94,0)</f>
        <v>0</v>
      </c>
      <c r="AE94" s="93">
        <f t="shared" si="911"/>
        <v>0</v>
      </c>
      <c r="AF94" s="93">
        <f t="shared" si="911"/>
        <v>0</v>
      </c>
      <c r="AG94" s="76">
        <f t="shared" ca="1" si="911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912"/>
        <v>0</v>
      </c>
      <c r="AJ94" s="94">
        <f t="shared" si="912"/>
        <v>0</v>
      </c>
      <c r="AK94" s="49">
        <f ca="1">IFERROR(CF94/BY94,0)</f>
        <v>0</v>
      </c>
      <c r="AL94" s="47">
        <f t="shared" ca="1" si="681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913"/>
        <v>0</v>
      </c>
      <c r="AO94" s="94">
        <f t="shared" si="913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771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914"/>
        <v>0</v>
      </c>
      <c r="AT94" s="94">
        <f t="shared" si="914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772"/>
        <v>0</v>
      </c>
      <c r="AW94" s="190">
        <f t="shared" ca="1" si="915"/>
        <v>0</v>
      </c>
      <c r="AX94" s="191">
        <f t="shared" si="915"/>
        <v>0</v>
      </c>
      <c r="AY94" s="191">
        <f t="shared" si="915"/>
        <v>0</v>
      </c>
      <c r="AZ94" s="191">
        <f t="shared" ca="1" si="915"/>
        <v>0</v>
      </c>
      <c r="BA94" s="233">
        <f ca="1">IF(BA93+BV94+BL94+BR94-Q94&lt;0,0,BA93+BV94+BL94+BR94-Q94)</f>
        <v>0</v>
      </c>
      <c r="BB94" s="229">
        <f ca="1">IF(IFERROR(VLOOKUP($B94 &amp; $C94&amp;BB$4,tblForecast,BB$2,FALSE),0)=0,BA94,IFERROR(VLOOKUP($B94 &amp; $C94&amp;BB$4,tblForecast,BB$2,FALSE),0))</f>
        <v>0</v>
      </c>
      <c r="BC94" s="229">
        <f ca="1">SUMIFS(OFFSET(tblForecast,,BC$2,,1),OFFSET(tblForecast,,,,1),$B94-IF(CompareVer="LY",1,0)&amp; $C94 &amp;BC$4)</f>
        <v>0</v>
      </c>
      <c r="BD94" s="229">
        <f t="shared" ca="1" si="916"/>
        <v>0</v>
      </c>
      <c r="BE94" s="193">
        <f t="shared" ca="1" si="773"/>
        <v>0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0</v>
      </c>
      <c r="BH94" s="178">
        <f ca="1">IF(Q94&lt;&gt;0,BA94/Q94,0)</f>
        <v>0</v>
      </c>
      <c r="BI94" s="182">
        <f ca="1">IF(T94&lt;&gt;0,BD94/T94,0)</f>
        <v>0</v>
      </c>
      <c r="BJ94" s="194">
        <f t="shared" ca="1" si="917"/>
        <v>0</v>
      </c>
      <c r="BK94" s="50">
        <f t="shared" ca="1" si="918"/>
        <v>0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0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0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0</v>
      </c>
      <c r="BR94" s="225">
        <f t="shared" si="929"/>
        <v>0</v>
      </c>
      <c r="BS94" s="229">
        <f t="shared" ca="1" si="929"/>
        <v>0</v>
      </c>
      <c r="BT94" s="232">
        <f t="shared" si="919"/>
        <v>0</v>
      </c>
      <c r="BU94" s="229">
        <f t="shared" si="919"/>
        <v>0</v>
      </c>
      <c r="BV94" s="229">
        <f>IF($A94="a",IFERROR(VLOOKUP($B94 &amp; $C94&amp;BV$4,tblForecast,BV$2,FALSE),0),BT94+BU94)</f>
        <v>0</v>
      </c>
      <c r="BW94" s="229">
        <f t="shared" si="920"/>
        <v>0</v>
      </c>
      <c r="BX94" s="229">
        <f t="shared" si="920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774"/>
        <v>0</v>
      </c>
      <c r="CA94" s="330">
        <f t="shared" si="921"/>
        <v>0</v>
      </c>
      <c r="CB94" s="46">
        <f t="shared" si="921"/>
        <v>0</v>
      </c>
      <c r="CC94" s="46">
        <f>IF($A94="a",IFERROR(VLOOKUP($B94 &amp; $C94&amp;CC$4,tblForecast,CC$2,FALSE),0),CA94+CB94)</f>
        <v>0</v>
      </c>
      <c r="CD94" s="46">
        <f t="shared" si="922"/>
        <v>0</v>
      </c>
      <c r="CE94" s="46">
        <f t="shared" si="922"/>
        <v>0</v>
      </c>
      <c r="CF94" s="46">
        <f ca="1">SUMIFS(OFFSET(tblForecast,,CF$2,,1),OFFSET(tblForecast,,,,1),$B94-IF(CompareVer="LY",1,0)&amp; $C94 &amp;CF$4)</f>
        <v>0</v>
      </c>
      <c r="CG94" s="193">
        <f t="shared" ca="1" si="775"/>
        <v>0</v>
      </c>
      <c r="CH94" s="330">
        <f t="shared" si="923"/>
        <v>0</v>
      </c>
      <c r="CI94" s="46">
        <f t="shared" si="923"/>
        <v>0</v>
      </c>
      <c r="CJ94" s="46">
        <f>IF($A94="a",IFERROR(VLOOKUP($B94 &amp; $C94&amp;CJ$4,tblForecast,CJ$2,FALSE),0),CH94+CI94)</f>
        <v>0</v>
      </c>
      <c r="CK94" s="46">
        <f t="shared" si="924"/>
        <v>0</v>
      </c>
      <c r="CL94" s="46">
        <f t="shared" si="924"/>
        <v>0</v>
      </c>
      <c r="CM94" s="46">
        <f ca="1">SUMIFS(OFFSET(tblForecast,,CM$2,,1),OFFSET(tblForecast,,,,1),$B94-IF(CompareVer="LY",1,0)&amp; $C94 &amp;CM$4)</f>
        <v>0</v>
      </c>
      <c r="CN94" s="193">
        <f t="shared" ca="1" si="776"/>
        <v>0</v>
      </c>
      <c r="CO94" s="177">
        <f t="shared" si="823"/>
        <v>0</v>
      </c>
      <c r="CP94" s="221">
        <f t="shared" ca="1" si="823"/>
        <v>0</v>
      </c>
      <c r="CQ94" s="193">
        <f t="shared" ca="1" si="777"/>
        <v>0</v>
      </c>
      <c r="CR94" s="177">
        <f t="shared" si="780"/>
        <v>0</v>
      </c>
      <c r="CS94" s="221">
        <f t="shared" ca="1" si="780"/>
        <v>0</v>
      </c>
      <c r="CT94" s="193">
        <f t="shared" ca="1" si="824"/>
        <v>0</v>
      </c>
      <c r="CU94" s="44">
        <f t="shared" si="859"/>
        <v>0</v>
      </c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6">
        <f>IFERROR(VLOOKUP(Brand&amp;Channel&amp;Country&amp;$C94,tblDiscount,6,FALSE),0)</f>
        <v>0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7" t="s">
        <v>22</v>
      </c>
      <c r="D95" s="348">
        <f t="shared" ref="D95" si="930">SUM(D91:D94)</f>
        <v>0</v>
      </c>
      <c r="E95" s="349">
        <f t="shared" ref="E95" si="931">SUM(E91:E94)</f>
        <v>0</v>
      </c>
      <c r="F95" s="350">
        <f t="shared" si="783"/>
        <v>0</v>
      </c>
      <c r="G95" s="351">
        <f>SUM(G91:G94)</f>
        <v>0</v>
      </c>
      <c r="H95" s="352">
        <f>IFERROR(D95/G95,0)</f>
        <v>0</v>
      </c>
      <c r="I95" s="352">
        <f>IFERROR(SUMPRODUCT(I91:I94,G91:G94)/G95,0)</f>
        <v>0</v>
      </c>
      <c r="J95" s="351">
        <f>SUM(J91:J94)</f>
        <v>0</v>
      </c>
      <c r="K95" s="353">
        <f>IFERROR(VLOOKUP($B95 &amp; $C95&amp;K$4&amp;$A95,tblForecast,K$2,FALSE),0)+IFERROR(VLOOKUP($B95 &amp; $C95&amp;K$4&amp;$A95,tblForecast,K$2+1,FALSE),0)</f>
        <v>0</v>
      </c>
      <c r="L95" s="354">
        <f ca="1">SUM(L91:L94)</f>
        <v>0</v>
      </c>
      <c r="M95" s="354">
        <f t="shared" ref="M95:O95" si="932">SUM(M91:M94)</f>
        <v>0</v>
      </c>
      <c r="N95" s="354">
        <f t="shared" si="932"/>
        <v>0</v>
      </c>
      <c r="O95" s="354">
        <f t="shared" ca="1" si="932"/>
        <v>0</v>
      </c>
      <c r="P95" s="355">
        <f t="shared" ca="1" si="778"/>
        <v>0</v>
      </c>
      <c r="Q95" s="356">
        <f t="shared" ref="Q95" ca="1" si="933">SUM(Q91:Q94)</f>
        <v>0</v>
      </c>
      <c r="R95" s="356">
        <f t="shared" ref="R95:S95" si="934">SUM(R91:R94)</f>
        <v>0</v>
      </c>
      <c r="S95" s="356">
        <f t="shared" si="934"/>
        <v>0</v>
      </c>
      <c r="T95" s="356">
        <f ca="1">SUM(T91:T94)</f>
        <v>0</v>
      </c>
      <c r="U95" s="355">
        <f t="shared" ca="1" si="769"/>
        <v>0</v>
      </c>
      <c r="V95" s="357">
        <f t="shared" ref="V95:X95" ca="1" si="935">V94</f>
        <v>0</v>
      </c>
      <c r="W95" s="358">
        <f t="shared" ca="1" si="935"/>
        <v>0</v>
      </c>
      <c r="X95" s="359">
        <f t="shared" ca="1" si="935"/>
        <v>0</v>
      </c>
      <c r="Y95" s="348">
        <f ca="1">SUM(Y91:Y94)</f>
        <v>0</v>
      </c>
      <c r="Z95" s="354">
        <f t="shared" ref="Z95:AB95" si="936">SUM(Z91:Z94)</f>
        <v>0</v>
      </c>
      <c r="AA95" s="354">
        <f t="shared" si="936"/>
        <v>0</v>
      </c>
      <c r="AB95" s="354">
        <f t="shared" ca="1" si="936"/>
        <v>0</v>
      </c>
      <c r="AC95" s="355">
        <f t="shared" ca="1" si="770"/>
        <v>0</v>
      </c>
      <c r="AD95" s="360">
        <f t="shared" ref="AD95:AG96" ca="1" si="937">IFERROR(Y95/L95,0)</f>
        <v>0</v>
      </c>
      <c r="AE95" s="361">
        <f t="shared" si="937"/>
        <v>0</v>
      </c>
      <c r="AF95" s="361">
        <f t="shared" si="937"/>
        <v>0</v>
      </c>
      <c r="AG95" s="361">
        <f t="shared" ca="1" si="937"/>
        <v>0</v>
      </c>
      <c r="AH95" s="362">
        <f ca="1">IFERROR(SUMPRODUCT(AH91:AH94,Q91:Q94)/Q95,0)</f>
        <v>0</v>
      </c>
      <c r="AI95" s="363">
        <f>IFERROR(SUMPRODUCT(AI91:AI94,R91:R94)/R95,0)</f>
        <v>0</v>
      </c>
      <c r="AJ95" s="363">
        <f t="shared" ref="AJ95:AK95" si="938">IFERROR(SUMPRODUCT(AJ91:AJ94,S91:S94)/S95,0)</f>
        <v>0</v>
      </c>
      <c r="AK95" s="363">
        <f t="shared" ca="1" si="938"/>
        <v>0</v>
      </c>
      <c r="AL95" s="355">
        <f t="shared" ref="AL95" ca="1" si="939">IFERROR((AL83*U83+AL89*U89+AL94*U94)/U95,0)</f>
        <v>0</v>
      </c>
      <c r="AM95" s="362">
        <f t="shared" ref="AM95:AP96" ca="1" si="940">IF(Q95&lt;&gt;0,L95/Q95,0)</f>
        <v>0</v>
      </c>
      <c r="AN95" s="363">
        <f t="shared" si="940"/>
        <v>0</v>
      </c>
      <c r="AO95" s="363">
        <f t="shared" si="940"/>
        <v>0</v>
      </c>
      <c r="AP95" s="363">
        <f t="shared" ca="1" si="940"/>
        <v>0</v>
      </c>
      <c r="AQ95" s="355">
        <f t="shared" ca="1" si="771"/>
        <v>0</v>
      </c>
      <c r="AR95" s="362">
        <f t="shared" ref="AR95:AU96" ca="1" si="941">IFERROR((L95*(1-AD95))/Q95,0)</f>
        <v>0</v>
      </c>
      <c r="AS95" s="363">
        <f t="shared" si="941"/>
        <v>0</v>
      </c>
      <c r="AT95" s="363">
        <f t="shared" si="941"/>
        <v>0</v>
      </c>
      <c r="AU95" s="363">
        <f t="shared" ca="1" si="941"/>
        <v>0</v>
      </c>
      <c r="AV95" s="355">
        <f t="shared" ca="1" si="772"/>
        <v>0</v>
      </c>
      <c r="AW95" s="364">
        <f ca="1">IFERROR(SUMPRODUCT(AW91:AW94,V91:V94)/V95,0)</f>
        <v>0</v>
      </c>
      <c r="AX95" s="365">
        <f t="shared" ref="AX95:AZ95" ca="1" si="942">IFERROR(SUMPRODUCT(AX91:AX94,X91:X94)/X95,0)</f>
        <v>0</v>
      </c>
      <c r="AY95" s="365">
        <f t="shared" ca="1" si="942"/>
        <v>0</v>
      </c>
      <c r="AZ95" s="365">
        <f t="shared" ca="1" si="942"/>
        <v>0</v>
      </c>
      <c r="BA95" s="366">
        <f ca="1">BA94</f>
        <v>0</v>
      </c>
      <c r="BB95" s="356">
        <f t="shared" ref="BB95:BD96" ca="1" si="943">BB94</f>
        <v>0</v>
      </c>
      <c r="BC95" s="356">
        <f t="shared" ca="1" si="943"/>
        <v>0</v>
      </c>
      <c r="BD95" s="356">
        <f t="shared" ca="1" si="943"/>
        <v>0</v>
      </c>
      <c r="BE95" s="355">
        <f t="shared" ca="1" si="773"/>
        <v>0</v>
      </c>
      <c r="BF95" s="356">
        <f>BF94</f>
        <v>0</v>
      </c>
      <c r="BG95" s="356">
        <f ca="1">BG94</f>
        <v>0</v>
      </c>
      <c r="BH95" s="367">
        <f ca="1">IF(Q95&lt;&gt;0,(BA95*COUNTIF(BH91:BH94,"&lt;&gt;0")/Q95),0)</f>
        <v>0</v>
      </c>
      <c r="BI95" s="368">
        <f ca="1">IF(T95&lt;&gt;0,(BD95*COUNTIF(BI91:BI94,"&lt;&gt;0")/T95),0)</f>
        <v>0</v>
      </c>
      <c r="BJ95" s="369">
        <f ca="1">IFERROR((Q95/COUNTIF(BJ91:BJ94,"&lt;&gt;0"))/BA95,0)</f>
        <v>0</v>
      </c>
      <c r="BK95" s="370">
        <f ca="1">IF(BD95&lt;&gt;0,(T95/COUNTIF(BK91:BK94,"&lt;&gt;0"))/BD95,0)</f>
        <v>0</v>
      </c>
      <c r="BL95" s="366">
        <f>SUM(BL91:BL94)</f>
        <v>0</v>
      </c>
      <c r="BM95" s="356">
        <f ca="1">SUM(BM91:BM94)</f>
        <v>0</v>
      </c>
      <c r="BN95" s="366">
        <f>SUM(BN91:BN94)</f>
        <v>0</v>
      </c>
      <c r="BO95" s="356">
        <f t="shared" ref="BO95" ca="1" si="944">SUM(BO91:BO94)</f>
        <v>0</v>
      </c>
      <c r="BP95" s="366">
        <f>SUM(BP91:BP94)</f>
        <v>0</v>
      </c>
      <c r="BQ95" s="356">
        <f t="shared" ref="BQ95" ca="1" si="945">SUM(BQ91:BQ94)</f>
        <v>0</v>
      </c>
      <c r="BR95" s="366">
        <f t="shared" si="929"/>
        <v>0</v>
      </c>
      <c r="BS95" s="356">
        <f t="shared" ca="1" si="929"/>
        <v>0</v>
      </c>
      <c r="BT95" s="366">
        <f>SUM(BT92:BT94)</f>
        <v>0</v>
      </c>
      <c r="BU95" s="356">
        <f>SUM(BU92:BU94)</f>
        <v>0</v>
      </c>
      <c r="BV95" s="356">
        <f>SUM(BV91:BV94)</f>
        <v>0</v>
      </c>
      <c r="BW95" s="356">
        <f t="shared" ref="BW95:BX95" si="946">SUM(BW91:BW94)</f>
        <v>0</v>
      </c>
      <c r="BX95" s="356">
        <f t="shared" si="946"/>
        <v>0</v>
      </c>
      <c r="BY95" s="371">
        <f ca="1">SUM(BY91:BY94)</f>
        <v>0</v>
      </c>
      <c r="BZ95" s="355">
        <f t="shared" ca="1" si="774"/>
        <v>0</v>
      </c>
      <c r="CA95" s="372">
        <f>SUM(CA92:CA94)</f>
        <v>0</v>
      </c>
      <c r="CB95" s="354">
        <f t="shared" ref="CB95" si="947">SUM(CB92:CB94)</f>
        <v>0</v>
      </c>
      <c r="CC95" s="354">
        <f t="shared" ref="CC95:CF95" si="948">SUM(CC91:CC94)</f>
        <v>0</v>
      </c>
      <c r="CD95" s="354">
        <f t="shared" si="948"/>
        <v>0</v>
      </c>
      <c r="CE95" s="354">
        <f t="shared" si="948"/>
        <v>0</v>
      </c>
      <c r="CF95" s="354">
        <f t="shared" ca="1" si="948"/>
        <v>0</v>
      </c>
      <c r="CG95" s="355">
        <f t="shared" ca="1" si="775"/>
        <v>0</v>
      </c>
      <c r="CH95" s="372">
        <f>SUM(CH92:CH94)</f>
        <v>0</v>
      </c>
      <c r="CI95" s="354">
        <f t="shared" ref="CI95" si="949">SUM(CI92:CI94)</f>
        <v>0</v>
      </c>
      <c r="CJ95" s="354">
        <f t="shared" ref="CJ95:CM95" si="950">SUM(CJ91:CJ94)</f>
        <v>0</v>
      </c>
      <c r="CK95" s="354">
        <f t="shared" si="950"/>
        <v>0</v>
      </c>
      <c r="CL95" s="354">
        <f t="shared" si="950"/>
        <v>0</v>
      </c>
      <c r="CM95" s="354">
        <f t="shared" ca="1" si="950"/>
        <v>0</v>
      </c>
      <c r="CN95" s="355">
        <f t="shared" ca="1" si="776"/>
        <v>0</v>
      </c>
      <c r="CO95" s="373">
        <f t="shared" si="823"/>
        <v>0</v>
      </c>
      <c r="CP95" s="374">
        <f t="shared" ca="1" si="823"/>
        <v>0</v>
      </c>
      <c r="CQ95" s="355">
        <f t="shared" ca="1" si="777"/>
        <v>0</v>
      </c>
      <c r="CR95" s="373">
        <f t="shared" si="780"/>
        <v>0</v>
      </c>
      <c r="CS95" s="374">
        <f t="shared" ca="1" si="780"/>
        <v>0</v>
      </c>
      <c r="CT95" s="355">
        <f t="shared" ca="1" si="824"/>
        <v>0</v>
      </c>
      <c r="CU95" s="44">
        <f t="shared" si="859"/>
        <v>0</v>
      </c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951">D84+D90+D95</f>
        <v>0</v>
      </c>
      <c r="E96" s="204">
        <f t="shared" si="951"/>
        <v>0</v>
      </c>
      <c r="F96" s="205">
        <f t="shared" si="783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952">J84+J90+J95</f>
        <v>0</v>
      </c>
      <c r="K96" s="298">
        <f t="shared" si="952"/>
        <v>0</v>
      </c>
      <c r="L96" s="53">
        <f ca="1">L84+L90+L95</f>
        <v>0</v>
      </c>
      <c r="M96" s="53">
        <f t="shared" ref="M96:O96" si="953">M84+M90+M95</f>
        <v>0</v>
      </c>
      <c r="N96" s="53">
        <f t="shared" si="953"/>
        <v>0</v>
      </c>
      <c r="O96" s="53">
        <f t="shared" ca="1" si="953"/>
        <v>0</v>
      </c>
      <c r="P96" s="54">
        <f t="shared" ca="1" si="778"/>
        <v>0</v>
      </c>
      <c r="Q96" s="227">
        <f t="shared" ref="Q96" ca="1" si="954">Q84+Q90+Q95</f>
        <v>0</v>
      </c>
      <c r="R96" s="228">
        <f t="shared" ref="R96:S96" si="955">R84+R90+R95</f>
        <v>0</v>
      </c>
      <c r="S96" s="228">
        <f t="shared" si="955"/>
        <v>0</v>
      </c>
      <c r="T96" s="228">
        <f ca="1">T84+T90+T95</f>
        <v>0</v>
      </c>
      <c r="U96" s="54">
        <f t="shared" ca="1" si="769"/>
        <v>0</v>
      </c>
      <c r="V96" s="245">
        <f t="shared" ref="V96:X96" ca="1" si="956">V95</f>
        <v>0</v>
      </c>
      <c r="W96" s="326">
        <f t="shared" ca="1" si="956"/>
        <v>0</v>
      </c>
      <c r="X96" s="246">
        <f t="shared" ca="1" si="956"/>
        <v>0</v>
      </c>
      <c r="Y96" s="52">
        <f ca="1">Y84+Y90+Y95</f>
        <v>0</v>
      </c>
      <c r="Z96" s="53">
        <f t="shared" ref="Z96:AB96" si="957">Z84+Z90+Z95</f>
        <v>0</v>
      </c>
      <c r="AA96" s="53">
        <f t="shared" si="957"/>
        <v>0</v>
      </c>
      <c r="AB96" s="53">
        <f t="shared" ca="1" si="957"/>
        <v>0</v>
      </c>
      <c r="AC96" s="54">
        <f t="shared" ca="1" si="770"/>
        <v>0</v>
      </c>
      <c r="AD96" s="77">
        <f t="shared" ca="1" si="937"/>
        <v>0</v>
      </c>
      <c r="AE96" s="78">
        <f t="shared" si="937"/>
        <v>0</v>
      </c>
      <c r="AF96" s="78">
        <f t="shared" si="937"/>
        <v>0</v>
      </c>
      <c r="AG96" s="78">
        <f t="shared" ca="1" si="937"/>
        <v>0</v>
      </c>
      <c r="AH96" s="57">
        <f ca="1">IFERROR((AH84*Q84+AH90*Q90+AH95*Q95)/Q96,0)</f>
        <v>0</v>
      </c>
      <c r="AI96" s="58">
        <f t="shared" ref="AI96:AK96" si="958">IFERROR((AI84*R84+AI90*R90+AI95*R95)/R96,0)</f>
        <v>0</v>
      </c>
      <c r="AJ96" s="58">
        <f t="shared" si="958"/>
        <v>0</v>
      </c>
      <c r="AK96" s="58">
        <f t="shared" ca="1" si="958"/>
        <v>0</v>
      </c>
      <c r="AL96" s="54">
        <f t="shared" ref="AL96:AL111" ca="1" si="959">IFERROR(AH96/AK96-1,)</f>
        <v>0</v>
      </c>
      <c r="AM96" s="57">
        <f t="shared" ca="1" si="940"/>
        <v>0</v>
      </c>
      <c r="AN96" s="58">
        <f t="shared" si="940"/>
        <v>0</v>
      </c>
      <c r="AO96" s="58">
        <f t="shared" si="940"/>
        <v>0</v>
      </c>
      <c r="AP96" s="58">
        <f t="shared" ca="1" si="940"/>
        <v>0</v>
      </c>
      <c r="AQ96" s="54">
        <f t="shared" ca="1" si="771"/>
        <v>0</v>
      </c>
      <c r="AR96" s="57">
        <f t="shared" ca="1" si="941"/>
        <v>0</v>
      </c>
      <c r="AS96" s="58">
        <f t="shared" si="941"/>
        <v>0</v>
      </c>
      <c r="AT96" s="58">
        <f t="shared" si="941"/>
        <v>0</v>
      </c>
      <c r="AU96" s="58">
        <f t="shared" ca="1" si="941"/>
        <v>0</v>
      </c>
      <c r="AV96" s="54">
        <f t="shared" ca="1" si="772"/>
        <v>0</v>
      </c>
      <c r="AW96" s="59">
        <f ca="1">IFERROR((AW84*V84+AW90*V90+AW95*V95)/V96,0)</f>
        <v>0</v>
      </c>
      <c r="AX96" s="60">
        <f t="shared" ref="AX96:AZ96" ca="1" si="960">IFERROR((AX84*X84+AX90*X90+AX95*X95)/X96,0)</f>
        <v>0</v>
      </c>
      <c r="AY96" s="60">
        <f t="shared" ca="1" si="960"/>
        <v>0</v>
      </c>
      <c r="AZ96" s="60">
        <f t="shared" ca="1" si="960"/>
        <v>0</v>
      </c>
      <c r="BA96" s="234">
        <f ca="1">BA95</f>
        <v>0</v>
      </c>
      <c r="BB96" s="228">
        <f t="shared" ca="1" si="943"/>
        <v>0</v>
      </c>
      <c r="BC96" s="228">
        <f t="shared" ca="1" si="943"/>
        <v>0</v>
      </c>
      <c r="BD96" s="228">
        <f t="shared" ca="1" si="943"/>
        <v>0</v>
      </c>
      <c r="BE96" s="54">
        <f t="shared" ca="1" si="773"/>
        <v>0</v>
      </c>
      <c r="BF96" s="228">
        <f>BF95</f>
        <v>0</v>
      </c>
      <c r="BG96" s="228">
        <f ca="1">BG95</f>
        <v>0</v>
      </c>
      <c r="BH96" s="62">
        <f ca="1">IF(Q94&lt;&gt;0,(BA96/(Q96/13)),0)</f>
        <v>0</v>
      </c>
      <c r="BI96" s="132">
        <f ca="1">IF(T94&lt;&gt;0,(BD96/(T96/13)),0)</f>
        <v>0</v>
      </c>
      <c r="BJ96" s="189">
        <f ca="1">IF(BA96&lt;&gt;0,(Q96/13)/BA96,0)</f>
        <v>0</v>
      </c>
      <c r="BK96" s="61">
        <f ca="1">IF(BD96&lt;&gt;0,(T96/13)/BD96,0)</f>
        <v>0</v>
      </c>
      <c r="BL96" s="227">
        <f>BL84+BL90+BL95</f>
        <v>0</v>
      </c>
      <c r="BM96" s="228">
        <f t="shared" ref="BM96" ca="1" si="961">BM84+BM90+BM95</f>
        <v>0</v>
      </c>
      <c r="BN96" s="227">
        <f>BN84+BN90+BN95</f>
        <v>0</v>
      </c>
      <c r="BO96" s="228">
        <f t="shared" ref="BO96" ca="1" si="962">BO84+BO90+BO95</f>
        <v>0</v>
      </c>
      <c r="BP96" s="227">
        <f>BP84+BP90+BP95</f>
        <v>0</v>
      </c>
      <c r="BQ96" s="228">
        <f t="shared" ref="BQ96" ca="1" si="963">BQ84+BQ90+BQ95</f>
        <v>0</v>
      </c>
      <c r="BR96" s="227">
        <f t="shared" si="929"/>
        <v>0</v>
      </c>
      <c r="BS96" s="228">
        <f t="shared" ca="1" si="929"/>
        <v>0</v>
      </c>
      <c r="BT96" s="227">
        <f t="shared" ref="BT96:BY96" si="964">BT84+BT90+BT95</f>
        <v>0</v>
      </c>
      <c r="BU96" s="228">
        <f t="shared" si="964"/>
        <v>0</v>
      </c>
      <c r="BV96" s="228">
        <f t="shared" si="964"/>
        <v>0</v>
      </c>
      <c r="BW96" s="228">
        <f t="shared" si="964"/>
        <v>0</v>
      </c>
      <c r="BX96" s="228">
        <f t="shared" si="964"/>
        <v>0</v>
      </c>
      <c r="BY96" s="56">
        <f t="shared" ca="1" si="964"/>
        <v>0</v>
      </c>
      <c r="BZ96" s="54">
        <f t="shared" ca="1" si="774"/>
        <v>0</v>
      </c>
      <c r="CA96" s="332">
        <f t="shared" ref="CA96:CF96" si="965">CA84+CA90+CA95</f>
        <v>0</v>
      </c>
      <c r="CB96" s="53">
        <f t="shared" si="965"/>
        <v>0</v>
      </c>
      <c r="CC96" s="53">
        <f t="shared" si="965"/>
        <v>0</v>
      </c>
      <c r="CD96" s="53">
        <f t="shared" si="965"/>
        <v>0</v>
      </c>
      <c r="CE96" s="53">
        <f t="shared" si="965"/>
        <v>0</v>
      </c>
      <c r="CF96" s="53">
        <f t="shared" ca="1" si="965"/>
        <v>0</v>
      </c>
      <c r="CG96" s="54">
        <f t="shared" ca="1" si="775"/>
        <v>0</v>
      </c>
      <c r="CH96" s="332">
        <f t="shared" ref="CH96:CM96" si="966">CH84+CH90+CH95</f>
        <v>0</v>
      </c>
      <c r="CI96" s="53">
        <f t="shared" si="966"/>
        <v>0</v>
      </c>
      <c r="CJ96" s="53">
        <f t="shared" si="966"/>
        <v>0</v>
      </c>
      <c r="CK96" s="53">
        <f t="shared" si="966"/>
        <v>0</v>
      </c>
      <c r="CL96" s="53">
        <f t="shared" si="966"/>
        <v>0</v>
      </c>
      <c r="CM96" s="53">
        <f t="shared" ca="1" si="966"/>
        <v>0</v>
      </c>
      <c r="CN96" s="54">
        <f t="shared" ca="1" si="776"/>
        <v>0</v>
      </c>
      <c r="CO96" s="55">
        <f t="shared" si="823"/>
        <v>0</v>
      </c>
      <c r="CP96" s="222">
        <f t="shared" ca="1" si="823"/>
        <v>0</v>
      </c>
      <c r="CQ96" s="54">
        <f t="shared" ca="1" si="777"/>
        <v>0</v>
      </c>
      <c r="CR96" s="55">
        <f t="shared" si="780"/>
        <v>0</v>
      </c>
      <c r="CS96" s="222">
        <f t="shared" ca="1" si="780"/>
        <v>0</v>
      </c>
      <c r="CT96" s="54">
        <f t="shared" ca="1" si="824"/>
        <v>0</v>
      </c>
      <c r="CU96" s="44">
        <f t="shared" si="859"/>
        <v>0</v>
      </c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79"/>
      <c r="DA96" s="280"/>
      <c r="DB96" s="280"/>
      <c r="DC96" s="281"/>
    </row>
    <row r="97" spans="1:107" x14ac:dyDescent="0.25">
      <c r="A97" s="44" t="s">
        <v>478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ref="F97:F113" si="967">IF(H97&lt;&gt;0,1-I97/H97,0)</f>
        <v>0</v>
      </c>
      <c r="G97" s="175">
        <f t="shared" ref="G97:I100" si="968">IFERROR(VLOOKUP($B97 &amp; $C97&amp;G$4&amp;$A97,tblForecast,G$2,FALSE),0)</f>
        <v>0</v>
      </c>
      <c r="H97" s="202">
        <f t="shared" si="968"/>
        <v>0</v>
      </c>
      <c r="I97" s="202">
        <f t="shared" si="968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M100" si="969">R97*AN97</f>
        <v>0</v>
      </c>
      <c r="N97" s="46">
        <f t="shared" ref="N97:N100" si="970">S97*AO97</f>
        <v>0</v>
      </c>
      <c r="O97" s="46">
        <f t="shared" ref="O97:O100" ca="1" si="971">T97*AP97</f>
        <v>0</v>
      </c>
      <c r="P97" s="47">
        <f t="shared" ref="P97:P113" ca="1" si="972">IFERROR(L97/O97-1,)</f>
        <v>0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973">IFERROR(VLOOKUP($B97 &amp; $C97&amp;S$4,tblForecast,S$2,FALSE),0)</f>
        <v>0</v>
      </c>
      <c r="T97" s="238">
        <f ca="1">SUMIFS(OFFSET(tblForecast,,T$2,,1),OFFSET(tblForecast,,,,1),$B97-IF(CompareVer="LY",1,0)&amp; $C97 &amp;T$4)</f>
        <v>0</v>
      </c>
      <c r="U97" s="91">
        <f t="shared" ref="U97:U113" ca="1" si="974">IFERROR(Q97/T97-1,)</f>
        <v>0</v>
      </c>
      <c r="V97" s="247">
        <f ca="1">IFERROR(IF(Q93&lt;&gt;0,Q97/Q93,0),0)</f>
        <v>0</v>
      </c>
      <c r="W97" s="327">
        <f ca="1">IFERROR(IF(R94&lt;&gt;0,R97/R94,X97),0)</f>
        <v>0</v>
      </c>
      <c r="X97" s="248">
        <f ca="1">IFERROR(IF(T93&lt;&gt;0,T97/T93,0),0)</f>
        <v>0</v>
      </c>
      <c r="Y97" s="51">
        <f t="shared" ref="Y97:Y100" ca="1" si="975">IFERROR(L97*AD97,0)</f>
        <v>0</v>
      </c>
      <c r="Z97" s="46">
        <f t="shared" ref="Z97:Z100" si="976">IFERROR(M97*AE97,0)</f>
        <v>0</v>
      </c>
      <c r="AA97" s="46">
        <f t="shared" ref="AA97:AA100" si="977">IFERROR(N97*AF97,0)</f>
        <v>0</v>
      </c>
      <c r="AB97" s="46">
        <f t="shared" ref="AB97:AB100" ca="1" si="978">IFERROR(O97*AG97,0)</f>
        <v>0</v>
      </c>
      <c r="AC97" s="91">
        <f t="shared" ref="AC97:AC113" ca="1" si="979">IFERROR(Y97/AB97-1,)</f>
        <v>0</v>
      </c>
      <c r="AD97" s="75">
        <f ca="1">IF(AM97&lt;&gt;0,1-AR97/AM97,0)</f>
        <v>0</v>
      </c>
      <c r="AE97" s="93">
        <f t="shared" ref="AE97:AE100" si="980">IF(AN97&lt;&gt;0,1-AS97/AN97,0)</f>
        <v>0</v>
      </c>
      <c r="AF97" s="93">
        <f t="shared" ref="AF97:AF100" si="981">IF(AO97&lt;&gt;0,1-AT97/AO97,0)</f>
        <v>0</v>
      </c>
      <c r="AG97" s="76">
        <f t="shared" ref="AG97:AG100" ca="1" si="982">IF(AP97&lt;&gt;0,1-AU97/AP97,0)</f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983">IFERROR(VLOOKUP($B97 &amp; $C97&amp;AI$4,tblForecast,AI$2,FALSE),0)</f>
        <v>0</v>
      </c>
      <c r="AJ97" s="94">
        <f t="shared" si="983"/>
        <v>0</v>
      </c>
      <c r="AK97" s="49">
        <f ca="1">IFERROR(CF97/BY97,0)</f>
        <v>0</v>
      </c>
      <c r="AL97" s="47">
        <f t="shared" ca="1" si="959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984">IFERROR(VLOOKUP($B97 &amp; $C97&amp;AN$4,tblForecast,AN$2,FALSE),0)</f>
        <v>0</v>
      </c>
      <c r="AO97" s="94">
        <f t="shared" si="984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ref="AQ97:AQ113" ca="1" si="985">IFERROR(AM97/AP97-1,)</f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986">IFERROR(VLOOKUP($B97 &amp; $C97&amp;AS$4,tblForecast,AS$2,FALSE),0)</f>
        <v>0</v>
      </c>
      <c r="AT97" s="94">
        <f t="shared" si="986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ref="AV97:AV113" ca="1" si="987">IFERROR(AR97/AU97-1,)</f>
        <v>0</v>
      </c>
      <c r="AW97" s="190">
        <f t="shared" ref="AW97:AW100" ca="1" si="988">IFERROR((AM97/AH97-1)*-1,0)</f>
        <v>0</v>
      </c>
      <c r="AX97" s="191">
        <f t="shared" ref="AX97:AX100" si="989">IFERROR((AN97/AI97-1)*-1,0)</f>
        <v>0</v>
      </c>
      <c r="AY97" s="191">
        <f t="shared" ref="AY97:AY100" si="990">IFERROR((AO97/AJ97-1)*-1,0)</f>
        <v>0</v>
      </c>
      <c r="AZ97" s="191">
        <f t="shared" ref="AZ97:AZ100" ca="1" si="991">IFERROR((AP97/AK97-1)*-1,0)</f>
        <v>0</v>
      </c>
      <c r="BA97" s="233">
        <f ca="1">IF(BA96+BV97+BL97+BR97-Q97&lt;0,0,BA96+BV97+BL97+BR97-Q97)</f>
        <v>0</v>
      </c>
      <c r="BB97" s="229">
        <f ca="1">IF(IFERROR(VLOOKUP($B97 &amp; $C97&amp;BB$4,tblForecast,BB$2,FALSE),0)=0,BA97,IFERROR(VLOOKUP($B97 &amp; $C97&amp;BB$4,tblForecast,BB$2,FALSE),0))</f>
        <v>0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992">CX97+BG97</f>
        <v>0</v>
      </c>
      <c r="BE97" s="193">
        <f t="shared" ref="BE97:BE113" ca="1" si="993">IFERROR(BA97/BD97-1,)</f>
        <v>0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0</v>
      </c>
      <c r="BH97" s="178">
        <f ca="1">IF(Q97&lt;&gt;0,BA97/Q97,0)</f>
        <v>0</v>
      </c>
      <c r="BI97" s="182">
        <f ca="1">IF(T97&lt;&gt;0,BD97/T97,0)</f>
        <v>0</v>
      </c>
      <c r="BJ97" s="194">
        <f t="shared" ref="BJ97:BJ100" ca="1" si="994">IF(BA97&lt;&gt;0,Q97/BA97,0)</f>
        <v>0</v>
      </c>
      <c r="BK97" s="50">
        <f t="shared" ref="BK97:BK100" ca="1" si="995">IF(BD97&lt;&gt;0,T97/BD97,0)</f>
        <v>0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0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0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0</v>
      </c>
      <c r="BR97" s="225">
        <f t="shared" si="929"/>
        <v>0</v>
      </c>
      <c r="BS97" s="229">
        <f t="shared" ca="1" si="929"/>
        <v>0</v>
      </c>
      <c r="BT97" s="232">
        <f t="shared" ref="BT97:BU100" si="996">IFERROR(VLOOKUP($B97 &amp; $C97&amp;BT$4,tblForecast,BT$2,FALSE),0)</f>
        <v>0</v>
      </c>
      <c r="BU97" s="229">
        <f t="shared" si="996"/>
        <v>0</v>
      </c>
      <c r="BV97" s="229">
        <f>IF($A97="a",IFERROR(VLOOKUP($B97 &amp; $C97&amp;BV$4,tblForecast,BV$2,FALSE),0),BT97+BU97)</f>
        <v>0</v>
      </c>
      <c r="BW97" s="229">
        <f t="shared" ref="BW97:BX100" si="997">IFERROR(VLOOKUP($B97 &amp; $C97&amp;BW$4,tblForecast,BW$2,FALSE),0)</f>
        <v>0</v>
      </c>
      <c r="BX97" s="229">
        <f t="shared" si="997"/>
        <v>0</v>
      </c>
      <c r="BY97" s="192">
        <f ca="1">SUMIFS(OFFSET(tblForecast,,BY$2,,1),OFFSET(tblForecast,,,,1),$B97-IF(CompareVer="LY",1,0)&amp; $C97 &amp;BY$4)</f>
        <v>0</v>
      </c>
      <c r="BZ97" s="193">
        <f t="shared" ref="BZ97:BZ113" ca="1" si="998">IFERROR(BV97/BY97-1,)</f>
        <v>0</v>
      </c>
      <c r="CA97" s="330">
        <f t="shared" ref="CA97:CB100" si="999">IFERROR(VLOOKUP($B97 &amp; $C97&amp;CA$4,tblForecast,CA$2,FALSE),0)</f>
        <v>0</v>
      </c>
      <c r="CB97" s="46">
        <f t="shared" si="999"/>
        <v>0</v>
      </c>
      <c r="CC97" s="46">
        <f>IF($A97="a",IFERROR(VLOOKUP($B97 &amp; $C97&amp;CC$4,tblForecast,CC$2,FALSE),0),CA97+CB97)</f>
        <v>0</v>
      </c>
      <c r="CD97" s="46">
        <f t="shared" ref="CD97:CE100" si="1000">IFERROR(VLOOKUP($B97 &amp; $C97&amp;CD$4,tblForecast,CD$2,FALSE),0)</f>
        <v>0</v>
      </c>
      <c r="CE97" s="46">
        <f t="shared" si="1000"/>
        <v>0</v>
      </c>
      <c r="CF97" s="46">
        <f ca="1">SUMIFS(OFFSET(tblForecast,,CF$2,,1),OFFSET(tblForecast,,,,1),$B97-IF(CompareVer="LY",1,0)&amp; $C97 &amp;CF$4)</f>
        <v>0</v>
      </c>
      <c r="CG97" s="193">
        <f t="shared" ref="CG97:CG113" ca="1" si="1001">IFERROR(CC97/CF97-1,)</f>
        <v>0</v>
      </c>
      <c r="CH97" s="330">
        <f t="shared" ref="CH97:CI100" si="1002">IFERROR(VLOOKUP($B97 &amp; $C97&amp;CH$4,tblForecast,CH$2,FALSE),0)</f>
        <v>0</v>
      </c>
      <c r="CI97" s="46">
        <f t="shared" si="1002"/>
        <v>0</v>
      </c>
      <c r="CJ97" s="46">
        <f>IF($A97="a",IFERROR(VLOOKUP($B97 &amp; $C97&amp;CJ$4,tblForecast,CJ$2,FALSE),0),CH97+CI97)</f>
        <v>0</v>
      </c>
      <c r="CK97" s="46">
        <f t="shared" ref="CK97:CL100" si="1003">IFERROR(VLOOKUP($B97 &amp; $C97&amp;CK$4,tblForecast,CK$2,FALSE),0)</f>
        <v>0</v>
      </c>
      <c r="CL97" s="46">
        <f t="shared" si="1003"/>
        <v>0</v>
      </c>
      <c r="CM97" s="46">
        <f ca="1">SUMIFS(OFFSET(tblForecast,,CM$2,,1),OFFSET(tblForecast,,,,1),$B97-IF(CompareVer="LY",1,0)&amp; $C97 &amp;CM$4)</f>
        <v>0</v>
      </c>
      <c r="CN97" s="193">
        <f t="shared" ref="CN97:CN113" ca="1" si="1004">IFERROR(CJ97/CM97-1,)</f>
        <v>0</v>
      </c>
      <c r="CO97" s="177">
        <f t="shared" ref="CO97:CO113" si="1005">IFERROR(CE97/BX97,0)</f>
        <v>0</v>
      </c>
      <c r="CP97" s="221">
        <f t="shared" ref="CP97:CP113" ca="1" si="1006">IFERROR(CF97/BY97,0)</f>
        <v>0</v>
      </c>
      <c r="CQ97" s="193">
        <f t="shared" ref="CQ97:CQ113" ca="1" si="1007">IFERROR(CL97/CP97-1,)</f>
        <v>0</v>
      </c>
      <c r="CR97" s="177">
        <f t="shared" ref="CR97:CR113" si="1008">IFERROR(CL97/BX97,0)</f>
        <v>0</v>
      </c>
      <c r="CS97" s="221">
        <f t="shared" ref="CS97:CS113" ca="1" si="1009">IFERROR(CM97/BY97,0)</f>
        <v>0</v>
      </c>
      <c r="CT97" s="193">
        <f t="shared" ref="CT97:CT113" ca="1" si="1010">IFERROR(CO97/CS97-1,)</f>
        <v>0</v>
      </c>
      <c r="CU97" s="44">
        <f t="shared" si="859"/>
        <v>0</v>
      </c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1011">IFERROR(CW97/CX97-1,)</f>
        <v>0</v>
      </c>
      <c r="CZ97" s="276">
        <f>IFERROR(VLOOKUP(Brand&amp;Channel&amp;Country&amp;$C97,tblDiscount,6,FALSE),0)</f>
        <v>0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478</v>
      </c>
      <c r="B98" s="44">
        <v>2019</v>
      </c>
      <c r="C98" s="88">
        <v>15</v>
      </c>
      <c r="D98" s="51">
        <f t="shared" ref="D98:D100" si="1012">G98*H98</f>
        <v>0</v>
      </c>
      <c r="E98" s="201">
        <f t="shared" ref="E98:E100" si="1013">IFERROR(D98*F98,0)</f>
        <v>0</v>
      </c>
      <c r="F98" s="181">
        <f t="shared" si="967"/>
        <v>0</v>
      </c>
      <c r="G98" s="175">
        <f t="shared" si="968"/>
        <v>0</v>
      </c>
      <c r="H98" s="202">
        <f t="shared" si="968"/>
        <v>0</v>
      </c>
      <c r="I98" s="202">
        <f t="shared" si="968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969"/>
        <v>0</v>
      </c>
      <c r="N98" s="46">
        <f t="shared" si="970"/>
        <v>0</v>
      </c>
      <c r="O98" s="46">
        <f t="shared" ca="1" si="971"/>
        <v>0</v>
      </c>
      <c r="P98" s="47">
        <f t="shared" ca="1" si="972"/>
        <v>0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973"/>
        <v>0</v>
      </c>
      <c r="T98" s="238">
        <f ca="1">SUMIFS(OFFSET(tblForecast,,T$2,,1),OFFSET(tblForecast,,,,1),$B98-IF(CompareVer="LY",1,0)&amp; $C98 &amp;T$4)</f>
        <v>0</v>
      </c>
      <c r="U98" s="91">
        <f t="shared" ca="1" si="974"/>
        <v>0</v>
      </c>
      <c r="V98" s="247">
        <f t="shared" ref="V98:V100" ca="1" si="1014">IFERROR(IF(Q97&lt;&gt;0,Q98/Q97,0),0)</f>
        <v>0</v>
      </c>
      <c r="W98" s="327">
        <f ca="1">IFERROR(IF(R97&lt;&gt;0,R98/R97,X98),0)</f>
        <v>0</v>
      </c>
      <c r="X98" s="248">
        <f ca="1">IFERROR(IF(T97&lt;&gt;0,T98/T97,0),0)</f>
        <v>0</v>
      </c>
      <c r="Y98" s="51">
        <f t="shared" ca="1" si="975"/>
        <v>0</v>
      </c>
      <c r="Z98" s="46">
        <f t="shared" si="976"/>
        <v>0</v>
      </c>
      <c r="AA98" s="46">
        <f t="shared" si="977"/>
        <v>0</v>
      </c>
      <c r="AB98" s="46">
        <f t="shared" ca="1" si="978"/>
        <v>0</v>
      </c>
      <c r="AC98" s="91">
        <f t="shared" ca="1" si="979"/>
        <v>0</v>
      </c>
      <c r="AD98" s="75">
        <f ca="1">IF(AM98&lt;&gt;0,1-AR98/AM98,0)</f>
        <v>0</v>
      </c>
      <c r="AE98" s="93">
        <f t="shared" si="980"/>
        <v>0</v>
      </c>
      <c r="AF98" s="93">
        <f t="shared" si="981"/>
        <v>0</v>
      </c>
      <c r="AG98" s="76">
        <f t="shared" ca="1" si="982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983"/>
        <v>0</v>
      </c>
      <c r="AJ98" s="94">
        <f t="shared" si="983"/>
        <v>0</v>
      </c>
      <c r="AK98" s="49">
        <f ca="1">IFERROR(CF98/BY98,0)</f>
        <v>0</v>
      </c>
      <c r="AL98" s="47">
        <f t="shared" ca="1" si="959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984"/>
        <v>0</v>
      </c>
      <c r="AO98" s="94">
        <f t="shared" si="984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985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986"/>
        <v>0</v>
      </c>
      <c r="AT98" s="94">
        <f t="shared" si="986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987"/>
        <v>0</v>
      </c>
      <c r="AW98" s="190">
        <f t="shared" ca="1" si="988"/>
        <v>0</v>
      </c>
      <c r="AX98" s="191">
        <f t="shared" si="989"/>
        <v>0</v>
      </c>
      <c r="AY98" s="191">
        <f t="shared" si="990"/>
        <v>0</v>
      </c>
      <c r="AZ98" s="191">
        <f t="shared" ca="1" si="991"/>
        <v>0</v>
      </c>
      <c r="BA98" s="233">
        <f ca="1">IF(BA97+BV98+BL98+BR98-Q98&lt;0,0,BA97+BV98+BL98+BR98-Q98)</f>
        <v>0</v>
      </c>
      <c r="BB98" s="229">
        <f ca="1">IF(IFERROR(VLOOKUP($B98 &amp; $C98&amp;BB$4,tblForecast,BB$2,FALSE),0)=0,BA98,IFERROR(VLOOKUP($B98 &amp; $C98&amp;BB$4,tblForecast,BB$2,FALSE),0))</f>
        <v>0</v>
      </c>
      <c r="BC98" s="229">
        <f ca="1">SUMIFS(OFFSET(tblForecast,,BC$2,,1),OFFSET(tblForecast,,,,1),$B98-IF(CompareVer="LY",1,0)&amp; $C98 &amp;BC$4)</f>
        <v>0</v>
      </c>
      <c r="BD98" s="229">
        <f t="shared" ca="1" si="992"/>
        <v>0</v>
      </c>
      <c r="BE98" s="193">
        <f t="shared" ca="1" si="993"/>
        <v>0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0</v>
      </c>
      <c r="BH98" s="178">
        <f ca="1">IF(Q98&lt;&gt;0,BA98/Q98,0)</f>
        <v>0</v>
      </c>
      <c r="BI98" s="182">
        <f ca="1">IF(T98&lt;&gt;0,BD98/T98,0)</f>
        <v>0</v>
      </c>
      <c r="BJ98" s="194">
        <f t="shared" ca="1" si="994"/>
        <v>0</v>
      </c>
      <c r="BK98" s="50">
        <f t="shared" ca="1" si="995"/>
        <v>0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0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0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0</v>
      </c>
      <c r="BR98" s="225">
        <f t="shared" si="929"/>
        <v>0</v>
      </c>
      <c r="BS98" s="229">
        <f t="shared" ca="1" si="929"/>
        <v>0</v>
      </c>
      <c r="BT98" s="232">
        <f t="shared" si="996"/>
        <v>0</v>
      </c>
      <c r="BU98" s="229">
        <f t="shared" si="996"/>
        <v>0</v>
      </c>
      <c r="BV98" s="229">
        <f>IF($A98="a",IFERROR(VLOOKUP($B98 &amp; $C98&amp;BV$4,tblForecast,BV$2,FALSE),0),BT98+BU98)</f>
        <v>0</v>
      </c>
      <c r="BW98" s="229">
        <f t="shared" si="997"/>
        <v>0</v>
      </c>
      <c r="BX98" s="229">
        <f t="shared" si="997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998"/>
        <v>0</v>
      </c>
      <c r="CA98" s="330">
        <f t="shared" si="999"/>
        <v>0</v>
      </c>
      <c r="CB98" s="46">
        <f t="shared" si="999"/>
        <v>0</v>
      </c>
      <c r="CC98" s="46">
        <f>IF($A98="a",IFERROR(VLOOKUP($B98 &amp; $C98&amp;CC$4,tblForecast,CC$2,FALSE),0),CA98+CB98)</f>
        <v>0</v>
      </c>
      <c r="CD98" s="46">
        <f t="shared" si="1000"/>
        <v>0</v>
      </c>
      <c r="CE98" s="46">
        <f t="shared" si="1000"/>
        <v>0</v>
      </c>
      <c r="CF98" s="46">
        <f ca="1">SUMIFS(OFFSET(tblForecast,,CF$2,,1),OFFSET(tblForecast,,,,1),$B98-IF(CompareVer="LY",1,0)&amp; $C98 &amp;CF$4)</f>
        <v>0</v>
      </c>
      <c r="CG98" s="193">
        <f t="shared" ca="1" si="1001"/>
        <v>0</v>
      </c>
      <c r="CH98" s="330">
        <f t="shared" si="1002"/>
        <v>0</v>
      </c>
      <c r="CI98" s="46">
        <f t="shared" si="1002"/>
        <v>0</v>
      </c>
      <c r="CJ98" s="46">
        <f>IF($A98="a",IFERROR(VLOOKUP($B98 &amp; $C98&amp;CJ$4,tblForecast,CJ$2,FALSE),0),CH98+CI98)</f>
        <v>0</v>
      </c>
      <c r="CK98" s="46">
        <f t="shared" si="1003"/>
        <v>0</v>
      </c>
      <c r="CL98" s="46">
        <f t="shared" si="1003"/>
        <v>0</v>
      </c>
      <c r="CM98" s="46">
        <f ca="1">SUMIFS(OFFSET(tblForecast,,CM$2,,1),OFFSET(tblForecast,,,,1),$B98-IF(CompareVer="LY",1,0)&amp; $C98 &amp;CM$4)</f>
        <v>0</v>
      </c>
      <c r="CN98" s="193">
        <f t="shared" ca="1" si="1004"/>
        <v>0</v>
      </c>
      <c r="CO98" s="177">
        <f t="shared" si="1005"/>
        <v>0</v>
      </c>
      <c r="CP98" s="221">
        <f t="shared" ca="1" si="1006"/>
        <v>0</v>
      </c>
      <c r="CQ98" s="193">
        <f t="shared" ca="1" si="1007"/>
        <v>0</v>
      </c>
      <c r="CR98" s="177">
        <f t="shared" si="1008"/>
        <v>0</v>
      </c>
      <c r="CS98" s="221">
        <f t="shared" ca="1" si="1009"/>
        <v>0</v>
      </c>
      <c r="CT98" s="193">
        <f t="shared" ca="1" si="1010"/>
        <v>0</v>
      </c>
      <c r="CU98" s="44">
        <f t="shared" si="859"/>
        <v>0</v>
      </c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1011"/>
        <v>0</v>
      </c>
      <c r="CZ98" s="276">
        <f>IFERROR(VLOOKUP(Brand&amp;Channel&amp;Country&amp;$C98,tblDiscount,6,FALSE),0)</f>
        <v>0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478</v>
      </c>
      <c r="B99" s="44">
        <v>2019</v>
      </c>
      <c r="C99" s="88">
        <v>16</v>
      </c>
      <c r="D99" s="51">
        <f t="shared" si="1012"/>
        <v>0</v>
      </c>
      <c r="E99" s="201">
        <f t="shared" si="1013"/>
        <v>0</v>
      </c>
      <c r="F99" s="181">
        <f t="shared" si="967"/>
        <v>0</v>
      </c>
      <c r="G99" s="175">
        <f t="shared" si="968"/>
        <v>0</v>
      </c>
      <c r="H99" s="202">
        <f t="shared" si="968"/>
        <v>0</v>
      </c>
      <c r="I99" s="202">
        <f t="shared" si="968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969"/>
        <v>0</v>
      </c>
      <c r="N99" s="46">
        <f t="shared" si="970"/>
        <v>0</v>
      </c>
      <c r="O99" s="46">
        <f t="shared" ca="1" si="971"/>
        <v>0</v>
      </c>
      <c r="P99" s="47">
        <f t="shared" ca="1" si="972"/>
        <v>0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973"/>
        <v>0</v>
      </c>
      <c r="T99" s="238">
        <f ca="1">SUMIFS(OFFSET(tblForecast,,T$2,,1),OFFSET(tblForecast,,,,1),$B99-IF(CompareVer="LY",1,0)&amp; $C99 &amp;T$4)</f>
        <v>0</v>
      </c>
      <c r="U99" s="91">
        <f t="shared" ca="1" si="974"/>
        <v>0</v>
      </c>
      <c r="V99" s="247">
        <f t="shared" ca="1" si="1014"/>
        <v>0</v>
      </c>
      <c r="W99" s="327">
        <f ca="1">IFERROR(IF(R98&lt;&gt;0,R99/R98,X99),0)</f>
        <v>0</v>
      </c>
      <c r="X99" s="248">
        <f ca="1">IFERROR(IF(T98&lt;&gt;0,T99/T98,0),0)</f>
        <v>0</v>
      </c>
      <c r="Y99" s="51">
        <f t="shared" ca="1" si="975"/>
        <v>0</v>
      </c>
      <c r="Z99" s="46">
        <f t="shared" si="976"/>
        <v>0</v>
      </c>
      <c r="AA99" s="46">
        <f t="shared" si="977"/>
        <v>0</v>
      </c>
      <c r="AB99" s="46">
        <f t="shared" ca="1" si="978"/>
        <v>0</v>
      </c>
      <c r="AC99" s="91">
        <f t="shared" ca="1" si="979"/>
        <v>0</v>
      </c>
      <c r="AD99" s="75">
        <f ca="1">IF(AM99&lt;&gt;0,1-AR99/AM99,0)</f>
        <v>0</v>
      </c>
      <c r="AE99" s="93">
        <f t="shared" si="980"/>
        <v>0</v>
      </c>
      <c r="AF99" s="93">
        <f t="shared" si="981"/>
        <v>0</v>
      </c>
      <c r="AG99" s="76">
        <f t="shared" ca="1" si="982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983"/>
        <v>0</v>
      </c>
      <c r="AJ99" s="94">
        <f t="shared" si="983"/>
        <v>0</v>
      </c>
      <c r="AK99" s="49">
        <f ca="1">IFERROR(CF99/BY99,0)</f>
        <v>0</v>
      </c>
      <c r="AL99" s="47">
        <f t="shared" ca="1" si="959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984"/>
        <v>0</v>
      </c>
      <c r="AO99" s="94">
        <f t="shared" si="984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985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986"/>
        <v>0</v>
      </c>
      <c r="AT99" s="94">
        <f t="shared" si="986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987"/>
        <v>0</v>
      </c>
      <c r="AW99" s="190">
        <f t="shared" ca="1" si="988"/>
        <v>0</v>
      </c>
      <c r="AX99" s="191">
        <f t="shared" si="989"/>
        <v>0</v>
      </c>
      <c r="AY99" s="191">
        <f t="shared" si="990"/>
        <v>0</v>
      </c>
      <c r="AZ99" s="191">
        <f t="shared" ca="1" si="991"/>
        <v>0</v>
      </c>
      <c r="BA99" s="233">
        <f ca="1">IF(BA98+BV99+BL99+BR99-Q99&lt;0,0,BA98+BV99+BL99+BR99-Q99)</f>
        <v>0</v>
      </c>
      <c r="BB99" s="229">
        <f ca="1">IF(IFERROR(VLOOKUP($B99 &amp; $C99&amp;BB$4,tblForecast,BB$2,FALSE),0)=0,BA99,IFERROR(VLOOKUP($B99 &amp; $C99&amp;BB$4,tblForecast,BB$2,FALSE),0))</f>
        <v>0</v>
      </c>
      <c r="BC99" s="229">
        <f ca="1">SUMIFS(OFFSET(tblForecast,,BC$2,,1),OFFSET(tblForecast,,,,1),$B99-IF(CompareVer="LY",1,0)&amp; $C99 &amp;BC$4)</f>
        <v>0</v>
      </c>
      <c r="BD99" s="229">
        <f t="shared" ca="1" si="992"/>
        <v>0</v>
      </c>
      <c r="BE99" s="193">
        <f t="shared" ca="1" si="993"/>
        <v>0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0</v>
      </c>
      <c r="BH99" s="178">
        <f ca="1">IF(Q99&lt;&gt;0,BA99/Q99,0)</f>
        <v>0</v>
      </c>
      <c r="BI99" s="182">
        <f ca="1">IF(T99&lt;&gt;0,BD99/T99,0)</f>
        <v>0</v>
      </c>
      <c r="BJ99" s="194">
        <f t="shared" ca="1" si="994"/>
        <v>0</v>
      </c>
      <c r="BK99" s="50">
        <f t="shared" ca="1" si="995"/>
        <v>0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0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0</v>
      </c>
      <c r="BR99" s="225">
        <f t="shared" si="929"/>
        <v>0</v>
      </c>
      <c r="BS99" s="229">
        <f t="shared" ca="1" si="929"/>
        <v>0</v>
      </c>
      <c r="BT99" s="232">
        <f t="shared" si="996"/>
        <v>0</v>
      </c>
      <c r="BU99" s="229">
        <f t="shared" si="996"/>
        <v>0</v>
      </c>
      <c r="BV99" s="229">
        <f>IF($A99="a",IFERROR(VLOOKUP($B99 &amp; $C99&amp;BV$4,tblForecast,BV$2,FALSE),0),BT99+BU99)</f>
        <v>0</v>
      </c>
      <c r="BW99" s="229">
        <f t="shared" si="997"/>
        <v>0</v>
      </c>
      <c r="BX99" s="229">
        <f t="shared" si="997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998"/>
        <v>0</v>
      </c>
      <c r="CA99" s="330">
        <f t="shared" si="999"/>
        <v>0</v>
      </c>
      <c r="CB99" s="46">
        <f t="shared" si="999"/>
        <v>0</v>
      </c>
      <c r="CC99" s="46">
        <f>IF($A99="a",IFERROR(VLOOKUP($B99 &amp; $C99&amp;CC$4,tblForecast,CC$2,FALSE),0),CA99+CB99)</f>
        <v>0</v>
      </c>
      <c r="CD99" s="46">
        <f t="shared" si="1000"/>
        <v>0</v>
      </c>
      <c r="CE99" s="46">
        <f t="shared" si="1000"/>
        <v>0</v>
      </c>
      <c r="CF99" s="46">
        <f ca="1">SUMIFS(OFFSET(tblForecast,,CF$2,,1),OFFSET(tblForecast,,,,1),$B99-IF(CompareVer="LY",1,0)&amp; $C99 &amp;CF$4)</f>
        <v>0</v>
      </c>
      <c r="CG99" s="193">
        <f t="shared" ca="1" si="1001"/>
        <v>0</v>
      </c>
      <c r="CH99" s="330">
        <f t="shared" si="1002"/>
        <v>0</v>
      </c>
      <c r="CI99" s="46">
        <f t="shared" si="1002"/>
        <v>0</v>
      </c>
      <c r="CJ99" s="46">
        <f>IF($A99="a",IFERROR(VLOOKUP($B99 &amp; $C99&amp;CJ$4,tblForecast,CJ$2,FALSE),0),CH99+CI99)</f>
        <v>0</v>
      </c>
      <c r="CK99" s="46">
        <f t="shared" si="1003"/>
        <v>0</v>
      </c>
      <c r="CL99" s="46">
        <f t="shared" si="1003"/>
        <v>0</v>
      </c>
      <c r="CM99" s="46">
        <f ca="1">SUMIFS(OFFSET(tblForecast,,CM$2,,1),OFFSET(tblForecast,,,,1),$B99-IF(CompareVer="LY",1,0)&amp; $C99 &amp;CM$4)</f>
        <v>0</v>
      </c>
      <c r="CN99" s="193">
        <f t="shared" ca="1" si="1004"/>
        <v>0</v>
      </c>
      <c r="CO99" s="177">
        <f t="shared" si="1005"/>
        <v>0</v>
      </c>
      <c r="CP99" s="221">
        <f t="shared" ca="1" si="1006"/>
        <v>0</v>
      </c>
      <c r="CQ99" s="193">
        <f t="shared" ca="1" si="1007"/>
        <v>0</v>
      </c>
      <c r="CR99" s="177">
        <f t="shared" si="1008"/>
        <v>0</v>
      </c>
      <c r="CS99" s="221">
        <f t="shared" ca="1" si="1009"/>
        <v>0</v>
      </c>
      <c r="CT99" s="193">
        <f t="shared" ca="1" si="1010"/>
        <v>0</v>
      </c>
      <c r="CU99" s="44">
        <f t="shared" si="859"/>
        <v>0</v>
      </c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1011"/>
        <v>0</v>
      </c>
      <c r="CZ99" s="276">
        <f>IFERROR(VLOOKUP(Brand&amp;Channel&amp;Country&amp;$C99,tblDiscount,6,FALSE),0)</f>
        <v>0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478</v>
      </c>
      <c r="B100" s="44">
        <v>2019</v>
      </c>
      <c r="C100" s="88">
        <v>17</v>
      </c>
      <c r="D100" s="51">
        <f t="shared" si="1012"/>
        <v>0</v>
      </c>
      <c r="E100" s="201">
        <f t="shared" si="1013"/>
        <v>0</v>
      </c>
      <c r="F100" s="181">
        <f t="shared" si="967"/>
        <v>0</v>
      </c>
      <c r="G100" s="175">
        <f t="shared" si="968"/>
        <v>0</v>
      </c>
      <c r="H100" s="202">
        <f t="shared" si="968"/>
        <v>0</v>
      </c>
      <c r="I100" s="202">
        <f t="shared" si="968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969"/>
        <v>0</v>
      </c>
      <c r="N100" s="46">
        <f t="shared" si="970"/>
        <v>0</v>
      </c>
      <c r="O100" s="46">
        <f t="shared" ca="1" si="971"/>
        <v>0</v>
      </c>
      <c r="P100" s="47">
        <f t="shared" ca="1" si="972"/>
        <v>0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973"/>
        <v>0</v>
      </c>
      <c r="T100" s="238">
        <f ca="1">SUMIFS(OFFSET(tblForecast,,T$2,,1),OFFSET(tblForecast,,,,1),$B100-IF(CompareVer="LY",1,0)&amp; $C100 &amp;T$4)</f>
        <v>0</v>
      </c>
      <c r="U100" s="91">
        <f t="shared" ca="1" si="974"/>
        <v>0</v>
      </c>
      <c r="V100" s="247">
        <f t="shared" ca="1" si="1014"/>
        <v>0</v>
      </c>
      <c r="W100" s="327">
        <f ca="1">IFERROR(IF(R99&lt;&gt;0,R100/R99,X100),0)</f>
        <v>0</v>
      </c>
      <c r="X100" s="248">
        <f ca="1">IFERROR(IF(T99&lt;&gt;0,T100/T99,0),0)</f>
        <v>0</v>
      </c>
      <c r="Y100" s="51">
        <f t="shared" ca="1" si="975"/>
        <v>0</v>
      </c>
      <c r="Z100" s="46">
        <f t="shared" si="976"/>
        <v>0</v>
      </c>
      <c r="AA100" s="46">
        <f t="shared" si="977"/>
        <v>0</v>
      </c>
      <c r="AB100" s="46">
        <f t="shared" ca="1" si="978"/>
        <v>0</v>
      </c>
      <c r="AC100" s="91">
        <f t="shared" ca="1" si="979"/>
        <v>0</v>
      </c>
      <c r="AD100" s="75">
        <f ca="1">IF(AM100&lt;&gt;0,1-AR100/AM100,0)</f>
        <v>0</v>
      </c>
      <c r="AE100" s="93">
        <f t="shared" si="980"/>
        <v>0</v>
      </c>
      <c r="AF100" s="93">
        <f t="shared" si="981"/>
        <v>0</v>
      </c>
      <c r="AG100" s="76">
        <f t="shared" ca="1" si="982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983"/>
        <v>0</v>
      </c>
      <c r="AJ100" s="94">
        <f t="shared" si="983"/>
        <v>0</v>
      </c>
      <c r="AK100" s="49">
        <f ca="1">IFERROR(CF100/BY100,0)</f>
        <v>0</v>
      </c>
      <c r="AL100" s="47">
        <f t="shared" ca="1" si="959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984"/>
        <v>0</v>
      </c>
      <c r="AO100" s="94">
        <f t="shared" si="984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985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986"/>
        <v>0</v>
      </c>
      <c r="AT100" s="94">
        <f t="shared" si="986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987"/>
        <v>0</v>
      </c>
      <c r="AW100" s="190">
        <f t="shared" ca="1" si="988"/>
        <v>0</v>
      </c>
      <c r="AX100" s="191">
        <f t="shared" si="989"/>
        <v>0</v>
      </c>
      <c r="AY100" s="191">
        <f t="shared" si="990"/>
        <v>0</v>
      </c>
      <c r="AZ100" s="191">
        <f t="shared" ca="1" si="991"/>
        <v>0</v>
      </c>
      <c r="BA100" s="233">
        <f ca="1">IF(BA99+BV100+BL100+BR100-Q100&lt;0,0,BA99+BV100+BL100+BR100-Q100)</f>
        <v>0</v>
      </c>
      <c r="BB100" s="229">
        <f ca="1">IF(IFERROR(VLOOKUP($B100 &amp; $C100&amp;BB$4,tblForecast,BB$2,FALSE),0)=0,BA100,IFERROR(VLOOKUP($B100 &amp; $C100&amp;BB$4,tblForecast,BB$2,FALSE),0))</f>
        <v>0</v>
      </c>
      <c r="BC100" s="229">
        <f ca="1">SUMIFS(OFFSET(tblForecast,,BC$2,,1),OFFSET(tblForecast,,,,1),$B100-IF(CompareVer="LY",1,0)&amp; $C100 &amp;BC$4)</f>
        <v>0</v>
      </c>
      <c r="BD100" s="229">
        <f t="shared" ca="1" si="992"/>
        <v>0</v>
      </c>
      <c r="BE100" s="193">
        <f t="shared" ca="1" si="993"/>
        <v>0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0</v>
      </c>
      <c r="BH100" s="178">
        <f ca="1">IF(Q100&lt;&gt;0,BA100/Q100,0)</f>
        <v>0</v>
      </c>
      <c r="BI100" s="182">
        <f ca="1">IF(T100&lt;&gt;0,BD100/T100,0)</f>
        <v>0</v>
      </c>
      <c r="BJ100" s="194">
        <f t="shared" ca="1" si="994"/>
        <v>0</v>
      </c>
      <c r="BK100" s="50">
        <f t="shared" ca="1" si="995"/>
        <v>0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0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929"/>
        <v>0</v>
      </c>
      <c r="BS100" s="229">
        <f t="shared" ca="1" si="929"/>
        <v>0</v>
      </c>
      <c r="BT100" s="232">
        <f t="shared" si="996"/>
        <v>0</v>
      </c>
      <c r="BU100" s="229">
        <f t="shared" si="996"/>
        <v>0</v>
      </c>
      <c r="BV100" s="229">
        <f>IF($A100="a",IFERROR(VLOOKUP($B100 &amp; $C100&amp;BV$4,tblForecast,BV$2,FALSE),0),BT100+BU100)</f>
        <v>0</v>
      </c>
      <c r="BW100" s="229">
        <f t="shared" si="997"/>
        <v>0</v>
      </c>
      <c r="BX100" s="229">
        <f t="shared" si="997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998"/>
        <v>0</v>
      </c>
      <c r="CA100" s="330">
        <f t="shared" si="999"/>
        <v>0</v>
      </c>
      <c r="CB100" s="46">
        <f t="shared" si="999"/>
        <v>0</v>
      </c>
      <c r="CC100" s="46">
        <f>IF($A100="a",IFERROR(VLOOKUP($B100 &amp; $C100&amp;CC$4,tblForecast,CC$2,FALSE),0),CA100+CB100)</f>
        <v>0</v>
      </c>
      <c r="CD100" s="46">
        <f t="shared" si="1000"/>
        <v>0</v>
      </c>
      <c r="CE100" s="46">
        <f t="shared" si="1000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1001"/>
        <v>0</v>
      </c>
      <c r="CH100" s="330">
        <f t="shared" si="1002"/>
        <v>0</v>
      </c>
      <c r="CI100" s="46">
        <f t="shared" si="1002"/>
        <v>0</v>
      </c>
      <c r="CJ100" s="46">
        <f>IF($A100="a",IFERROR(VLOOKUP($B100 &amp; $C100&amp;CJ$4,tblForecast,CJ$2,FALSE),0),CH100+CI100)</f>
        <v>0</v>
      </c>
      <c r="CK100" s="46">
        <f t="shared" si="1003"/>
        <v>0</v>
      </c>
      <c r="CL100" s="46">
        <f t="shared" si="1003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1004"/>
        <v>0</v>
      </c>
      <c r="CO100" s="177">
        <f t="shared" si="1005"/>
        <v>0</v>
      </c>
      <c r="CP100" s="221">
        <f t="shared" ca="1" si="1006"/>
        <v>0</v>
      </c>
      <c r="CQ100" s="193">
        <f t="shared" ca="1" si="1007"/>
        <v>0</v>
      </c>
      <c r="CR100" s="177">
        <f t="shared" si="1008"/>
        <v>0</v>
      </c>
      <c r="CS100" s="221">
        <f t="shared" ca="1" si="1009"/>
        <v>0</v>
      </c>
      <c r="CT100" s="193">
        <f t="shared" ca="1" si="1010"/>
        <v>0</v>
      </c>
      <c r="CU100" s="44">
        <f t="shared" si="859"/>
        <v>0</v>
      </c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1011"/>
        <v>0</v>
      </c>
      <c r="CZ100" s="276">
        <f>IFERROR(VLOOKUP(Brand&amp;Channel&amp;Country&amp;$C100,tblDiscount,6,FALSE),0)</f>
        <v>0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7" t="s">
        <v>27</v>
      </c>
      <c r="D101" s="348">
        <f t="shared" ref="D101" si="1015">SUM(D97:D100)</f>
        <v>0</v>
      </c>
      <c r="E101" s="349">
        <f t="shared" ref="E101" si="1016">SUM(E97:E100)</f>
        <v>0</v>
      </c>
      <c r="F101" s="350">
        <f t="shared" si="967"/>
        <v>0</v>
      </c>
      <c r="G101" s="351">
        <f>SUM(G97:G100)</f>
        <v>0</v>
      </c>
      <c r="H101" s="352">
        <f>IFERROR(D101/G101,0)</f>
        <v>0</v>
      </c>
      <c r="I101" s="352">
        <f>IFERROR(SUMPRODUCT(I97:I100,G97:G100)/G101,0)</f>
        <v>0</v>
      </c>
      <c r="J101" s="351">
        <f>SUM(J97:J100)</f>
        <v>0</v>
      </c>
      <c r="K101" s="353">
        <f>SUM(K97:K100)</f>
        <v>0</v>
      </c>
      <c r="L101" s="354">
        <f ca="1">SUM(L97:L100)</f>
        <v>0</v>
      </c>
      <c r="M101" s="354">
        <f t="shared" ref="M101:O101" si="1017">SUM(M97:M100)</f>
        <v>0</v>
      </c>
      <c r="N101" s="354">
        <f t="shared" si="1017"/>
        <v>0</v>
      </c>
      <c r="O101" s="354">
        <f t="shared" ca="1" si="1017"/>
        <v>0</v>
      </c>
      <c r="P101" s="355">
        <f t="shared" ca="1" si="972"/>
        <v>0</v>
      </c>
      <c r="Q101" s="356">
        <f t="shared" ref="Q101" ca="1" si="1018">SUM(Q97:Q100)</f>
        <v>0</v>
      </c>
      <c r="R101" s="356">
        <f t="shared" ref="R101:S101" si="1019">SUM(R97:R100)</f>
        <v>0</v>
      </c>
      <c r="S101" s="356">
        <f t="shared" si="1019"/>
        <v>0</v>
      </c>
      <c r="T101" s="356">
        <f ca="1">SUM(T97:T100)</f>
        <v>0</v>
      </c>
      <c r="U101" s="355">
        <f t="shared" ca="1" si="974"/>
        <v>0</v>
      </c>
      <c r="V101" s="357">
        <f ca="1">V100</f>
        <v>0</v>
      </c>
      <c r="W101" s="358">
        <f ca="1">W100</f>
        <v>0</v>
      </c>
      <c r="X101" s="359">
        <f ca="1">X100</f>
        <v>0</v>
      </c>
      <c r="Y101" s="348">
        <f ca="1">SUM(Y97:Y100)</f>
        <v>0</v>
      </c>
      <c r="Z101" s="354">
        <f t="shared" ref="Z101:AB101" si="1020">SUM(Z97:Z100)</f>
        <v>0</v>
      </c>
      <c r="AA101" s="354">
        <f t="shared" si="1020"/>
        <v>0</v>
      </c>
      <c r="AB101" s="354">
        <f t="shared" ca="1" si="1020"/>
        <v>0</v>
      </c>
      <c r="AC101" s="355">
        <f t="shared" ca="1" si="979"/>
        <v>0</v>
      </c>
      <c r="AD101" s="360">
        <f ca="1">IFERROR(Y101/L101,0)</f>
        <v>0</v>
      </c>
      <c r="AE101" s="361">
        <f>IFERROR(Z101/M101,0)</f>
        <v>0</v>
      </c>
      <c r="AF101" s="361">
        <f>IFERROR(AA101/N101,0)</f>
        <v>0</v>
      </c>
      <c r="AG101" s="361">
        <f ca="1">IFERROR(AB101/O101,0)</f>
        <v>0</v>
      </c>
      <c r="AH101" s="362">
        <f ca="1">IFERROR(SUMPRODUCT(AH97:AH100,Q97:Q100)/Q101,0)</f>
        <v>0</v>
      </c>
      <c r="AI101" s="363">
        <f>IFERROR(SUMPRODUCT(AI97:AI100,R97:R100)/R101,0)</f>
        <v>0</v>
      </c>
      <c r="AJ101" s="363">
        <f t="shared" ref="AJ101" si="1021">IFERROR(SUMPRODUCT(AJ97:AJ100,S97:S100)/S101,0)</f>
        <v>0</v>
      </c>
      <c r="AK101" s="363">
        <f t="shared" ref="AK101" ca="1" si="1022">IFERROR(SUMPRODUCT(AK97:AK100,T97:T100)/T101,0)</f>
        <v>0</v>
      </c>
      <c r="AL101" s="355">
        <f t="shared" ca="1" si="959"/>
        <v>0</v>
      </c>
      <c r="AM101" s="362">
        <f ca="1">IF(Q101&lt;&gt;0,L101/Q101,0)</f>
        <v>0</v>
      </c>
      <c r="AN101" s="363">
        <f>IF(R101&lt;&gt;0,M101/R101,0)</f>
        <v>0</v>
      </c>
      <c r="AO101" s="363">
        <f>IF(S101&lt;&gt;0,N101/S101,0)</f>
        <v>0</v>
      </c>
      <c r="AP101" s="363">
        <f ca="1">IF(T101&lt;&gt;0,O101/T101,0)</f>
        <v>0</v>
      </c>
      <c r="AQ101" s="355">
        <f t="shared" ca="1" si="985"/>
        <v>0</v>
      </c>
      <c r="AR101" s="362">
        <f ca="1">IFERROR((L101*(1-AD101))/Q101,0)</f>
        <v>0</v>
      </c>
      <c r="AS101" s="363">
        <f>IFERROR((M101*(1-AE101))/R101,0)</f>
        <v>0</v>
      </c>
      <c r="AT101" s="363">
        <f>IFERROR((N101*(1-AF101))/S101,0)</f>
        <v>0</v>
      </c>
      <c r="AU101" s="363">
        <f ca="1">IFERROR((O101*(1-AG101))/T101,0)</f>
        <v>0</v>
      </c>
      <c r="AV101" s="355">
        <f t="shared" ca="1" si="987"/>
        <v>0</v>
      </c>
      <c r="AW101" s="364">
        <f ca="1">IFERROR(SUMPRODUCT(AW97:AW100,V97:V100)/V101,0)</f>
        <v>0</v>
      </c>
      <c r="AX101" s="365">
        <f t="shared" ref="AX101" ca="1" si="1023">IFERROR(SUMPRODUCT(AX97:AX100,X97:X100)/X101,0)</f>
        <v>0</v>
      </c>
      <c r="AY101" s="365">
        <f t="shared" ref="AY101" ca="1" si="1024">IFERROR(SUMPRODUCT(AY97:AY100,Y97:Y100)/Y101,0)</f>
        <v>0</v>
      </c>
      <c r="AZ101" s="365">
        <f t="shared" ref="AZ101" ca="1" si="1025">IFERROR(SUMPRODUCT(AZ97:AZ100,Z97:Z100)/Z101,0)</f>
        <v>0</v>
      </c>
      <c r="BA101" s="366">
        <f ca="1">BA100</f>
        <v>0</v>
      </c>
      <c r="BB101" s="356">
        <f t="shared" ref="BB101:BD101" ca="1" si="1026">BB100</f>
        <v>0</v>
      </c>
      <c r="BC101" s="356">
        <f t="shared" ca="1" si="1026"/>
        <v>0</v>
      </c>
      <c r="BD101" s="356">
        <f t="shared" ca="1" si="1026"/>
        <v>0</v>
      </c>
      <c r="BE101" s="355">
        <f t="shared" ca="1" si="993"/>
        <v>0</v>
      </c>
      <c r="BF101" s="356">
        <f>BF100</f>
        <v>0</v>
      </c>
      <c r="BG101" s="356">
        <f ca="1">BG100</f>
        <v>0</v>
      </c>
      <c r="BH101" s="367">
        <f ca="1">IF(Q99&lt;&gt;0,(BA101/Q101),0)</f>
        <v>0</v>
      </c>
      <c r="BI101" s="368">
        <f ca="1">IF(T99&lt;&gt;0,(BD101/T99),0)</f>
        <v>0</v>
      </c>
      <c r="BJ101" s="369">
        <f ca="1">IFERROR((Q101/COUNTIF(BJ97:BJ100,"&lt;&gt;0"))/BA101,0)</f>
        <v>0</v>
      </c>
      <c r="BK101" s="370">
        <f ca="1">IF(BD101&lt;&gt;0,(T101/COUNTIF(BK97:BK100,"&lt;&gt;0"))/BD101,0)</f>
        <v>0</v>
      </c>
      <c r="BL101" s="366">
        <f>SUM(BL97:BL100)</f>
        <v>0</v>
      </c>
      <c r="BM101" s="356">
        <f ca="1">SUM(BM97:BM100)</f>
        <v>0</v>
      </c>
      <c r="BN101" s="366">
        <f>SUM(BN97:BN100)</f>
        <v>0</v>
      </c>
      <c r="BO101" s="356">
        <f t="shared" ref="BO101" ca="1" si="1027">SUM(BO97:BO100)</f>
        <v>0</v>
      </c>
      <c r="BP101" s="366">
        <f>SUM(BP97:BP100)</f>
        <v>0</v>
      </c>
      <c r="BQ101" s="356">
        <f t="shared" ref="BQ101" ca="1" si="1028">SUM(BQ97:BQ100)</f>
        <v>0</v>
      </c>
      <c r="BR101" s="366">
        <f t="shared" si="929"/>
        <v>0</v>
      </c>
      <c r="BS101" s="356">
        <f t="shared" ca="1" si="929"/>
        <v>0</v>
      </c>
      <c r="BT101" s="366">
        <f>SUM(BT97:BT100)</f>
        <v>0</v>
      </c>
      <c r="BU101" s="356">
        <f>SUM(BU97:BU100)</f>
        <v>0</v>
      </c>
      <c r="BV101" s="356">
        <f>SUM(BV97:BV100)</f>
        <v>0</v>
      </c>
      <c r="BW101" s="356">
        <f t="shared" ref="BW101:BX101" si="1029">SUM(BW97:BW100)</f>
        <v>0</v>
      </c>
      <c r="BX101" s="356">
        <f t="shared" si="1029"/>
        <v>0</v>
      </c>
      <c r="BY101" s="371">
        <f ca="1">SUM(BY97:BY100)</f>
        <v>0</v>
      </c>
      <c r="BZ101" s="355">
        <f t="shared" ca="1" si="998"/>
        <v>0</v>
      </c>
      <c r="CA101" s="372">
        <f>SUM(CA97:CA100)</f>
        <v>0</v>
      </c>
      <c r="CB101" s="354">
        <f t="shared" ref="CB101:CF101" si="1030">SUM(CB97:CB100)</f>
        <v>0</v>
      </c>
      <c r="CC101" s="354">
        <f t="shared" si="1030"/>
        <v>0</v>
      </c>
      <c r="CD101" s="354">
        <f t="shared" si="1030"/>
        <v>0</v>
      </c>
      <c r="CE101" s="354">
        <f t="shared" si="1030"/>
        <v>0</v>
      </c>
      <c r="CF101" s="354">
        <f t="shared" ca="1" si="1030"/>
        <v>0</v>
      </c>
      <c r="CG101" s="355">
        <f t="shared" ca="1" si="1001"/>
        <v>0</v>
      </c>
      <c r="CH101" s="372">
        <f>SUM(CH97:CH100)</f>
        <v>0</v>
      </c>
      <c r="CI101" s="354">
        <f t="shared" ref="CI101:CM101" si="1031">SUM(CI97:CI100)</f>
        <v>0</v>
      </c>
      <c r="CJ101" s="354">
        <f t="shared" si="1031"/>
        <v>0</v>
      </c>
      <c r="CK101" s="354">
        <f t="shared" si="1031"/>
        <v>0</v>
      </c>
      <c r="CL101" s="354">
        <f t="shared" si="1031"/>
        <v>0</v>
      </c>
      <c r="CM101" s="354">
        <f t="shared" ca="1" si="1031"/>
        <v>0</v>
      </c>
      <c r="CN101" s="355">
        <f t="shared" ca="1" si="1004"/>
        <v>0</v>
      </c>
      <c r="CO101" s="373">
        <f t="shared" si="1005"/>
        <v>0</v>
      </c>
      <c r="CP101" s="374">
        <f t="shared" ca="1" si="1006"/>
        <v>0</v>
      </c>
      <c r="CQ101" s="355">
        <f t="shared" ca="1" si="1007"/>
        <v>0</v>
      </c>
      <c r="CR101" s="373">
        <f t="shared" si="1008"/>
        <v>0</v>
      </c>
      <c r="CS101" s="374">
        <f t="shared" ca="1" si="1009"/>
        <v>0</v>
      </c>
      <c r="CT101" s="355">
        <f t="shared" ca="1" si="1010"/>
        <v>0</v>
      </c>
      <c r="CU101" s="44">
        <f t="shared" si="859"/>
        <v>0</v>
      </c>
      <c r="CW101" s="100">
        <f>CW100</f>
        <v>0</v>
      </c>
      <c r="CX101" s="101">
        <f ca="1">CX100</f>
        <v>0</v>
      </c>
      <c r="CY101" s="99">
        <f t="shared" ca="1" si="1011"/>
        <v>0</v>
      </c>
      <c r="CZ101" s="276"/>
      <c r="DA101" s="277"/>
      <c r="DB101" s="277"/>
      <c r="DC101" s="278"/>
    </row>
    <row r="102" spans="1:107" x14ac:dyDescent="0.25">
      <c r="A102" s="44" t="s">
        <v>478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967"/>
        <v>0</v>
      </c>
      <c r="G102" s="175">
        <f t="shared" ref="G102:I106" si="1032">IFERROR(VLOOKUP($B102 &amp; $C102&amp;G$4&amp;$A102,tblForecast,G$2,FALSE),0)</f>
        <v>0</v>
      </c>
      <c r="H102" s="202">
        <f t="shared" si="1032"/>
        <v>0</v>
      </c>
      <c r="I102" s="202">
        <f t="shared" si="1032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M106" si="1033">R102*AN102</f>
        <v>0</v>
      </c>
      <c r="N102" s="46">
        <f t="shared" ref="N102:N106" si="1034">S102*AO102</f>
        <v>0</v>
      </c>
      <c r="O102" s="46">
        <f t="shared" ref="O102:O106" ca="1" si="1035">T102*AP102</f>
        <v>0</v>
      </c>
      <c r="P102" s="47">
        <f t="shared" ca="1" si="972"/>
        <v>0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1036">IFERROR(VLOOKUP($B102 &amp; $C102&amp;S$4,tblForecast,S$2,FALSE),0)</f>
        <v>0</v>
      </c>
      <c r="T102" s="238">
        <f ca="1">SUMIFS(OFFSET(tblForecast,,T$2,,1),OFFSET(tblForecast,,,,1),$B102-IF(CompareVer="LY",1,0)&amp; $C102 &amp;T$4)</f>
        <v>0</v>
      </c>
      <c r="U102" s="91">
        <f t="shared" ca="1" si="974"/>
        <v>0</v>
      </c>
      <c r="V102" s="247">
        <f ca="1">IFERROR(IF(Q100&gt;0,Q102/Q100,0),0)</f>
        <v>0</v>
      </c>
      <c r="W102" s="327">
        <f ca="1">IFERROR(IF(R100&gt;0,R102/R100,X102),0)</f>
        <v>0</v>
      </c>
      <c r="X102" s="248">
        <f ca="1">IFERROR(IF(T100&gt;0,T102/T100,0),0)</f>
        <v>0</v>
      </c>
      <c r="Y102" s="51">
        <f t="shared" ref="Y102:Y106" ca="1" si="1037">IFERROR(L102*AD102,0)</f>
        <v>0</v>
      </c>
      <c r="Z102" s="46">
        <f t="shared" ref="Z102:Z106" si="1038">IFERROR(M102*AE102,0)</f>
        <v>0</v>
      </c>
      <c r="AA102" s="46">
        <f t="shared" ref="AA102:AA106" si="1039">IFERROR(N102*AF102,0)</f>
        <v>0</v>
      </c>
      <c r="AB102" s="46">
        <f t="shared" ref="AB102:AB106" ca="1" si="1040">IFERROR(O102*AG102,0)</f>
        <v>0</v>
      </c>
      <c r="AC102" s="91">
        <f t="shared" ca="1" si="979"/>
        <v>0</v>
      </c>
      <c r="AD102" s="75">
        <f ca="1">IF(AM102&lt;&gt;0,1-AR102/AM102,0)</f>
        <v>0</v>
      </c>
      <c r="AE102" s="93">
        <f t="shared" ref="AE102:AE106" si="1041">IF(AN102&lt;&gt;0,1-AS102/AN102,0)</f>
        <v>0</v>
      </c>
      <c r="AF102" s="93">
        <f t="shared" ref="AF102:AF106" si="1042">IF(AO102&lt;&gt;0,1-AT102/AO102,0)</f>
        <v>0</v>
      </c>
      <c r="AG102" s="76">
        <f t="shared" ref="AG102:AG106" ca="1" si="1043">IF(AP102&lt;&gt;0,1-AU102/AP102,0)</f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1044">IFERROR(VLOOKUP($B102 &amp; $C102&amp;AI$4,tblForecast,AI$2,FALSE),0)</f>
        <v>0</v>
      </c>
      <c r="AJ102" s="94">
        <f t="shared" si="1044"/>
        <v>0</v>
      </c>
      <c r="AK102" s="49">
        <f ca="1">IFERROR(CF102/BY102,0)</f>
        <v>0</v>
      </c>
      <c r="AL102" s="47">
        <f t="shared" ca="1" si="959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1045">IFERROR(VLOOKUP($B102 &amp; $C102&amp;AN$4,tblForecast,AN$2,FALSE),0)</f>
        <v>0</v>
      </c>
      <c r="AO102" s="94">
        <f t="shared" si="1045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985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1046">IFERROR(VLOOKUP($B102 &amp; $C102&amp;AS$4,tblForecast,AS$2,FALSE),0)</f>
        <v>0</v>
      </c>
      <c r="AT102" s="94">
        <f t="shared" si="1046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987"/>
        <v>0</v>
      </c>
      <c r="AW102" s="190">
        <f t="shared" ref="AW102:AW106" ca="1" si="1047">IFERROR((AM102/AH102-1)*-1,0)</f>
        <v>0</v>
      </c>
      <c r="AX102" s="191">
        <f t="shared" ref="AX102:AX106" si="1048">IFERROR((AN102/AI102-1)*-1,0)</f>
        <v>0</v>
      </c>
      <c r="AY102" s="191">
        <f t="shared" ref="AY102:AY106" si="1049">IFERROR((AO102/AJ102-1)*-1,0)</f>
        <v>0</v>
      </c>
      <c r="AZ102" s="191">
        <f t="shared" ref="AZ102:AZ106" ca="1" si="1050">IFERROR((AP102/AK102-1)*-1,0)</f>
        <v>0</v>
      </c>
      <c r="BA102" s="233">
        <f ca="1">IF(BA101+BV102+BL102+BR102-Q102&lt;0,0,BA101+BV102+BL102+BR102-Q102)</f>
        <v>0</v>
      </c>
      <c r="BB102" s="229">
        <f ca="1">IF(IFERROR(VLOOKUP($B102 &amp; $C102&amp;BB$4,tblForecast,BB$2,FALSE),0)=0,BA102,IFERROR(VLOOKUP($B102 &amp; $C102&amp;BB$4,tblForecast,BB$2,FALSE),0))</f>
        <v>0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1051">CX102+BG102</f>
        <v>0</v>
      </c>
      <c r="BE102" s="193">
        <f t="shared" ca="1" si="993"/>
        <v>0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0</v>
      </c>
      <c r="BH102" s="178">
        <f ca="1">IF(Q102&lt;&gt;0,BA102/Q102,0)</f>
        <v>0</v>
      </c>
      <c r="BI102" s="182">
        <f ca="1">IF(T102&lt;&gt;0,BD102/T102,0)</f>
        <v>0</v>
      </c>
      <c r="BJ102" s="194">
        <f t="shared" ref="BJ102:BJ106" ca="1" si="1052">IF(BA102&lt;&gt;0,Q102/BA102,0)</f>
        <v>0</v>
      </c>
      <c r="BK102" s="50">
        <f t="shared" ref="BK102:BK106" ca="1" si="1053">IF(BD102&lt;&gt;0,T102/BD102,0)</f>
        <v>0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0</v>
      </c>
      <c r="BR102" s="225">
        <f t="shared" si="929"/>
        <v>0</v>
      </c>
      <c r="BS102" s="229">
        <f t="shared" ca="1" si="929"/>
        <v>0</v>
      </c>
      <c r="BT102" s="232">
        <f t="shared" ref="BT102:BU106" si="1054">IFERROR(VLOOKUP($B102 &amp; $C102&amp;BT$4,tblForecast,BT$2,FALSE),0)</f>
        <v>0</v>
      </c>
      <c r="BU102" s="229">
        <f t="shared" si="1054"/>
        <v>0</v>
      </c>
      <c r="BV102" s="229">
        <f>IF($A102="a",IFERROR(VLOOKUP($B102 &amp; $C102&amp;BV$4,tblForecast,BV$2,FALSE),0),BT102+BU102)</f>
        <v>0</v>
      </c>
      <c r="BW102" s="229">
        <f t="shared" ref="BW102:BX106" si="1055">IFERROR(VLOOKUP($B102 &amp; $C102&amp;BW$4,tblForecast,BW$2,FALSE),0)</f>
        <v>0</v>
      </c>
      <c r="BX102" s="229">
        <f t="shared" si="1055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998"/>
        <v>0</v>
      </c>
      <c r="CA102" s="330">
        <f t="shared" ref="CA102:CB106" si="1056">IFERROR(VLOOKUP($B102 &amp; $C102&amp;CA$4,tblForecast,CA$2,FALSE),0)</f>
        <v>0</v>
      </c>
      <c r="CB102" s="46">
        <f t="shared" si="1056"/>
        <v>0</v>
      </c>
      <c r="CC102" s="46">
        <f>IF($A102="a",IFERROR(VLOOKUP($B102 &amp; $C102&amp;CC$4,tblForecast,CC$2,FALSE),0),CA102+CB102)</f>
        <v>0</v>
      </c>
      <c r="CD102" s="46">
        <f t="shared" ref="CD102:CE106" si="1057">IFERROR(VLOOKUP($B102 &amp; $C102&amp;CD$4,tblForecast,CD$2,FALSE),0)</f>
        <v>0</v>
      </c>
      <c r="CE102" s="46">
        <f t="shared" si="1057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1001"/>
        <v>0</v>
      </c>
      <c r="CH102" s="330">
        <f t="shared" ref="CH102:CI106" si="1058">IFERROR(VLOOKUP($B102 &amp; $C102&amp;CH$4,tblForecast,CH$2,FALSE),0)</f>
        <v>0</v>
      </c>
      <c r="CI102" s="46">
        <f t="shared" si="1058"/>
        <v>0</v>
      </c>
      <c r="CJ102" s="46">
        <f>IF($A102="a",IFERROR(VLOOKUP($B102 &amp; $C102&amp;CJ$4,tblForecast,CJ$2,FALSE),0),CH102+CI102)</f>
        <v>0</v>
      </c>
      <c r="CK102" s="46">
        <f t="shared" ref="CK102:CL106" si="1059">IFERROR(VLOOKUP($B102 &amp; $C102&amp;CK$4,tblForecast,CK$2,FALSE),0)</f>
        <v>0</v>
      </c>
      <c r="CL102" s="46">
        <f t="shared" si="1059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1004"/>
        <v>0</v>
      </c>
      <c r="CO102" s="177">
        <f t="shared" si="1005"/>
        <v>0</v>
      </c>
      <c r="CP102" s="221">
        <f t="shared" ca="1" si="1006"/>
        <v>0</v>
      </c>
      <c r="CQ102" s="193">
        <f t="shared" ca="1" si="1007"/>
        <v>0</v>
      </c>
      <c r="CR102" s="177">
        <f t="shared" si="1008"/>
        <v>0</v>
      </c>
      <c r="CS102" s="221">
        <f t="shared" ca="1" si="1009"/>
        <v>0</v>
      </c>
      <c r="CT102" s="193">
        <f t="shared" ca="1" si="1010"/>
        <v>0</v>
      </c>
      <c r="CU102" s="44">
        <f t="shared" si="859"/>
        <v>0</v>
      </c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1011"/>
        <v>0</v>
      </c>
      <c r="CZ102" s="276">
        <f>IFERROR(VLOOKUP(Brand&amp;Channel&amp;Country&amp;$C102,tblDiscount,6,FALSE),0)</f>
        <v>0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478</v>
      </c>
      <c r="B103" s="44">
        <v>2019</v>
      </c>
      <c r="C103" s="88">
        <f>C102+1</f>
        <v>19</v>
      </c>
      <c r="D103" s="51">
        <f t="shared" ref="D103:D106" si="1060">G103*H103</f>
        <v>0</v>
      </c>
      <c r="E103" s="201">
        <f t="shared" ref="E103:E106" si="1061">IFERROR(D103*F103,0)</f>
        <v>0</v>
      </c>
      <c r="F103" s="181">
        <f t="shared" si="967"/>
        <v>0</v>
      </c>
      <c r="G103" s="175">
        <f t="shared" si="1032"/>
        <v>0</v>
      </c>
      <c r="H103" s="202">
        <f t="shared" si="1032"/>
        <v>0</v>
      </c>
      <c r="I103" s="202">
        <f t="shared" si="1032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1033"/>
        <v>0</v>
      </c>
      <c r="N103" s="46">
        <f t="shared" si="1034"/>
        <v>0</v>
      </c>
      <c r="O103" s="46">
        <f t="shared" ca="1" si="1035"/>
        <v>0</v>
      </c>
      <c r="P103" s="47">
        <f t="shared" ca="1" si="972"/>
        <v>0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1036"/>
        <v>0</v>
      </c>
      <c r="T103" s="238">
        <f ca="1">SUMIFS(OFFSET(tblForecast,,T$2,,1),OFFSET(tblForecast,,,,1),$B103-IF(CompareVer="LY",1,0)&amp; $C103 &amp;T$4)</f>
        <v>0</v>
      </c>
      <c r="U103" s="91">
        <f t="shared" ca="1" si="974"/>
        <v>0</v>
      </c>
      <c r="V103" s="247">
        <f t="shared" ref="V103:V106" ca="1" si="1062">IFERROR(IF(Q102&lt;&gt;0,Q103/Q102,0),0)</f>
        <v>0</v>
      </c>
      <c r="W103" s="327">
        <f ca="1">IFERROR(IF(R102&lt;&gt;0,R103/R102,X103),0)</f>
        <v>0</v>
      </c>
      <c r="X103" s="248">
        <f t="shared" ref="X103:X106" ca="1" si="1063">IFERROR(IF(T102&lt;&gt;0,T103/T102,0),0)</f>
        <v>0</v>
      </c>
      <c r="Y103" s="51">
        <f t="shared" ca="1" si="1037"/>
        <v>0</v>
      </c>
      <c r="Z103" s="46">
        <f t="shared" si="1038"/>
        <v>0</v>
      </c>
      <c r="AA103" s="46">
        <f t="shared" si="1039"/>
        <v>0</v>
      </c>
      <c r="AB103" s="46">
        <f t="shared" ca="1" si="1040"/>
        <v>0</v>
      </c>
      <c r="AC103" s="91">
        <f t="shared" ca="1" si="979"/>
        <v>0</v>
      </c>
      <c r="AD103" s="75">
        <f ca="1">IF(AM103&lt;&gt;0,1-AR103/AM103,0)</f>
        <v>0</v>
      </c>
      <c r="AE103" s="93">
        <f t="shared" si="1041"/>
        <v>0</v>
      </c>
      <c r="AF103" s="93">
        <f t="shared" si="1042"/>
        <v>0</v>
      </c>
      <c r="AG103" s="76">
        <f t="shared" ca="1" si="1043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1044"/>
        <v>0</v>
      </c>
      <c r="AJ103" s="94">
        <f t="shared" si="1044"/>
        <v>0</v>
      </c>
      <c r="AK103" s="49">
        <f ca="1">IFERROR(CF103/BY103,0)</f>
        <v>0</v>
      </c>
      <c r="AL103" s="47">
        <f t="shared" ca="1" si="959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1045"/>
        <v>0</v>
      </c>
      <c r="AO103" s="94">
        <f t="shared" si="1045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985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1046"/>
        <v>0</v>
      </c>
      <c r="AT103" s="94">
        <f t="shared" si="1046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987"/>
        <v>0</v>
      </c>
      <c r="AW103" s="190">
        <f t="shared" ca="1" si="1047"/>
        <v>0</v>
      </c>
      <c r="AX103" s="191">
        <f t="shared" si="1048"/>
        <v>0</v>
      </c>
      <c r="AY103" s="191">
        <f t="shared" si="1049"/>
        <v>0</v>
      </c>
      <c r="AZ103" s="191">
        <f t="shared" ca="1" si="1050"/>
        <v>0</v>
      </c>
      <c r="BA103" s="233">
        <f ca="1">IF(BA102+BV103+BL103+BR103-Q103&lt;0,0,BA102+BV103+BL103+BR103-Q103)</f>
        <v>0</v>
      </c>
      <c r="BB103" s="229">
        <f ca="1">IF(IFERROR(VLOOKUP($B103 &amp; $C103&amp;BB$4,tblForecast,BB$2,FALSE),0)=0,BA103,IFERROR(VLOOKUP($B103 &amp; $C103&amp;BB$4,tblForecast,BB$2,FALSE),0))</f>
        <v>0</v>
      </c>
      <c r="BC103" s="229">
        <f ca="1">SUMIFS(OFFSET(tblForecast,,BC$2,,1),OFFSET(tblForecast,,,,1),$B103-IF(CompareVer="LY",1,0)&amp; $C103 &amp;BC$4)</f>
        <v>0</v>
      </c>
      <c r="BD103" s="229">
        <f t="shared" ca="1" si="1051"/>
        <v>0</v>
      </c>
      <c r="BE103" s="193">
        <f t="shared" ca="1" si="993"/>
        <v>0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0</v>
      </c>
      <c r="BH103" s="178">
        <f ca="1">IF(Q103&lt;&gt;0,BA103/Q103,0)</f>
        <v>0</v>
      </c>
      <c r="BI103" s="182">
        <f ca="1">IF(T103&lt;&gt;0,BD103/T103,0)</f>
        <v>0</v>
      </c>
      <c r="BJ103" s="194">
        <f t="shared" ca="1" si="1052"/>
        <v>0</v>
      </c>
      <c r="BK103" s="50">
        <f t="shared" ca="1" si="1053"/>
        <v>0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0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0</v>
      </c>
      <c r="BR103" s="225">
        <f t="shared" si="929"/>
        <v>0</v>
      </c>
      <c r="BS103" s="229">
        <f t="shared" ca="1" si="929"/>
        <v>0</v>
      </c>
      <c r="BT103" s="232">
        <f t="shared" si="1054"/>
        <v>0</v>
      </c>
      <c r="BU103" s="229">
        <f t="shared" si="1054"/>
        <v>0</v>
      </c>
      <c r="BV103" s="229">
        <f>IF($A103="a",IFERROR(VLOOKUP($B103 &amp; $C103&amp;BV$4,tblForecast,BV$2,FALSE),0),BT103+BU103)</f>
        <v>0</v>
      </c>
      <c r="BW103" s="229">
        <f t="shared" si="1055"/>
        <v>0</v>
      </c>
      <c r="BX103" s="229">
        <f t="shared" si="1055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998"/>
        <v>0</v>
      </c>
      <c r="CA103" s="330">
        <f t="shared" si="1056"/>
        <v>0</v>
      </c>
      <c r="CB103" s="46">
        <f t="shared" si="1056"/>
        <v>0</v>
      </c>
      <c r="CC103" s="46">
        <f>IF($A103="a",IFERROR(VLOOKUP($B103 &amp; $C103&amp;CC$4,tblForecast,CC$2,FALSE),0),CA103+CB103)</f>
        <v>0</v>
      </c>
      <c r="CD103" s="46">
        <f t="shared" si="1057"/>
        <v>0</v>
      </c>
      <c r="CE103" s="46">
        <f t="shared" si="1057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1001"/>
        <v>0</v>
      </c>
      <c r="CH103" s="330">
        <f t="shared" si="1058"/>
        <v>0</v>
      </c>
      <c r="CI103" s="46">
        <f t="shared" si="1058"/>
        <v>0</v>
      </c>
      <c r="CJ103" s="46">
        <f>IF($A103="a",IFERROR(VLOOKUP($B103 &amp; $C103&amp;CJ$4,tblForecast,CJ$2,FALSE),0),CH103+CI103)</f>
        <v>0</v>
      </c>
      <c r="CK103" s="46">
        <f t="shared" si="1059"/>
        <v>0</v>
      </c>
      <c r="CL103" s="46">
        <f t="shared" si="1059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1004"/>
        <v>0</v>
      </c>
      <c r="CO103" s="177">
        <f t="shared" si="1005"/>
        <v>0</v>
      </c>
      <c r="CP103" s="221">
        <f t="shared" ca="1" si="1006"/>
        <v>0</v>
      </c>
      <c r="CQ103" s="193">
        <f t="shared" ca="1" si="1007"/>
        <v>0</v>
      </c>
      <c r="CR103" s="177">
        <f t="shared" si="1008"/>
        <v>0</v>
      </c>
      <c r="CS103" s="221">
        <f t="shared" ca="1" si="1009"/>
        <v>0</v>
      </c>
      <c r="CT103" s="193">
        <f t="shared" ca="1" si="1010"/>
        <v>0</v>
      </c>
      <c r="CU103" s="44">
        <f t="shared" si="859"/>
        <v>0</v>
      </c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1011"/>
        <v>0</v>
      </c>
      <c r="CZ103" s="276">
        <f>IFERROR(VLOOKUP(Brand&amp;Channel&amp;Country&amp;$C103,tblDiscount,6,FALSE),0)</f>
        <v>0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478</v>
      </c>
      <c r="B104" s="44">
        <v>2019</v>
      </c>
      <c r="C104" s="88">
        <f t="shared" ref="C104:C106" si="1064">C103+1</f>
        <v>20</v>
      </c>
      <c r="D104" s="51">
        <f t="shared" si="1060"/>
        <v>0</v>
      </c>
      <c r="E104" s="201">
        <f t="shared" si="1061"/>
        <v>0</v>
      </c>
      <c r="F104" s="181">
        <f t="shared" si="967"/>
        <v>0</v>
      </c>
      <c r="G104" s="175">
        <f t="shared" si="1032"/>
        <v>0</v>
      </c>
      <c r="H104" s="202">
        <f t="shared" si="1032"/>
        <v>0</v>
      </c>
      <c r="I104" s="202">
        <f t="shared" si="1032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1033"/>
        <v>0</v>
      </c>
      <c r="N104" s="46">
        <f t="shared" si="1034"/>
        <v>0</v>
      </c>
      <c r="O104" s="46">
        <f t="shared" ca="1" si="1035"/>
        <v>0</v>
      </c>
      <c r="P104" s="47">
        <f t="shared" ca="1" si="972"/>
        <v>0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1036"/>
        <v>0</v>
      </c>
      <c r="T104" s="238">
        <f ca="1">SUMIFS(OFFSET(tblForecast,,T$2,,1),OFFSET(tblForecast,,,,1),$B104-IF(CompareVer="LY",1,0)&amp; $C104 &amp;T$4)</f>
        <v>0</v>
      </c>
      <c r="U104" s="91">
        <f t="shared" ca="1" si="974"/>
        <v>0</v>
      </c>
      <c r="V104" s="247">
        <f t="shared" ca="1" si="1062"/>
        <v>0</v>
      </c>
      <c r="W104" s="327">
        <f ca="1">IFERROR(IF(R103&lt;&gt;0,R104/R103,X104),0)</f>
        <v>0</v>
      </c>
      <c r="X104" s="248">
        <f t="shared" ca="1" si="1063"/>
        <v>0</v>
      </c>
      <c r="Y104" s="51">
        <f t="shared" ca="1" si="1037"/>
        <v>0</v>
      </c>
      <c r="Z104" s="46">
        <f t="shared" si="1038"/>
        <v>0</v>
      </c>
      <c r="AA104" s="46">
        <f t="shared" si="1039"/>
        <v>0</v>
      </c>
      <c r="AB104" s="46">
        <f t="shared" ca="1" si="1040"/>
        <v>0</v>
      </c>
      <c r="AC104" s="91">
        <f t="shared" ca="1" si="979"/>
        <v>0</v>
      </c>
      <c r="AD104" s="75">
        <f ca="1">IF(AM104&lt;&gt;0,1-AR104/AM104,0)</f>
        <v>0</v>
      </c>
      <c r="AE104" s="93">
        <f t="shared" si="1041"/>
        <v>0</v>
      </c>
      <c r="AF104" s="93">
        <f t="shared" si="1042"/>
        <v>0</v>
      </c>
      <c r="AG104" s="76">
        <f t="shared" ca="1" si="1043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1044"/>
        <v>0</v>
      </c>
      <c r="AJ104" s="94">
        <f t="shared" si="1044"/>
        <v>0</v>
      </c>
      <c r="AK104" s="49">
        <f ca="1">IFERROR(CF104/BY104,0)</f>
        <v>0</v>
      </c>
      <c r="AL104" s="47">
        <f t="shared" ca="1" si="959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1045"/>
        <v>0</v>
      </c>
      <c r="AO104" s="94">
        <f t="shared" si="1045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985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1046"/>
        <v>0</v>
      </c>
      <c r="AT104" s="94">
        <f t="shared" si="1046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987"/>
        <v>0</v>
      </c>
      <c r="AW104" s="190">
        <f t="shared" ca="1" si="1047"/>
        <v>0</v>
      </c>
      <c r="AX104" s="191">
        <f t="shared" si="1048"/>
        <v>0</v>
      </c>
      <c r="AY104" s="191">
        <f t="shared" si="1049"/>
        <v>0</v>
      </c>
      <c r="AZ104" s="191">
        <f t="shared" ca="1" si="1050"/>
        <v>0</v>
      </c>
      <c r="BA104" s="233">
        <f ca="1">IF(BA103+BV104+BL104+BR104-Q104&lt;0,0,BA103+BV104+BL104+BR104-Q104)</f>
        <v>0</v>
      </c>
      <c r="BB104" s="229">
        <f ca="1">IF(IFERROR(VLOOKUP($B104 &amp; $C104&amp;BB$4,tblForecast,BB$2,FALSE),0)=0,BA104,IFERROR(VLOOKUP($B104 &amp; $C104&amp;BB$4,tblForecast,BB$2,FALSE),0))</f>
        <v>0</v>
      </c>
      <c r="BC104" s="229">
        <f ca="1">SUMIFS(OFFSET(tblForecast,,BC$2,,1),OFFSET(tblForecast,,,,1),$B104-IF(CompareVer="LY",1,0)&amp; $C104 &amp;BC$4)</f>
        <v>0</v>
      </c>
      <c r="BD104" s="229">
        <f t="shared" ca="1" si="1051"/>
        <v>0</v>
      </c>
      <c r="BE104" s="193">
        <f t="shared" ca="1" si="993"/>
        <v>0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0</v>
      </c>
      <c r="BH104" s="178">
        <f ca="1">IF(Q104&lt;&gt;0,BA104/Q104,0)</f>
        <v>0</v>
      </c>
      <c r="BI104" s="182">
        <f ca="1">IF(T104&lt;&gt;0,BD104/T104,0)</f>
        <v>0</v>
      </c>
      <c r="BJ104" s="194">
        <f t="shared" ca="1" si="1052"/>
        <v>0</v>
      </c>
      <c r="BK104" s="50">
        <f t="shared" ca="1" si="1053"/>
        <v>0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0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0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0</v>
      </c>
      <c r="BR104" s="225">
        <f t="shared" si="929"/>
        <v>0</v>
      </c>
      <c r="BS104" s="229">
        <f t="shared" ca="1" si="929"/>
        <v>0</v>
      </c>
      <c r="BT104" s="232">
        <f t="shared" si="1054"/>
        <v>0</v>
      </c>
      <c r="BU104" s="229">
        <f t="shared" si="1054"/>
        <v>0</v>
      </c>
      <c r="BV104" s="229">
        <f>IF($A104="a",IFERROR(VLOOKUP($B104 &amp; $C104&amp;BV$4,tblForecast,BV$2,FALSE),0),BT104+BU104)</f>
        <v>0</v>
      </c>
      <c r="BW104" s="229">
        <f t="shared" si="1055"/>
        <v>0</v>
      </c>
      <c r="BX104" s="229">
        <f t="shared" si="1055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998"/>
        <v>0</v>
      </c>
      <c r="CA104" s="330">
        <f t="shared" si="1056"/>
        <v>0</v>
      </c>
      <c r="CB104" s="46">
        <f t="shared" si="1056"/>
        <v>0</v>
      </c>
      <c r="CC104" s="46">
        <f>IF($A104="a",IFERROR(VLOOKUP($B104 &amp; $C104&amp;CC$4,tblForecast,CC$2,FALSE),0),CA104+CB104)</f>
        <v>0</v>
      </c>
      <c r="CD104" s="46">
        <f t="shared" si="1057"/>
        <v>0</v>
      </c>
      <c r="CE104" s="46">
        <f t="shared" si="1057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1001"/>
        <v>0</v>
      </c>
      <c r="CH104" s="330">
        <f t="shared" si="1058"/>
        <v>0</v>
      </c>
      <c r="CI104" s="46">
        <f t="shared" si="1058"/>
        <v>0</v>
      </c>
      <c r="CJ104" s="46">
        <f>IF($A104="a",IFERROR(VLOOKUP($B104 &amp; $C104&amp;CJ$4,tblForecast,CJ$2,FALSE),0),CH104+CI104)</f>
        <v>0</v>
      </c>
      <c r="CK104" s="46">
        <f t="shared" si="1059"/>
        <v>0</v>
      </c>
      <c r="CL104" s="46">
        <f t="shared" si="1059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1004"/>
        <v>0</v>
      </c>
      <c r="CO104" s="177">
        <f t="shared" si="1005"/>
        <v>0</v>
      </c>
      <c r="CP104" s="221">
        <f t="shared" ca="1" si="1006"/>
        <v>0</v>
      </c>
      <c r="CQ104" s="193">
        <f t="shared" ca="1" si="1007"/>
        <v>0</v>
      </c>
      <c r="CR104" s="177">
        <f t="shared" si="1008"/>
        <v>0</v>
      </c>
      <c r="CS104" s="221">
        <f t="shared" ca="1" si="1009"/>
        <v>0</v>
      </c>
      <c r="CT104" s="193">
        <f t="shared" ca="1" si="1010"/>
        <v>0</v>
      </c>
      <c r="CU104" s="44">
        <f t="shared" si="859"/>
        <v>0</v>
      </c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1011"/>
        <v>0</v>
      </c>
      <c r="CZ104" s="276">
        <f>IFERROR(VLOOKUP(Brand&amp;Channel&amp;Country&amp;$C104,tblDiscount,6,FALSE),0)</f>
        <v>0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478</v>
      </c>
      <c r="B105" s="44">
        <v>2019</v>
      </c>
      <c r="C105" s="88">
        <f t="shared" si="1064"/>
        <v>21</v>
      </c>
      <c r="D105" s="51">
        <f t="shared" si="1060"/>
        <v>0</v>
      </c>
      <c r="E105" s="201">
        <f t="shared" si="1061"/>
        <v>0</v>
      </c>
      <c r="F105" s="181">
        <f t="shared" si="967"/>
        <v>0</v>
      </c>
      <c r="G105" s="175">
        <f t="shared" si="1032"/>
        <v>0</v>
      </c>
      <c r="H105" s="202">
        <f t="shared" si="1032"/>
        <v>0</v>
      </c>
      <c r="I105" s="202">
        <f t="shared" si="1032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1033"/>
        <v>0</v>
      </c>
      <c r="N105" s="46">
        <f t="shared" si="1034"/>
        <v>0</v>
      </c>
      <c r="O105" s="46">
        <f t="shared" ca="1" si="1035"/>
        <v>0</v>
      </c>
      <c r="P105" s="47">
        <f t="shared" ca="1" si="972"/>
        <v>0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1036"/>
        <v>0</v>
      </c>
      <c r="T105" s="238">
        <f ca="1">SUMIFS(OFFSET(tblForecast,,T$2,,1),OFFSET(tblForecast,,,,1),$B105-IF(CompareVer="LY",1,0)&amp; $C105 &amp;T$4)</f>
        <v>0</v>
      </c>
      <c r="U105" s="91">
        <f t="shared" ca="1" si="974"/>
        <v>0</v>
      </c>
      <c r="V105" s="247">
        <f t="shared" ca="1" si="1062"/>
        <v>0</v>
      </c>
      <c r="W105" s="327">
        <f ca="1">IFERROR(IF(R104&lt;&gt;0,R105/R104,X105),0)</f>
        <v>0</v>
      </c>
      <c r="X105" s="248">
        <f t="shared" ca="1" si="1063"/>
        <v>0</v>
      </c>
      <c r="Y105" s="51">
        <f t="shared" ca="1" si="1037"/>
        <v>0</v>
      </c>
      <c r="Z105" s="46">
        <f t="shared" si="1038"/>
        <v>0</v>
      </c>
      <c r="AA105" s="46">
        <f t="shared" si="1039"/>
        <v>0</v>
      </c>
      <c r="AB105" s="46">
        <f t="shared" ca="1" si="1040"/>
        <v>0</v>
      </c>
      <c r="AC105" s="91">
        <f t="shared" ca="1" si="979"/>
        <v>0</v>
      </c>
      <c r="AD105" s="75">
        <f ca="1">IF(AM105&lt;&gt;0,1-AR105/AM105,0)</f>
        <v>0</v>
      </c>
      <c r="AE105" s="93">
        <f t="shared" si="1041"/>
        <v>0</v>
      </c>
      <c r="AF105" s="93">
        <f t="shared" si="1042"/>
        <v>0</v>
      </c>
      <c r="AG105" s="76">
        <f t="shared" ca="1" si="1043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1044"/>
        <v>0</v>
      </c>
      <c r="AJ105" s="94">
        <f t="shared" si="1044"/>
        <v>0</v>
      </c>
      <c r="AK105" s="49">
        <f ca="1">IFERROR(CF105/BY105,0)</f>
        <v>0</v>
      </c>
      <c r="AL105" s="47">
        <f t="shared" ca="1" si="959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1045"/>
        <v>0</v>
      </c>
      <c r="AO105" s="94">
        <f t="shared" si="1045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985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1046"/>
        <v>0</v>
      </c>
      <c r="AT105" s="94">
        <f t="shared" si="1046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987"/>
        <v>0</v>
      </c>
      <c r="AW105" s="190">
        <f t="shared" ca="1" si="1047"/>
        <v>0</v>
      </c>
      <c r="AX105" s="191">
        <f t="shared" si="1048"/>
        <v>0</v>
      </c>
      <c r="AY105" s="191">
        <f t="shared" si="1049"/>
        <v>0</v>
      </c>
      <c r="AZ105" s="191">
        <f t="shared" ca="1" si="1050"/>
        <v>0</v>
      </c>
      <c r="BA105" s="233">
        <f ca="1">IF(BA104+BV105+BL105+BR105-Q105&lt;0,0,BA104+BV105+BL105+BR105-Q105)</f>
        <v>0</v>
      </c>
      <c r="BB105" s="229">
        <f ca="1">IF(IFERROR(VLOOKUP($B105 &amp; $C105&amp;BB$4,tblForecast,BB$2,FALSE),0)=0,BA105,IFERROR(VLOOKUP($B105 &amp; $C105&amp;BB$4,tblForecast,BB$2,FALSE),0))</f>
        <v>0</v>
      </c>
      <c r="BC105" s="229">
        <f ca="1">SUMIFS(OFFSET(tblForecast,,BC$2,,1),OFFSET(tblForecast,,,,1),$B105-IF(CompareVer="LY",1,0)&amp; $C105 &amp;BC$4)</f>
        <v>0</v>
      </c>
      <c r="BD105" s="229">
        <f t="shared" ca="1" si="1051"/>
        <v>0</v>
      </c>
      <c r="BE105" s="193">
        <f t="shared" ca="1" si="993"/>
        <v>0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0</v>
      </c>
      <c r="BH105" s="178">
        <f ca="1">IF(Q105&lt;&gt;0,BA105/Q105,0)</f>
        <v>0</v>
      </c>
      <c r="BI105" s="182">
        <f ca="1">IF(T105&lt;&gt;0,BD105/T105,0)</f>
        <v>0</v>
      </c>
      <c r="BJ105" s="194">
        <f t="shared" ca="1" si="1052"/>
        <v>0</v>
      </c>
      <c r="BK105" s="50">
        <f t="shared" ca="1" si="1053"/>
        <v>0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0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0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0</v>
      </c>
      <c r="BR105" s="225">
        <f t="shared" si="929"/>
        <v>0</v>
      </c>
      <c r="BS105" s="229">
        <f t="shared" ca="1" si="929"/>
        <v>0</v>
      </c>
      <c r="BT105" s="232">
        <f t="shared" si="1054"/>
        <v>0</v>
      </c>
      <c r="BU105" s="229">
        <f t="shared" si="1054"/>
        <v>0</v>
      </c>
      <c r="BV105" s="229">
        <f>IF($A105="a",IFERROR(VLOOKUP($B105 &amp; $C105&amp;BV$4,tblForecast,BV$2,FALSE),0),BT105+BU105)</f>
        <v>0</v>
      </c>
      <c r="BW105" s="229">
        <f t="shared" si="1055"/>
        <v>0</v>
      </c>
      <c r="BX105" s="229">
        <f t="shared" si="1055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998"/>
        <v>0</v>
      </c>
      <c r="CA105" s="330">
        <f t="shared" si="1056"/>
        <v>0</v>
      </c>
      <c r="CB105" s="46">
        <f t="shared" si="1056"/>
        <v>0</v>
      </c>
      <c r="CC105" s="46">
        <f>IF($A105="a",IFERROR(VLOOKUP($B105 &amp; $C105&amp;CC$4,tblForecast,CC$2,FALSE),0),CA105+CB105)</f>
        <v>0</v>
      </c>
      <c r="CD105" s="46">
        <f t="shared" si="1057"/>
        <v>0</v>
      </c>
      <c r="CE105" s="46">
        <f t="shared" si="1057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1001"/>
        <v>0</v>
      </c>
      <c r="CH105" s="330">
        <f t="shared" si="1058"/>
        <v>0</v>
      </c>
      <c r="CI105" s="46">
        <f t="shared" si="1058"/>
        <v>0</v>
      </c>
      <c r="CJ105" s="46">
        <f>IF($A105="a",IFERROR(VLOOKUP($B105 &amp; $C105&amp;CJ$4,tblForecast,CJ$2,FALSE),0),CH105+CI105)</f>
        <v>0</v>
      </c>
      <c r="CK105" s="46">
        <f t="shared" si="1059"/>
        <v>0</v>
      </c>
      <c r="CL105" s="46">
        <f t="shared" si="1059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1004"/>
        <v>0</v>
      </c>
      <c r="CO105" s="177">
        <f t="shared" si="1005"/>
        <v>0</v>
      </c>
      <c r="CP105" s="221">
        <f t="shared" ca="1" si="1006"/>
        <v>0</v>
      </c>
      <c r="CQ105" s="193">
        <f t="shared" ca="1" si="1007"/>
        <v>0</v>
      </c>
      <c r="CR105" s="177">
        <f t="shared" si="1008"/>
        <v>0</v>
      </c>
      <c r="CS105" s="221">
        <f t="shared" ca="1" si="1009"/>
        <v>0</v>
      </c>
      <c r="CT105" s="193">
        <f t="shared" ca="1" si="1010"/>
        <v>0</v>
      </c>
      <c r="CU105" s="44">
        <f t="shared" si="859"/>
        <v>0</v>
      </c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1011"/>
        <v>0</v>
      </c>
      <c r="CZ105" s="276">
        <f>IFERROR(VLOOKUP(Brand&amp;Channel&amp;Country&amp;$C105,tblDiscount,6,FALSE),0)</f>
        <v>0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478</v>
      </c>
      <c r="B106" s="44">
        <v>2019</v>
      </c>
      <c r="C106" s="88">
        <f t="shared" si="1064"/>
        <v>22</v>
      </c>
      <c r="D106" s="51">
        <f t="shared" si="1060"/>
        <v>0</v>
      </c>
      <c r="E106" s="201">
        <f t="shared" si="1061"/>
        <v>0</v>
      </c>
      <c r="F106" s="181">
        <f t="shared" si="967"/>
        <v>0</v>
      </c>
      <c r="G106" s="175">
        <f t="shared" si="1032"/>
        <v>0</v>
      </c>
      <c r="H106" s="202">
        <f t="shared" si="1032"/>
        <v>0</v>
      </c>
      <c r="I106" s="202">
        <f t="shared" si="1032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1033"/>
        <v>0</v>
      </c>
      <c r="N106" s="46">
        <f t="shared" si="1034"/>
        <v>0</v>
      </c>
      <c r="O106" s="46">
        <f t="shared" ca="1" si="1035"/>
        <v>0</v>
      </c>
      <c r="P106" s="47">
        <f t="shared" ca="1" si="972"/>
        <v>0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1036"/>
        <v>0</v>
      </c>
      <c r="T106" s="238">
        <f ca="1">SUMIFS(OFFSET(tblForecast,,T$2,,1),OFFSET(tblForecast,,,,1),$B106-IF(CompareVer="LY",1,0)&amp; $C106 &amp;T$4)</f>
        <v>0</v>
      </c>
      <c r="U106" s="91">
        <f t="shared" ca="1" si="974"/>
        <v>0</v>
      </c>
      <c r="V106" s="247">
        <f t="shared" ca="1" si="1062"/>
        <v>0</v>
      </c>
      <c r="W106" s="327">
        <f ca="1">IFERROR(IF(R105&lt;&gt;0,R106/R105,X106),0)</f>
        <v>0</v>
      </c>
      <c r="X106" s="248">
        <f t="shared" ca="1" si="1063"/>
        <v>0</v>
      </c>
      <c r="Y106" s="51">
        <f t="shared" ca="1" si="1037"/>
        <v>0</v>
      </c>
      <c r="Z106" s="46">
        <f t="shared" si="1038"/>
        <v>0</v>
      </c>
      <c r="AA106" s="46">
        <f t="shared" si="1039"/>
        <v>0</v>
      </c>
      <c r="AB106" s="46">
        <f t="shared" ca="1" si="1040"/>
        <v>0</v>
      </c>
      <c r="AC106" s="91">
        <f t="shared" ca="1" si="979"/>
        <v>0</v>
      </c>
      <c r="AD106" s="75">
        <f ca="1">IF(AM106&lt;&gt;0,1-AR106/AM106,0)</f>
        <v>0</v>
      </c>
      <c r="AE106" s="93">
        <f t="shared" si="1041"/>
        <v>0</v>
      </c>
      <c r="AF106" s="93">
        <f t="shared" si="1042"/>
        <v>0</v>
      </c>
      <c r="AG106" s="76">
        <f t="shared" ca="1" si="1043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1044"/>
        <v>0</v>
      </c>
      <c r="AJ106" s="94">
        <f t="shared" si="1044"/>
        <v>0</v>
      </c>
      <c r="AK106" s="49">
        <f ca="1">IFERROR(CF106/BY106,0)</f>
        <v>0</v>
      </c>
      <c r="AL106" s="47">
        <f t="shared" ca="1" si="959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1045"/>
        <v>0</v>
      </c>
      <c r="AO106" s="94">
        <f t="shared" si="1045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985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1046"/>
        <v>0</v>
      </c>
      <c r="AT106" s="94">
        <f t="shared" si="1046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987"/>
        <v>0</v>
      </c>
      <c r="AW106" s="190">
        <f t="shared" ca="1" si="1047"/>
        <v>0</v>
      </c>
      <c r="AX106" s="191">
        <f t="shared" si="1048"/>
        <v>0</v>
      </c>
      <c r="AY106" s="191">
        <f t="shared" si="1049"/>
        <v>0</v>
      </c>
      <c r="AZ106" s="191">
        <f t="shared" ca="1" si="1050"/>
        <v>0</v>
      </c>
      <c r="BA106" s="233">
        <f ca="1">IF(BA105+BV106+BL106+BR106-Q106&lt;0,0,BA105+BV106+BL106+BR106-Q106)</f>
        <v>0</v>
      </c>
      <c r="BB106" s="229">
        <f ca="1">IF(IFERROR(VLOOKUP($B106 &amp; $C106&amp;BB$4,tblForecast,BB$2,FALSE),0)=0,BA106,IFERROR(VLOOKUP($B106 &amp; $C106&amp;BB$4,tblForecast,BB$2,FALSE),0))</f>
        <v>0</v>
      </c>
      <c r="BC106" s="229">
        <f ca="1">SUMIFS(OFFSET(tblForecast,,BC$2,,1),OFFSET(tblForecast,,,,1),$B106-IF(CompareVer="LY",1,0)&amp; $C106 &amp;BC$4)</f>
        <v>0</v>
      </c>
      <c r="BD106" s="229">
        <f t="shared" ca="1" si="1051"/>
        <v>0</v>
      </c>
      <c r="BE106" s="193">
        <f t="shared" ca="1" si="993"/>
        <v>0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0</v>
      </c>
      <c r="BH106" s="178">
        <f ca="1">IF(Q106&lt;&gt;0,BA106/Q106,0)</f>
        <v>0</v>
      </c>
      <c r="BI106" s="182">
        <f ca="1">IF(T106&lt;&gt;0,BD106/T106,0)</f>
        <v>0</v>
      </c>
      <c r="BJ106" s="194">
        <f t="shared" ca="1" si="1052"/>
        <v>0</v>
      </c>
      <c r="BK106" s="50">
        <f t="shared" ca="1" si="1053"/>
        <v>0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0</v>
      </c>
      <c r="BR106" s="225">
        <f t="shared" si="929"/>
        <v>0</v>
      </c>
      <c r="BS106" s="229">
        <f t="shared" ca="1" si="929"/>
        <v>0</v>
      </c>
      <c r="BT106" s="232">
        <f t="shared" si="1054"/>
        <v>0</v>
      </c>
      <c r="BU106" s="229">
        <f t="shared" si="1054"/>
        <v>0</v>
      </c>
      <c r="BV106" s="229">
        <f>IF($A106="a",IFERROR(VLOOKUP($B106 &amp; $C106&amp;BV$4,tblForecast,BV$2,FALSE),0),BT106+BU106)</f>
        <v>0</v>
      </c>
      <c r="BW106" s="229">
        <f t="shared" si="1055"/>
        <v>0</v>
      </c>
      <c r="BX106" s="229">
        <f t="shared" si="1055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998"/>
        <v>0</v>
      </c>
      <c r="CA106" s="330">
        <f t="shared" si="1056"/>
        <v>0</v>
      </c>
      <c r="CB106" s="46">
        <f t="shared" si="1056"/>
        <v>0</v>
      </c>
      <c r="CC106" s="46">
        <f>IF($A106="a",IFERROR(VLOOKUP($B106 &amp; $C106&amp;CC$4,tblForecast,CC$2,FALSE),0),CA106+CB106)</f>
        <v>0</v>
      </c>
      <c r="CD106" s="46">
        <f t="shared" si="1057"/>
        <v>0</v>
      </c>
      <c r="CE106" s="46">
        <f t="shared" si="1057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1001"/>
        <v>0</v>
      </c>
      <c r="CH106" s="330">
        <f t="shared" si="1058"/>
        <v>0</v>
      </c>
      <c r="CI106" s="46">
        <f t="shared" si="1058"/>
        <v>0</v>
      </c>
      <c r="CJ106" s="46">
        <f>IF($A106="a",IFERROR(VLOOKUP($B106 &amp; $C106&amp;CJ$4,tblForecast,CJ$2,FALSE),0),CH106+CI106)</f>
        <v>0</v>
      </c>
      <c r="CK106" s="46">
        <f t="shared" si="1059"/>
        <v>0</v>
      </c>
      <c r="CL106" s="46">
        <f t="shared" si="1059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1004"/>
        <v>0</v>
      </c>
      <c r="CO106" s="177">
        <f t="shared" si="1005"/>
        <v>0</v>
      </c>
      <c r="CP106" s="221">
        <f t="shared" ca="1" si="1006"/>
        <v>0</v>
      </c>
      <c r="CQ106" s="193">
        <f t="shared" ca="1" si="1007"/>
        <v>0</v>
      </c>
      <c r="CR106" s="177">
        <f t="shared" si="1008"/>
        <v>0</v>
      </c>
      <c r="CS106" s="221">
        <f t="shared" ca="1" si="1009"/>
        <v>0</v>
      </c>
      <c r="CT106" s="193">
        <f t="shared" ca="1" si="1010"/>
        <v>0</v>
      </c>
      <c r="CU106" s="44">
        <f t="shared" si="859"/>
        <v>0</v>
      </c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1011"/>
        <v>0</v>
      </c>
      <c r="CZ106" s="276">
        <f>IFERROR(VLOOKUP(Brand&amp;Channel&amp;Country&amp;$C106,tblDiscount,6,FALSE),0)</f>
        <v>0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7" t="s">
        <v>466</v>
      </c>
      <c r="D107" s="348">
        <f>SUM(D102:D106)</f>
        <v>0</v>
      </c>
      <c r="E107" s="349">
        <f>SUM(E102:E106)</f>
        <v>0</v>
      </c>
      <c r="F107" s="350">
        <f t="shared" si="967"/>
        <v>0</v>
      </c>
      <c r="G107" s="351">
        <f>SUM(G102:G106)</f>
        <v>0</v>
      </c>
      <c r="H107" s="352">
        <f>IFERROR(D107/G107,0)</f>
        <v>0</v>
      </c>
      <c r="I107" s="352">
        <f>IFERROR(SUMPRODUCT(I102:I106,G102:G106)/G107,0)</f>
        <v>0</v>
      </c>
      <c r="J107" s="351">
        <f>SUM(J102:J106)</f>
        <v>0</v>
      </c>
      <c r="K107" s="353">
        <f>SUM(K102:K106)</f>
        <v>0</v>
      </c>
      <c r="L107" s="354">
        <f ca="1">SUM(L102:L106)</f>
        <v>0</v>
      </c>
      <c r="M107" s="354">
        <f t="shared" ref="M107:O107" si="1065">SUM(M102:M106)</f>
        <v>0</v>
      </c>
      <c r="N107" s="354">
        <f t="shared" si="1065"/>
        <v>0</v>
      </c>
      <c r="O107" s="354">
        <f t="shared" ca="1" si="1065"/>
        <v>0</v>
      </c>
      <c r="P107" s="355">
        <f t="shared" ca="1" si="972"/>
        <v>0</v>
      </c>
      <c r="Q107" s="356">
        <f t="shared" ref="Q107" ca="1" si="1066">SUM(Q102:Q106)</f>
        <v>0</v>
      </c>
      <c r="R107" s="356">
        <f t="shared" ref="R107:S107" si="1067">SUM(R102:R106)</f>
        <v>0</v>
      </c>
      <c r="S107" s="356">
        <f t="shared" si="1067"/>
        <v>0</v>
      </c>
      <c r="T107" s="356">
        <f ca="1">SUM(T102:T106)</f>
        <v>0</v>
      </c>
      <c r="U107" s="355">
        <f t="shared" ca="1" si="974"/>
        <v>0</v>
      </c>
      <c r="V107" s="357">
        <f ca="1">V106</f>
        <v>0</v>
      </c>
      <c r="W107" s="358">
        <f ca="1">W106</f>
        <v>0</v>
      </c>
      <c r="X107" s="359">
        <f ca="1">X106</f>
        <v>0</v>
      </c>
      <c r="Y107" s="348">
        <f ca="1">SUM(Y102:Y106)</f>
        <v>0</v>
      </c>
      <c r="Z107" s="354">
        <f t="shared" ref="Z107:AB107" si="1068">SUM(Z102:Z106)</f>
        <v>0</v>
      </c>
      <c r="AA107" s="354">
        <f t="shared" si="1068"/>
        <v>0</v>
      </c>
      <c r="AB107" s="354">
        <f t="shared" ca="1" si="1068"/>
        <v>0</v>
      </c>
      <c r="AC107" s="355">
        <f t="shared" ca="1" si="979"/>
        <v>0</v>
      </c>
      <c r="AD107" s="360">
        <f ca="1">IFERROR(Y107/L107,0)</f>
        <v>0</v>
      </c>
      <c r="AE107" s="361">
        <f>IFERROR(Z107/M107,0)</f>
        <v>0</v>
      </c>
      <c r="AF107" s="361">
        <f>IFERROR(AA107/N107,0)</f>
        <v>0</v>
      </c>
      <c r="AG107" s="361">
        <f ca="1">IFERROR(AB107/O107,0)</f>
        <v>0</v>
      </c>
      <c r="AH107" s="362">
        <f ca="1">IFERROR(SUMPRODUCT(AH102:AH106,Q102:Q106)/Q107,0)</f>
        <v>0</v>
      </c>
      <c r="AI107" s="363">
        <f>IFERROR(SUMPRODUCT(AI102:AI106,R102:R106)/R107,0)</f>
        <v>0</v>
      </c>
      <c r="AJ107" s="363">
        <f>IFERROR(SUMPRODUCT(AJ102:AJ106,S102:S106)/S107,0)</f>
        <v>0</v>
      </c>
      <c r="AK107" s="363">
        <f ca="1">IFERROR(SUMPRODUCT(AK102:AK106,T102:T106)/T107,0)</f>
        <v>0</v>
      </c>
      <c r="AL107" s="355">
        <f t="shared" ca="1" si="959"/>
        <v>0</v>
      </c>
      <c r="AM107" s="362">
        <f ca="1">IF(Q107&lt;&gt;0,L107/Q107,0)</f>
        <v>0</v>
      </c>
      <c r="AN107" s="363">
        <f>IF(R107&lt;&gt;0,M107/R107,0)</f>
        <v>0</v>
      </c>
      <c r="AO107" s="363">
        <f>IF(S107&lt;&gt;0,N107/S107,0)</f>
        <v>0</v>
      </c>
      <c r="AP107" s="363">
        <f ca="1">IF(T107&lt;&gt;0,O107/T107,0)</f>
        <v>0</v>
      </c>
      <c r="AQ107" s="355">
        <f t="shared" ca="1" si="985"/>
        <v>0</v>
      </c>
      <c r="AR107" s="362">
        <f ca="1">IFERROR((L107*(1-AD107))/Q107,0)</f>
        <v>0</v>
      </c>
      <c r="AS107" s="363">
        <f>IFERROR((M107*(1-AE107))/R107,0)</f>
        <v>0</v>
      </c>
      <c r="AT107" s="363">
        <f>IFERROR((N107*(1-AF107))/S107,0)</f>
        <v>0</v>
      </c>
      <c r="AU107" s="363">
        <f ca="1">IFERROR((O107*(1-AG107))/T107,0)</f>
        <v>0</v>
      </c>
      <c r="AV107" s="355">
        <f t="shared" ca="1" si="987"/>
        <v>0</v>
      </c>
      <c r="AW107" s="364">
        <f ca="1">IFERROR(SUMPRODUCT(AW102:AW106,V102:V106)/V107,0)</f>
        <v>0</v>
      </c>
      <c r="AX107" s="365">
        <f t="shared" ref="AX107" ca="1" si="1069">IFERROR(SUMPRODUCT(AX102:AX106,X102:X106)/X107,0)</f>
        <v>0</v>
      </c>
      <c r="AY107" s="365">
        <f t="shared" ref="AY107" ca="1" si="1070">IFERROR(SUMPRODUCT(AY102:AY106,Y102:Y106)/Y107,0)</f>
        <v>0</v>
      </c>
      <c r="AZ107" s="365">
        <f t="shared" ref="AZ107" ca="1" si="1071">IFERROR(SUMPRODUCT(AZ102:AZ106,Z102:Z106)/Z107,0)</f>
        <v>0</v>
      </c>
      <c r="BA107" s="366">
        <f ca="1">BA106</f>
        <v>0</v>
      </c>
      <c r="BB107" s="356">
        <f t="shared" ref="BB107:BD107" ca="1" si="1072">BB106</f>
        <v>0</v>
      </c>
      <c r="BC107" s="356">
        <f t="shared" ca="1" si="1072"/>
        <v>0</v>
      </c>
      <c r="BD107" s="356">
        <f t="shared" ca="1" si="1072"/>
        <v>0</v>
      </c>
      <c r="BE107" s="355">
        <f t="shared" ca="1" si="993"/>
        <v>0</v>
      </c>
      <c r="BF107" s="356">
        <f>BF106</f>
        <v>0</v>
      </c>
      <c r="BG107" s="356">
        <f ca="1">BG106</f>
        <v>0</v>
      </c>
      <c r="BH107" s="367">
        <f ca="1">IF(Q105&lt;&gt;0,(BA107/Q107),0)</f>
        <v>0</v>
      </c>
      <c r="BI107" s="368">
        <f ca="1">IF(T105&lt;&gt;0,(BD107/T105),0)</f>
        <v>0</v>
      </c>
      <c r="BJ107" s="369">
        <f ca="1">IFERROR((Q107/COUNTIF(BJ102:BJ106,"&lt;&gt;0"))/BA107,0)</f>
        <v>0</v>
      </c>
      <c r="BK107" s="370">
        <f ca="1">IF(BD107&lt;&gt;0,(T107/COUNTIF(BK102:BK106,"&lt;&gt;0"))/BD107,0)</f>
        <v>0</v>
      </c>
      <c r="BL107" s="366">
        <f t="shared" ref="BL107" si="1073">SUM(BL102:BL106)</f>
        <v>0</v>
      </c>
      <c r="BM107" s="356">
        <f ca="1">SUM(BM102:BM106)</f>
        <v>0</v>
      </c>
      <c r="BN107" s="366">
        <f t="shared" ref="BN107:BQ107" si="1074">SUM(BN102:BN106)</f>
        <v>0</v>
      </c>
      <c r="BO107" s="356">
        <f t="shared" ca="1" si="1074"/>
        <v>0</v>
      </c>
      <c r="BP107" s="366">
        <f t="shared" si="1074"/>
        <v>0</v>
      </c>
      <c r="BQ107" s="356">
        <f t="shared" ca="1" si="1074"/>
        <v>0</v>
      </c>
      <c r="BR107" s="366">
        <f t="shared" si="929"/>
        <v>0</v>
      </c>
      <c r="BS107" s="356">
        <f t="shared" ca="1" si="929"/>
        <v>0</v>
      </c>
      <c r="BT107" s="366">
        <f t="shared" ref="BT107:BY107" si="1075">SUM(BT102:BT106)</f>
        <v>0</v>
      </c>
      <c r="BU107" s="356">
        <f t="shared" si="1075"/>
        <v>0</v>
      </c>
      <c r="BV107" s="356">
        <f t="shared" si="1075"/>
        <v>0</v>
      </c>
      <c r="BW107" s="356">
        <f t="shared" si="1075"/>
        <v>0</v>
      </c>
      <c r="BX107" s="356">
        <f t="shared" si="1075"/>
        <v>0</v>
      </c>
      <c r="BY107" s="371">
        <f t="shared" ca="1" si="1075"/>
        <v>0</v>
      </c>
      <c r="BZ107" s="355">
        <f t="shared" ca="1" si="998"/>
        <v>0</v>
      </c>
      <c r="CA107" s="372">
        <f t="shared" ref="CA107:CF107" si="1076">SUM(CA102:CA106)</f>
        <v>0</v>
      </c>
      <c r="CB107" s="354">
        <f t="shared" si="1076"/>
        <v>0</v>
      </c>
      <c r="CC107" s="354">
        <f t="shared" si="1076"/>
        <v>0</v>
      </c>
      <c r="CD107" s="354">
        <f t="shared" si="1076"/>
        <v>0</v>
      </c>
      <c r="CE107" s="354">
        <f t="shared" si="1076"/>
        <v>0</v>
      </c>
      <c r="CF107" s="354">
        <f t="shared" ca="1" si="1076"/>
        <v>0</v>
      </c>
      <c r="CG107" s="355">
        <f t="shared" ca="1" si="1001"/>
        <v>0</v>
      </c>
      <c r="CH107" s="372">
        <f t="shared" ref="CH107:CM107" si="1077">SUM(CH102:CH106)</f>
        <v>0</v>
      </c>
      <c r="CI107" s="354">
        <f t="shared" si="1077"/>
        <v>0</v>
      </c>
      <c r="CJ107" s="354">
        <f t="shared" si="1077"/>
        <v>0</v>
      </c>
      <c r="CK107" s="354">
        <f t="shared" si="1077"/>
        <v>0</v>
      </c>
      <c r="CL107" s="354">
        <f t="shared" si="1077"/>
        <v>0</v>
      </c>
      <c r="CM107" s="354">
        <f t="shared" ca="1" si="1077"/>
        <v>0</v>
      </c>
      <c r="CN107" s="355">
        <f t="shared" ca="1" si="1004"/>
        <v>0</v>
      </c>
      <c r="CO107" s="373">
        <f t="shared" si="1005"/>
        <v>0</v>
      </c>
      <c r="CP107" s="374">
        <f t="shared" ca="1" si="1006"/>
        <v>0</v>
      </c>
      <c r="CQ107" s="355">
        <f t="shared" ca="1" si="1007"/>
        <v>0</v>
      </c>
      <c r="CR107" s="373">
        <f t="shared" si="1008"/>
        <v>0</v>
      </c>
      <c r="CS107" s="374">
        <f t="shared" ca="1" si="1009"/>
        <v>0</v>
      </c>
      <c r="CT107" s="355">
        <f t="shared" ca="1" si="1010"/>
        <v>0</v>
      </c>
      <c r="CU107" s="44">
        <f t="shared" si="859"/>
        <v>0</v>
      </c>
      <c r="CW107" s="100">
        <f>CW106</f>
        <v>0</v>
      </c>
      <c r="CX107" s="101">
        <f ca="1">CX106</f>
        <v>0</v>
      </c>
      <c r="CY107" s="99">
        <f t="shared" ca="1" si="1011"/>
        <v>0</v>
      </c>
      <c r="CZ107" s="276"/>
      <c r="DA107" s="277"/>
      <c r="DB107" s="277"/>
      <c r="DC107" s="278"/>
    </row>
    <row r="108" spans="1:107" x14ac:dyDescent="0.25">
      <c r="A108" s="44" t="s">
        <v>478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967"/>
        <v>0</v>
      </c>
      <c r="G108" s="175">
        <f t="shared" ref="G108:I111" si="1078">IFERROR(VLOOKUP($B108 &amp; $C108&amp;G$4&amp;$A108,tblForecast,G$2,FALSE),0)</f>
        <v>0</v>
      </c>
      <c r="H108" s="202">
        <f t="shared" si="1078"/>
        <v>0</v>
      </c>
      <c r="I108" s="202">
        <f t="shared" si="1078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M111" si="1079">R108*AN108</f>
        <v>0</v>
      </c>
      <c r="N108" s="46">
        <f t="shared" ref="N108:N111" si="1080">S108*AO108</f>
        <v>0</v>
      </c>
      <c r="O108" s="46">
        <f t="shared" ref="O108:O111" ca="1" si="1081">T108*AP108</f>
        <v>0</v>
      </c>
      <c r="P108" s="47">
        <f t="shared" ca="1" si="972"/>
        <v>0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1082">IFERROR(VLOOKUP($B108 &amp; $C108&amp;S$4,tblForecast,S$2,FALSE),0)</f>
        <v>0</v>
      </c>
      <c r="T108" s="238">
        <f ca="1">SUMIFS(OFFSET(tblForecast,,T$2,,1),OFFSET(tblForecast,,,,1),$B108-IF(CompareVer="LY",1,0)&amp; $C108 &amp;T$4)</f>
        <v>0</v>
      </c>
      <c r="U108" s="91">
        <f t="shared" ca="1" si="974"/>
        <v>0</v>
      </c>
      <c r="V108" s="247">
        <f ca="1">IFERROR(IF(Q106&gt;0,Q108/Q106,0),0)</f>
        <v>0</v>
      </c>
      <c r="W108" s="327">
        <f ca="1">IFERROR(IF(R106&gt;0,R108/R106,X108),0)</f>
        <v>0</v>
      </c>
      <c r="X108" s="248">
        <f ca="1">IFERROR(IF(T106&gt;0,T108/T106,0),0)</f>
        <v>0</v>
      </c>
      <c r="Y108" s="51">
        <f t="shared" ref="Y108:Y111" ca="1" si="1083">IFERROR(L108*AD108,0)</f>
        <v>0</v>
      </c>
      <c r="Z108" s="46">
        <f t="shared" ref="Z108:Z111" si="1084">IFERROR(M108*AE108,0)</f>
        <v>0</v>
      </c>
      <c r="AA108" s="46">
        <f t="shared" ref="AA108:AA111" si="1085">IFERROR(N108*AF108,0)</f>
        <v>0</v>
      </c>
      <c r="AB108" s="46">
        <f t="shared" ref="AB108:AB111" ca="1" si="1086">IFERROR(O108*AG108,0)</f>
        <v>0</v>
      </c>
      <c r="AC108" s="91">
        <f t="shared" ca="1" si="979"/>
        <v>0</v>
      </c>
      <c r="AD108" s="75">
        <f ca="1">IF(AM108&lt;&gt;0,1-AR108/AM108,0)</f>
        <v>0</v>
      </c>
      <c r="AE108" s="93">
        <f t="shared" ref="AE108:AE111" si="1087">IF(AN108&lt;&gt;0,1-AS108/AN108,0)</f>
        <v>0</v>
      </c>
      <c r="AF108" s="93">
        <f t="shared" ref="AF108:AF111" si="1088">IF(AO108&lt;&gt;0,1-AT108/AO108,0)</f>
        <v>0</v>
      </c>
      <c r="AG108" s="76">
        <f t="shared" ref="AG108:AG111" ca="1" si="1089">IF(AP108&lt;&gt;0,1-AU108/AP108,0)</f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1090">IFERROR(VLOOKUP($B108 &amp; $C108&amp;AI$4,tblForecast,AI$2,FALSE),0)</f>
        <v>0</v>
      </c>
      <c r="AJ108" s="94">
        <f t="shared" si="1090"/>
        <v>0</v>
      </c>
      <c r="AK108" s="49">
        <f ca="1">IFERROR(CF108/BY108,0)</f>
        <v>0</v>
      </c>
      <c r="AL108" s="47">
        <f t="shared" ca="1" si="959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1091">IFERROR(VLOOKUP($B108 &amp; $C108&amp;AN$4,tblForecast,AN$2,FALSE),0)</f>
        <v>0</v>
      </c>
      <c r="AO108" s="94">
        <f t="shared" si="1091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985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1092">IFERROR(VLOOKUP($B108 &amp; $C108&amp;AS$4,tblForecast,AS$2,FALSE),0)</f>
        <v>0</v>
      </c>
      <c r="AT108" s="94">
        <f t="shared" si="1092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987"/>
        <v>0</v>
      </c>
      <c r="AW108" s="190">
        <f t="shared" ref="AW108:AW111" ca="1" si="1093">IFERROR((AM108/AH108-1)*-1,0)</f>
        <v>0</v>
      </c>
      <c r="AX108" s="191">
        <f t="shared" ref="AX108:AX111" si="1094">IFERROR((AN108/AI108-1)*-1,0)</f>
        <v>0</v>
      </c>
      <c r="AY108" s="191">
        <f t="shared" ref="AY108:AY111" si="1095">IFERROR((AO108/AJ108-1)*-1,0)</f>
        <v>0</v>
      </c>
      <c r="AZ108" s="191">
        <f t="shared" ref="AZ108:AZ111" ca="1" si="1096">IFERROR((AP108/AK108-1)*-1,0)</f>
        <v>0</v>
      </c>
      <c r="BA108" s="233">
        <f ca="1">IF(BA107+BV108+BL108+BR108-Q108&lt;0,0,BA107+BV108+BL108+BR108-Q108)</f>
        <v>0</v>
      </c>
      <c r="BB108" s="229">
        <f ca="1">IF(IFERROR(VLOOKUP($B108 &amp; $C108&amp;BB$4,tblForecast,BB$2,FALSE),0)=0,BA108,IFERROR(VLOOKUP($B108 &amp; $C108&amp;BB$4,tblForecast,BB$2,FALSE),0))</f>
        <v>0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1097">CX108+BG108</f>
        <v>0</v>
      </c>
      <c r="BE108" s="193">
        <f t="shared" ca="1" si="993"/>
        <v>0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0</v>
      </c>
      <c r="BH108" s="178">
        <f ca="1">IF(Q108&lt;&gt;0,BA108/Q108,0)</f>
        <v>0</v>
      </c>
      <c r="BI108" s="182">
        <f ca="1">IF(T108&lt;&gt;0,BD108/T108,0)</f>
        <v>0</v>
      </c>
      <c r="BJ108" s="194">
        <f t="shared" ref="BJ108:BJ111" ca="1" si="1098">IF(BA108&lt;&gt;0,Q108/BA108,0)</f>
        <v>0</v>
      </c>
      <c r="BK108" s="50">
        <f t="shared" ref="BK108:BK111" ca="1" si="1099">IF(BD108&lt;&gt;0,T108/BD108,0)</f>
        <v>0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0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R113" si="1100">BN108-BP108</f>
        <v>0</v>
      </c>
      <c r="BS108" s="229">
        <f t="shared" ref="BS108:BS113" ca="1" si="1101">BO108-BQ108</f>
        <v>0</v>
      </c>
      <c r="BT108" s="232">
        <f t="shared" ref="BT108:BU111" si="1102">IFERROR(VLOOKUP($B108 &amp; $C108&amp;BT$4,tblForecast,BT$2,FALSE),0)</f>
        <v>0</v>
      </c>
      <c r="BU108" s="229">
        <f t="shared" si="1102"/>
        <v>0</v>
      </c>
      <c r="BV108" s="229">
        <f>IF($A108="a",IFERROR(VLOOKUP($B108 &amp; $C108&amp;BV$4,tblForecast,BV$2,FALSE),0),BT108+BU108)</f>
        <v>0</v>
      </c>
      <c r="BW108" s="229">
        <f t="shared" ref="BW108:BX111" si="1103">IFERROR(VLOOKUP($B108 &amp; $C108&amp;BW$4,tblForecast,BW$2,FALSE),0)</f>
        <v>0</v>
      </c>
      <c r="BX108" s="229">
        <f t="shared" si="1103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998"/>
        <v>0</v>
      </c>
      <c r="CA108" s="330">
        <f t="shared" ref="CA108:CB111" si="1104">IFERROR(VLOOKUP($B108 &amp; $C108&amp;CA$4,tblForecast,CA$2,FALSE),0)</f>
        <v>0</v>
      </c>
      <c r="CB108" s="46">
        <f t="shared" si="1104"/>
        <v>0</v>
      </c>
      <c r="CC108" s="46">
        <f>IF($A108="a",IFERROR(VLOOKUP($B108 &amp; $C108&amp;CC$4,tblForecast,CC$2,FALSE),0),CA108+CB108)</f>
        <v>0</v>
      </c>
      <c r="CD108" s="46">
        <f t="shared" ref="CD108:CE111" si="1105">IFERROR(VLOOKUP($B108 &amp; $C108&amp;CD$4,tblForecast,CD$2,FALSE),0)</f>
        <v>0</v>
      </c>
      <c r="CE108" s="46">
        <f t="shared" si="1105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1001"/>
        <v>0</v>
      </c>
      <c r="CH108" s="330">
        <f t="shared" ref="CH108:CI111" si="1106">IFERROR(VLOOKUP($B108 &amp; $C108&amp;CH$4,tblForecast,CH$2,FALSE),0)</f>
        <v>0</v>
      </c>
      <c r="CI108" s="46">
        <f t="shared" si="1106"/>
        <v>0</v>
      </c>
      <c r="CJ108" s="46">
        <f>IF($A108="a",IFERROR(VLOOKUP($B108 &amp; $C108&amp;CJ$4,tblForecast,CJ$2,FALSE),0),CH108+CI108)</f>
        <v>0</v>
      </c>
      <c r="CK108" s="46">
        <f t="shared" ref="CK108:CL111" si="1107">IFERROR(VLOOKUP($B108 &amp; $C108&amp;CK$4,tblForecast,CK$2,FALSE),0)</f>
        <v>0</v>
      </c>
      <c r="CL108" s="46">
        <f t="shared" si="1107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1004"/>
        <v>0</v>
      </c>
      <c r="CO108" s="177">
        <f t="shared" si="1005"/>
        <v>0</v>
      </c>
      <c r="CP108" s="221">
        <f t="shared" ca="1" si="1006"/>
        <v>0</v>
      </c>
      <c r="CQ108" s="193">
        <f t="shared" ca="1" si="1007"/>
        <v>0</v>
      </c>
      <c r="CR108" s="177">
        <f t="shared" si="1008"/>
        <v>0</v>
      </c>
      <c r="CS108" s="221">
        <f t="shared" ca="1" si="1009"/>
        <v>0</v>
      </c>
      <c r="CT108" s="193">
        <f t="shared" ca="1" si="1010"/>
        <v>0</v>
      </c>
      <c r="CU108" s="44">
        <f t="shared" si="859"/>
        <v>0</v>
      </c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1011"/>
        <v>0</v>
      </c>
      <c r="CZ108" s="276">
        <f>IFERROR(VLOOKUP(Brand&amp;Channel&amp;Country&amp;$C108,tblDiscount,6,FALSE),0)</f>
        <v>0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478</v>
      </c>
      <c r="B109" s="44">
        <v>2019</v>
      </c>
      <c r="C109" s="88">
        <f>C108+1</f>
        <v>24</v>
      </c>
      <c r="D109" s="51">
        <f t="shared" ref="D109:D111" si="1108">G109*H109</f>
        <v>0</v>
      </c>
      <c r="E109" s="201">
        <f t="shared" ref="E109:E111" si="1109">IFERROR(D109*F109,0)</f>
        <v>0</v>
      </c>
      <c r="F109" s="181">
        <f t="shared" si="967"/>
        <v>0</v>
      </c>
      <c r="G109" s="175">
        <f t="shared" si="1078"/>
        <v>0</v>
      </c>
      <c r="H109" s="202">
        <f t="shared" si="1078"/>
        <v>0</v>
      </c>
      <c r="I109" s="202">
        <f t="shared" si="1078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1079"/>
        <v>0</v>
      </c>
      <c r="N109" s="46">
        <f t="shared" si="1080"/>
        <v>0</v>
      </c>
      <c r="O109" s="46">
        <f t="shared" ca="1" si="1081"/>
        <v>0</v>
      </c>
      <c r="P109" s="47">
        <f t="shared" ca="1" si="972"/>
        <v>0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1082"/>
        <v>0</v>
      </c>
      <c r="T109" s="238">
        <f ca="1">SUMIFS(OFFSET(tblForecast,,T$2,,1),OFFSET(tblForecast,,,,1),$B109-IF(CompareVer="LY",1,0)&amp; $C109 &amp;T$4)</f>
        <v>0</v>
      </c>
      <c r="U109" s="91">
        <f t="shared" ca="1" si="974"/>
        <v>0</v>
      </c>
      <c r="V109" s="247">
        <f t="shared" ref="V109:V111" ca="1" si="1110">IFERROR(IF(Q108&lt;&gt;0,Q109/Q108,0),0)</f>
        <v>0</v>
      </c>
      <c r="W109" s="327">
        <f ca="1">IFERROR(IF(R108&lt;&gt;0,R109/R108,X109),0)</f>
        <v>0</v>
      </c>
      <c r="X109" s="248">
        <f t="shared" ref="X109:X111" ca="1" si="1111">IFERROR(IF(T108&lt;&gt;0,T109/T108,0),0)</f>
        <v>0</v>
      </c>
      <c r="Y109" s="51">
        <f t="shared" ca="1" si="1083"/>
        <v>0</v>
      </c>
      <c r="Z109" s="46">
        <f t="shared" si="1084"/>
        <v>0</v>
      </c>
      <c r="AA109" s="46">
        <f t="shared" si="1085"/>
        <v>0</v>
      </c>
      <c r="AB109" s="46">
        <f t="shared" ca="1" si="1086"/>
        <v>0</v>
      </c>
      <c r="AC109" s="91">
        <f t="shared" ca="1" si="979"/>
        <v>0</v>
      </c>
      <c r="AD109" s="75">
        <f ca="1">IF(AM109&lt;&gt;0,1-AR109/AM109,0)</f>
        <v>0</v>
      </c>
      <c r="AE109" s="93">
        <f t="shared" si="1087"/>
        <v>0</v>
      </c>
      <c r="AF109" s="93">
        <f t="shared" si="1088"/>
        <v>0</v>
      </c>
      <c r="AG109" s="76">
        <f t="shared" ca="1" si="1089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1090"/>
        <v>0</v>
      </c>
      <c r="AJ109" s="94">
        <f t="shared" si="1090"/>
        <v>0</v>
      </c>
      <c r="AK109" s="49">
        <f ca="1">IFERROR(CF109/BY109,0)</f>
        <v>0</v>
      </c>
      <c r="AL109" s="47">
        <f t="shared" ca="1" si="959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1091"/>
        <v>0</v>
      </c>
      <c r="AO109" s="94">
        <f t="shared" si="1091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985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1092"/>
        <v>0</v>
      </c>
      <c r="AT109" s="94">
        <f t="shared" si="1092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987"/>
        <v>0</v>
      </c>
      <c r="AW109" s="190">
        <f t="shared" ca="1" si="1093"/>
        <v>0</v>
      </c>
      <c r="AX109" s="191">
        <f t="shared" si="1094"/>
        <v>0</v>
      </c>
      <c r="AY109" s="191">
        <f t="shared" si="1095"/>
        <v>0</v>
      </c>
      <c r="AZ109" s="191">
        <f t="shared" ca="1" si="1096"/>
        <v>0</v>
      </c>
      <c r="BA109" s="233">
        <f ca="1">IF(BA108+BV109+BL109+BR109-Q109&lt;0,0,BA108+BV109+BL109+BR109-Q109)</f>
        <v>0</v>
      </c>
      <c r="BB109" s="229">
        <f ca="1">IF(IFERROR(VLOOKUP($B109 &amp; $C109&amp;BB$4,tblForecast,BB$2,FALSE),0)=0,BA109,IFERROR(VLOOKUP($B109 &amp; $C109&amp;BB$4,tblForecast,BB$2,FALSE),0))</f>
        <v>0</v>
      </c>
      <c r="BC109" s="229">
        <f ca="1">SUMIFS(OFFSET(tblForecast,,BC$2,,1),OFFSET(tblForecast,,,,1),$B109-IF(CompareVer="LY",1,0)&amp; $C109 &amp;BC$4)</f>
        <v>0</v>
      </c>
      <c r="BD109" s="229">
        <f t="shared" ca="1" si="1097"/>
        <v>0</v>
      </c>
      <c r="BE109" s="193">
        <f t="shared" ca="1" si="993"/>
        <v>0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0</v>
      </c>
      <c r="BH109" s="178">
        <f ca="1">IF(Q109&lt;&gt;0,BA109/Q109,0)</f>
        <v>0</v>
      </c>
      <c r="BI109" s="182">
        <f ca="1">IF(T109&lt;&gt;0,BD109/T109,0)</f>
        <v>0</v>
      </c>
      <c r="BJ109" s="194">
        <f t="shared" ca="1" si="1098"/>
        <v>0</v>
      </c>
      <c r="BK109" s="50">
        <f t="shared" ca="1" si="1099"/>
        <v>0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0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1100"/>
        <v>0</v>
      </c>
      <c r="BS109" s="229">
        <f t="shared" ca="1" si="1101"/>
        <v>0</v>
      </c>
      <c r="BT109" s="232">
        <f t="shared" si="1102"/>
        <v>0</v>
      </c>
      <c r="BU109" s="229">
        <f t="shared" si="1102"/>
        <v>0</v>
      </c>
      <c r="BV109" s="229">
        <f>IF($A109="a",IFERROR(VLOOKUP($B109 &amp; $C109&amp;BV$4,tblForecast,BV$2,FALSE),0),BT109+BU109)</f>
        <v>0</v>
      </c>
      <c r="BW109" s="229">
        <f t="shared" si="1103"/>
        <v>0</v>
      </c>
      <c r="BX109" s="229">
        <f t="shared" si="1103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998"/>
        <v>0</v>
      </c>
      <c r="CA109" s="330">
        <f t="shared" si="1104"/>
        <v>0</v>
      </c>
      <c r="CB109" s="46">
        <f t="shared" si="1104"/>
        <v>0</v>
      </c>
      <c r="CC109" s="46">
        <f>IF($A109="a",IFERROR(VLOOKUP($B109 &amp; $C109&amp;CC$4,tblForecast,CC$2,FALSE),0),CA109+CB109)</f>
        <v>0</v>
      </c>
      <c r="CD109" s="46">
        <f t="shared" si="1105"/>
        <v>0</v>
      </c>
      <c r="CE109" s="46">
        <f t="shared" si="1105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1001"/>
        <v>0</v>
      </c>
      <c r="CH109" s="330">
        <f t="shared" si="1106"/>
        <v>0</v>
      </c>
      <c r="CI109" s="46">
        <f t="shared" si="1106"/>
        <v>0</v>
      </c>
      <c r="CJ109" s="46">
        <f>IF($A109="a",IFERROR(VLOOKUP($B109 &amp; $C109&amp;CJ$4,tblForecast,CJ$2,FALSE),0),CH109+CI109)</f>
        <v>0</v>
      </c>
      <c r="CK109" s="46">
        <f t="shared" si="1107"/>
        <v>0</v>
      </c>
      <c r="CL109" s="46">
        <f t="shared" si="1107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1004"/>
        <v>0</v>
      </c>
      <c r="CO109" s="177">
        <f t="shared" si="1005"/>
        <v>0</v>
      </c>
      <c r="CP109" s="221">
        <f t="shared" ca="1" si="1006"/>
        <v>0</v>
      </c>
      <c r="CQ109" s="193">
        <f t="shared" ca="1" si="1007"/>
        <v>0</v>
      </c>
      <c r="CR109" s="177">
        <f t="shared" si="1008"/>
        <v>0</v>
      </c>
      <c r="CS109" s="221">
        <f t="shared" ca="1" si="1009"/>
        <v>0</v>
      </c>
      <c r="CT109" s="193">
        <f t="shared" ca="1" si="1010"/>
        <v>0</v>
      </c>
      <c r="CU109" s="44">
        <f t="shared" si="859"/>
        <v>0</v>
      </c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1011"/>
        <v>0</v>
      </c>
      <c r="CZ109" s="276">
        <f>IFERROR(VLOOKUP(Brand&amp;Channel&amp;Country&amp;$C109,tblDiscount,6,FALSE),0)</f>
        <v>0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478</v>
      </c>
      <c r="B110" s="44">
        <v>2019</v>
      </c>
      <c r="C110" s="88">
        <f t="shared" ref="C110:C111" si="1112">C109+1</f>
        <v>25</v>
      </c>
      <c r="D110" s="51">
        <f t="shared" si="1108"/>
        <v>0</v>
      </c>
      <c r="E110" s="201">
        <f t="shared" si="1109"/>
        <v>0</v>
      </c>
      <c r="F110" s="181">
        <f t="shared" si="967"/>
        <v>0</v>
      </c>
      <c r="G110" s="175">
        <f t="shared" si="1078"/>
        <v>0</v>
      </c>
      <c r="H110" s="202">
        <f t="shared" si="1078"/>
        <v>0</v>
      </c>
      <c r="I110" s="202">
        <f t="shared" si="1078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1079"/>
        <v>0</v>
      </c>
      <c r="N110" s="46">
        <f t="shared" si="1080"/>
        <v>0</v>
      </c>
      <c r="O110" s="46">
        <f t="shared" ca="1" si="1081"/>
        <v>0</v>
      </c>
      <c r="P110" s="47">
        <f t="shared" ca="1" si="972"/>
        <v>0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1082"/>
        <v>0</v>
      </c>
      <c r="T110" s="238">
        <f ca="1">SUMIFS(OFFSET(tblForecast,,T$2,,1),OFFSET(tblForecast,,,,1),$B110-IF(CompareVer="LY",1,0)&amp; $C110 &amp;T$4)</f>
        <v>0</v>
      </c>
      <c r="U110" s="91">
        <f t="shared" ca="1" si="974"/>
        <v>0</v>
      </c>
      <c r="V110" s="247">
        <f t="shared" ca="1" si="1110"/>
        <v>0</v>
      </c>
      <c r="W110" s="327">
        <f ca="1">IFERROR(IF(R109&lt;&gt;0,R110/R109,X110),0)</f>
        <v>0</v>
      </c>
      <c r="X110" s="248">
        <f t="shared" ca="1" si="1111"/>
        <v>0</v>
      </c>
      <c r="Y110" s="51">
        <f t="shared" ca="1" si="1083"/>
        <v>0</v>
      </c>
      <c r="Z110" s="46">
        <f t="shared" si="1084"/>
        <v>0</v>
      </c>
      <c r="AA110" s="46">
        <f t="shared" si="1085"/>
        <v>0</v>
      </c>
      <c r="AB110" s="46">
        <f t="shared" ca="1" si="1086"/>
        <v>0</v>
      </c>
      <c r="AC110" s="91">
        <f t="shared" ca="1" si="979"/>
        <v>0</v>
      </c>
      <c r="AD110" s="75">
        <f ca="1">IF(AM110&lt;&gt;0,1-AR110/AM110,0)</f>
        <v>0</v>
      </c>
      <c r="AE110" s="93">
        <f t="shared" si="1087"/>
        <v>0</v>
      </c>
      <c r="AF110" s="93">
        <f t="shared" si="1088"/>
        <v>0</v>
      </c>
      <c r="AG110" s="76">
        <f t="shared" ca="1" si="1089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1090"/>
        <v>0</v>
      </c>
      <c r="AJ110" s="94">
        <f t="shared" si="1090"/>
        <v>0</v>
      </c>
      <c r="AK110" s="49">
        <f ca="1">IFERROR(CF110/BY110,0)</f>
        <v>0</v>
      </c>
      <c r="AL110" s="47">
        <f t="shared" ca="1" si="959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1091"/>
        <v>0</v>
      </c>
      <c r="AO110" s="94">
        <f t="shared" si="1091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985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1092"/>
        <v>0</v>
      </c>
      <c r="AT110" s="94">
        <f t="shared" si="1092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987"/>
        <v>0</v>
      </c>
      <c r="AW110" s="190">
        <f t="shared" ca="1" si="1093"/>
        <v>0</v>
      </c>
      <c r="AX110" s="191">
        <f t="shared" si="1094"/>
        <v>0</v>
      </c>
      <c r="AY110" s="191">
        <f t="shared" si="1095"/>
        <v>0</v>
      </c>
      <c r="AZ110" s="191">
        <f t="shared" ca="1" si="1096"/>
        <v>0</v>
      </c>
      <c r="BA110" s="233">
        <f ca="1">IF(BA109+BV110+BL110+BR110-Q110&lt;0,0,BA109+BV110+BL110+BR110-Q110)</f>
        <v>0</v>
      </c>
      <c r="BB110" s="229">
        <f ca="1">IF(IFERROR(VLOOKUP($B110 &amp; $C110&amp;BB$4,tblForecast,BB$2,FALSE),0)=0,BA110,IFERROR(VLOOKUP($B110 &amp; $C110&amp;BB$4,tblForecast,BB$2,FALSE),0))</f>
        <v>0</v>
      </c>
      <c r="BC110" s="229">
        <f ca="1">SUMIFS(OFFSET(tblForecast,,BC$2,,1),OFFSET(tblForecast,,,,1),$B110-IF(CompareVer="LY",1,0)&amp; $C110 &amp;BC$4)</f>
        <v>0</v>
      </c>
      <c r="BD110" s="229">
        <f t="shared" ca="1" si="1097"/>
        <v>0</v>
      </c>
      <c r="BE110" s="193">
        <f t="shared" ca="1" si="993"/>
        <v>0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0</v>
      </c>
      <c r="BH110" s="178">
        <f ca="1">IF(Q110&lt;&gt;0,BA110/Q110,0)</f>
        <v>0</v>
      </c>
      <c r="BI110" s="182">
        <f ca="1">IF(T110&lt;&gt;0,BD110/T110,0)</f>
        <v>0</v>
      </c>
      <c r="BJ110" s="194">
        <f t="shared" ca="1" si="1098"/>
        <v>0</v>
      </c>
      <c r="BK110" s="50">
        <f t="shared" ca="1" si="1099"/>
        <v>0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0</v>
      </c>
      <c r="BR110" s="225">
        <f t="shared" si="1100"/>
        <v>0</v>
      </c>
      <c r="BS110" s="229">
        <f t="shared" ca="1" si="1101"/>
        <v>0</v>
      </c>
      <c r="BT110" s="232">
        <f t="shared" si="1102"/>
        <v>0</v>
      </c>
      <c r="BU110" s="229">
        <f t="shared" si="1102"/>
        <v>0</v>
      </c>
      <c r="BV110" s="229">
        <f>IF($A110="a",IFERROR(VLOOKUP($B110 &amp; $C110&amp;BV$4,tblForecast,BV$2,FALSE),0),BT110+BU110)</f>
        <v>0</v>
      </c>
      <c r="BW110" s="229">
        <f t="shared" si="1103"/>
        <v>0</v>
      </c>
      <c r="BX110" s="229">
        <f t="shared" si="1103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998"/>
        <v>0</v>
      </c>
      <c r="CA110" s="330">
        <f t="shared" si="1104"/>
        <v>0</v>
      </c>
      <c r="CB110" s="46">
        <f t="shared" si="1104"/>
        <v>0</v>
      </c>
      <c r="CC110" s="46">
        <f>IF($A110="a",IFERROR(VLOOKUP($B110 &amp; $C110&amp;CC$4,tblForecast,CC$2,FALSE),0),CA110+CB110)</f>
        <v>0</v>
      </c>
      <c r="CD110" s="46">
        <f t="shared" si="1105"/>
        <v>0</v>
      </c>
      <c r="CE110" s="46">
        <f t="shared" si="1105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1001"/>
        <v>0</v>
      </c>
      <c r="CH110" s="330">
        <f t="shared" si="1106"/>
        <v>0</v>
      </c>
      <c r="CI110" s="46">
        <f t="shared" si="1106"/>
        <v>0</v>
      </c>
      <c r="CJ110" s="46">
        <f>IF($A110="a",IFERROR(VLOOKUP($B110 &amp; $C110&amp;CJ$4,tblForecast,CJ$2,FALSE),0),CH110+CI110)</f>
        <v>0</v>
      </c>
      <c r="CK110" s="46">
        <f t="shared" si="1107"/>
        <v>0</v>
      </c>
      <c r="CL110" s="46">
        <f t="shared" si="1107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1004"/>
        <v>0</v>
      </c>
      <c r="CO110" s="177">
        <f t="shared" si="1005"/>
        <v>0</v>
      </c>
      <c r="CP110" s="221">
        <f t="shared" ca="1" si="1006"/>
        <v>0</v>
      </c>
      <c r="CQ110" s="193">
        <f t="shared" ca="1" si="1007"/>
        <v>0</v>
      </c>
      <c r="CR110" s="177">
        <f t="shared" si="1008"/>
        <v>0</v>
      </c>
      <c r="CS110" s="221">
        <f t="shared" ca="1" si="1009"/>
        <v>0</v>
      </c>
      <c r="CT110" s="193">
        <f t="shared" ca="1" si="1010"/>
        <v>0</v>
      </c>
      <c r="CU110" s="44">
        <f t="shared" si="859"/>
        <v>0</v>
      </c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6">
        <f>IFERROR(VLOOKUP(Brand&amp;Channel&amp;Country&amp;$C110,tblDiscount,6,FALSE),0)</f>
        <v>0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478</v>
      </c>
      <c r="B111" s="44">
        <v>2019</v>
      </c>
      <c r="C111" s="88">
        <f t="shared" si="1112"/>
        <v>26</v>
      </c>
      <c r="D111" s="51">
        <f t="shared" si="1108"/>
        <v>0</v>
      </c>
      <c r="E111" s="201">
        <f t="shared" si="1109"/>
        <v>0</v>
      </c>
      <c r="F111" s="181">
        <f t="shared" si="967"/>
        <v>0</v>
      </c>
      <c r="G111" s="175">
        <f t="shared" si="1078"/>
        <v>0</v>
      </c>
      <c r="H111" s="202">
        <f t="shared" si="1078"/>
        <v>0</v>
      </c>
      <c r="I111" s="202">
        <f t="shared" si="1078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1079"/>
        <v>0</v>
      </c>
      <c r="N111" s="46">
        <f t="shared" si="1080"/>
        <v>0</v>
      </c>
      <c r="O111" s="46">
        <f t="shared" ca="1" si="1081"/>
        <v>0</v>
      </c>
      <c r="P111" s="47">
        <f t="shared" ca="1" si="972"/>
        <v>0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1082"/>
        <v>0</v>
      </c>
      <c r="T111" s="238">
        <f ca="1">SUMIFS(OFFSET(tblForecast,,T$2,,1),OFFSET(tblForecast,,,,1),$B111-IF(CompareVer="LY",1,0)&amp; $C111 &amp;T$4)</f>
        <v>0</v>
      </c>
      <c r="U111" s="91">
        <f t="shared" ca="1" si="974"/>
        <v>0</v>
      </c>
      <c r="V111" s="247">
        <f t="shared" ca="1" si="1110"/>
        <v>0</v>
      </c>
      <c r="W111" s="327">
        <f ca="1">IFERROR(IF(R110&lt;&gt;0,R111/R110,X111),0)</f>
        <v>0</v>
      </c>
      <c r="X111" s="248">
        <f t="shared" ca="1" si="1111"/>
        <v>0</v>
      </c>
      <c r="Y111" s="51">
        <f t="shared" ca="1" si="1083"/>
        <v>0</v>
      </c>
      <c r="Z111" s="46">
        <f t="shared" si="1084"/>
        <v>0</v>
      </c>
      <c r="AA111" s="46">
        <f t="shared" si="1085"/>
        <v>0</v>
      </c>
      <c r="AB111" s="46">
        <f t="shared" ca="1" si="1086"/>
        <v>0</v>
      </c>
      <c r="AC111" s="91">
        <f t="shared" ca="1" si="979"/>
        <v>0</v>
      </c>
      <c r="AD111" s="75">
        <f ca="1">IF(AM111&lt;&gt;0,1-AR111/AM111,0)</f>
        <v>0</v>
      </c>
      <c r="AE111" s="93">
        <f t="shared" si="1087"/>
        <v>0</v>
      </c>
      <c r="AF111" s="93">
        <f t="shared" si="1088"/>
        <v>0</v>
      </c>
      <c r="AG111" s="76">
        <f t="shared" ca="1" si="1089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1090"/>
        <v>0</v>
      </c>
      <c r="AJ111" s="94">
        <f t="shared" si="1090"/>
        <v>0</v>
      </c>
      <c r="AK111" s="49">
        <f ca="1">IFERROR(CF111/BY111,0)</f>
        <v>0</v>
      </c>
      <c r="AL111" s="47">
        <f t="shared" ca="1" si="959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1091"/>
        <v>0</v>
      </c>
      <c r="AO111" s="94">
        <f t="shared" si="1091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985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1092"/>
        <v>0</v>
      </c>
      <c r="AT111" s="94">
        <f t="shared" si="1092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987"/>
        <v>0</v>
      </c>
      <c r="AW111" s="190">
        <f t="shared" ca="1" si="1093"/>
        <v>0</v>
      </c>
      <c r="AX111" s="191">
        <f t="shared" si="1094"/>
        <v>0</v>
      </c>
      <c r="AY111" s="191">
        <f t="shared" si="1095"/>
        <v>0</v>
      </c>
      <c r="AZ111" s="191">
        <f t="shared" ca="1" si="1096"/>
        <v>0</v>
      </c>
      <c r="BA111" s="233">
        <f ca="1">IF(BA110+BV111+BL111+BR111-Q111&lt;0,0,BA110+BV111+BL111+BR111-Q111)</f>
        <v>0</v>
      </c>
      <c r="BB111" s="229">
        <f ca="1">IF(IFERROR(VLOOKUP($B111 &amp; $C111&amp;BB$4,tblForecast,BB$2,FALSE),0)=0,BA111,IFERROR(VLOOKUP($B111 &amp; $C111&amp;BB$4,tblForecast,BB$2,FALSE),0))</f>
        <v>0</v>
      </c>
      <c r="BC111" s="229">
        <f ca="1">SUMIFS(OFFSET(tblForecast,,BC$2,,1),OFFSET(tblForecast,,,,1),$B111-IF(CompareVer="LY",1,0)&amp; $C111 &amp;BC$4)</f>
        <v>0</v>
      </c>
      <c r="BD111" s="229">
        <f t="shared" ca="1" si="1097"/>
        <v>0</v>
      </c>
      <c r="BE111" s="193">
        <f t="shared" ca="1" si="993"/>
        <v>0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0</v>
      </c>
      <c r="BH111" s="178">
        <f ca="1">IF(Q111&lt;&gt;0,BA111/Q111,0)</f>
        <v>0</v>
      </c>
      <c r="BI111" s="182">
        <f ca="1">IF(T111&lt;&gt;0,BD111/T111,0)</f>
        <v>0</v>
      </c>
      <c r="BJ111" s="194">
        <f t="shared" ca="1" si="1098"/>
        <v>0</v>
      </c>
      <c r="BK111" s="50">
        <f t="shared" ca="1" si="1099"/>
        <v>0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0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0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0</v>
      </c>
      <c r="BR111" s="225">
        <f t="shared" si="1100"/>
        <v>0</v>
      </c>
      <c r="BS111" s="229">
        <f t="shared" ca="1" si="1101"/>
        <v>0</v>
      </c>
      <c r="BT111" s="232">
        <f t="shared" si="1102"/>
        <v>0</v>
      </c>
      <c r="BU111" s="229">
        <f t="shared" si="1102"/>
        <v>0</v>
      </c>
      <c r="BV111" s="229">
        <f>IF($A111="a",IFERROR(VLOOKUP($B111 &amp; $C111&amp;BV$4,tblForecast,BV$2,FALSE),0),BT111+BU111)</f>
        <v>0</v>
      </c>
      <c r="BW111" s="229">
        <f t="shared" si="1103"/>
        <v>0</v>
      </c>
      <c r="BX111" s="229">
        <f t="shared" si="1103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998"/>
        <v>0</v>
      </c>
      <c r="CA111" s="330">
        <f t="shared" si="1104"/>
        <v>0</v>
      </c>
      <c r="CB111" s="46">
        <f t="shared" si="1104"/>
        <v>0</v>
      </c>
      <c r="CC111" s="46">
        <f>IF($A111="a",IFERROR(VLOOKUP($B111 &amp; $C111&amp;CC$4,tblForecast,CC$2,FALSE),0),CA111+CB111)</f>
        <v>0</v>
      </c>
      <c r="CD111" s="46">
        <f t="shared" si="1105"/>
        <v>0</v>
      </c>
      <c r="CE111" s="46">
        <f t="shared" si="1105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1001"/>
        <v>0</v>
      </c>
      <c r="CH111" s="330">
        <f t="shared" si="1106"/>
        <v>0</v>
      </c>
      <c r="CI111" s="46">
        <f t="shared" si="1106"/>
        <v>0</v>
      </c>
      <c r="CJ111" s="46">
        <f>IF($A111="a",IFERROR(VLOOKUP($B111 &amp; $C111&amp;CJ$4,tblForecast,CJ$2,FALSE),0),CH111+CI111)</f>
        <v>0</v>
      </c>
      <c r="CK111" s="46">
        <f t="shared" si="1107"/>
        <v>0</v>
      </c>
      <c r="CL111" s="46">
        <f t="shared" si="1107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1004"/>
        <v>0</v>
      </c>
      <c r="CO111" s="177">
        <f t="shared" si="1005"/>
        <v>0</v>
      </c>
      <c r="CP111" s="221">
        <f t="shared" ca="1" si="1006"/>
        <v>0</v>
      </c>
      <c r="CQ111" s="193">
        <f t="shared" ca="1" si="1007"/>
        <v>0</v>
      </c>
      <c r="CR111" s="177">
        <f t="shared" si="1008"/>
        <v>0</v>
      </c>
      <c r="CS111" s="221">
        <f t="shared" ca="1" si="1009"/>
        <v>0</v>
      </c>
      <c r="CT111" s="193">
        <f t="shared" ca="1" si="1010"/>
        <v>0</v>
      </c>
      <c r="CU111" s="44">
        <f t="shared" si="859"/>
        <v>0</v>
      </c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6">
        <f>IFERROR(VLOOKUP(Brand&amp;Channel&amp;Country&amp;$C111,tblDiscount,6,FALSE),0)</f>
        <v>0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7" t="s">
        <v>467</v>
      </c>
      <c r="D112" s="348">
        <f t="shared" ref="D112" si="1113">SUM(D108:D111)</f>
        <v>0</v>
      </c>
      <c r="E112" s="349">
        <f t="shared" ref="E112" si="1114">SUM(E108:E111)</f>
        <v>0</v>
      </c>
      <c r="F112" s="350">
        <f t="shared" si="967"/>
        <v>0</v>
      </c>
      <c r="G112" s="351">
        <f>SUM(G108:G111)</f>
        <v>0</v>
      </c>
      <c r="H112" s="352">
        <f>IFERROR(D112/G112,0)</f>
        <v>0</v>
      </c>
      <c r="I112" s="352">
        <f>IFERROR(SUMPRODUCT(I108:I111,G108:G111)/G112,0)</f>
        <v>0</v>
      </c>
      <c r="J112" s="351">
        <f>SUM(J108:J111)</f>
        <v>0</v>
      </c>
      <c r="K112" s="353">
        <f>IFERROR(VLOOKUP($B112 &amp; $C112&amp;K$4&amp;$A112,tblForecast,K$2,FALSE),0)+IFERROR(VLOOKUP($B112 &amp; $C112&amp;K$4&amp;$A112,tblForecast,K$2+1,FALSE),0)</f>
        <v>0</v>
      </c>
      <c r="L112" s="354">
        <f ca="1">SUM(L108:L111)</f>
        <v>0</v>
      </c>
      <c r="M112" s="354">
        <f t="shared" ref="M112:O112" si="1115">SUM(M108:M111)</f>
        <v>0</v>
      </c>
      <c r="N112" s="354">
        <f t="shared" si="1115"/>
        <v>0</v>
      </c>
      <c r="O112" s="354">
        <f t="shared" ca="1" si="1115"/>
        <v>0</v>
      </c>
      <c r="P112" s="355">
        <f t="shared" ca="1" si="972"/>
        <v>0</v>
      </c>
      <c r="Q112" s="356">
        <f t="shared" ref="Q112" ca="1" si="1116">SUM(Q108:Q111)</f>
        <v>0</v>
      </c>
      <c r="R112" s="356">
        <f t="shared" ref="R112:S112" si="1117">SUM(R108:R111)</f>
        <v>0</v>
      </c>
      <c r="S112" s="356">
        <f t="shared" si="1117"/>
        <v>0</v>
      </c>
      <c r="T112" s="356">
        <f ca="1">SUM(T108:T111)</f>
        <v>0</v>
      </c>
      <c r="U112" s="355">
        <f t="shared" ca="1" si="974"/>
        <v>0</v>
      </c>
      <c r="V112" s="357">
        <f t="shared" ref="V112:X112" ca="1" si="1118">V111</f>
        <v>0</v>
      </c>
      <c r="W112" s="358">
        <f t="shared" ca="1" si="1118"/>
        <v>0</v>
      </c>
      <c r="X112" s="359">
        <f t="shared" ca="1" si="1118"/>
        <v>0</v>
      </c>
      <c r="Y112" s="348">
        <f ca="1">SUM(Y108:Y111)</f>
        <v>0</v>
      </c>
      <c r="Z112" s="354">
        <f t="shared" ref="Z112:AB112" si="1119">SUM(Z108:Z111)</f>
        <v>0</v>
      </c>
      <c r="AA112" s="354">
        <f t="shared" si="1119"/>
        <v>0</v>
      </c>
      <c r="AB112" s="354">
        <f t="shared" ca="1" si="1119"/>
        <v>0</v>
      </c>
      <c r="AC112" s="355">
        <f t="shared" ca="1" si="979"/>
        <v>0</v>
      </c>
      <c r="AD112" s="360">
        <f t="shared" ref="AD112:AD113" ca="1" si="1120">IFERROR(Y112/L112,0)</f>
        <v>0</v>
      </c>
      <c r="AE112" s="361">
        <f t="shared" ref="AE112:AE113" si="1121">IFERROR(Z112/M112,0)</f>
        <v>0</v>
      </c>
      <c r="AF112" s="361">
        <f t="shared" ref="AF112:AF113" si="1122">IFERROR(AA112/N112,0)</f>
        <v>0</v>
      </c>
      <c r="AG112" s="361">
        <f t="shared" ref="AG112:AG113" ca="1" si="1123">IFERROR(AB112/O112,0)</f>
        <v>0</v>
      </c>
      <c r="AH112" s="362">
        <f ca="1">IFERROR(SUMPRODUCT(AH108:AH111,Q108:Q111)/Q112,0)</f>
        <v>0</v>
      </c>
      <c r="AI112" s="363">
        <f>IFERROR(SUMPRODUCT(AI108:AI111,R108:R111)/R112,0)</f>
        <v>0</v>
      </c>
      <c r="AJ112" s="363">
        <f t="shared" ref="AJ112" si="1124">IFERROR(SUMPRODUCT(AJ108:AJ111,S108:S111)/S112,0)</f>
        <v>0</v>
      </c>
      <c r="AK112" s="363">
        <f t="shared" ref="AK112" ca="1" si="1125">IFERROR(SUMPRODUCT(AK108:AK111,T108:T111)/T112,0)</f>
        <v>0</v>
      </c>
      <c r="AL112" s="355">
        <f t="shared" ref="AL112" ca="1" si="1126">IFERROR((AL100*U100+AL106*U106+AL111*U111)/U112,0)</f>
        <v>0</v>
      </c>
      <c r="AM112" s="362">
        <f t="shared" ref="AM112:AM113" ca="1" si="1127">IF(Q112&lt;&gt;0,L112/Q112,0)</f>
        <v>0</v>
      </c>
      <c r="AN112" s="363">
        <f t="shared" ref="AN112:AN113" si="1128">IF(R112&lt;&gt;0,M112/R112,0)</f>
        <v>0</v>
      </c>
      <c r="AO112" s="363">
        <f t="shared" ref="AO112:AO113" si="1129">IF(S112&lt;&gt;0,N112/S112,0)</f>
        <v>0</v>
      </c>
      <c r="AP112" s="363">
        <f t="shared" ref="AP112:AP113" ca="1" si="1130">IF(T112&lt;&gt;0,O112/T112,0)</f>
        <v>0</v>
      </c>
      <c r="AQ112" s="355">
        <f t="shared" ca="1" si="985"/>
        <v>0</v>
      </c>
      <c r="AR112" s="362">
        <f t="shared" ref="AR112:AR113" ca="1" si="1131">IFERROR((L112*(1-AD112))/Q112,0)</f>
        <v>0</v>
      </c>
      <c r="AS112" s="363">
        <f t="shared" ref="AS112:AS113" si="1132">IFERROR((M112*(1-AE112))/R112,0)</f>
        <v>0</v>
      </c>
      <c r="AT112" s="363">
        <f t="shared" ref="AT112:AT113" si="1133">IFERROR((N112*(1-AF112))/S112,0)</f>
        <v>0</v>
      </c>
      <c r="AU112" s="363">
        <f t="shared" ref="AU112:AU113" ca="1" si="1134">IFERROR((O112*(1-AG112))/T112,0)</f>
        <v>0</v>
      </c>
      <c r="AV112" s="355">
        <f t="shared" ca="1" si="987"/>
        <v>0</v>
      </c>
      <c r="AW112" s="364">
        <f ca="1">IFERROR(SUMPRODUCT(AW108:AW111,V108:V111)/V112,0)</f>
        <v>0</v>
      </c>
      <c r="AX112" s="365">
        <f t="shared" ref="AX112" ca="1" si="1135">IFERROR(SUMPRODUCT(AX108:AX111,X108:X111)/X112,0)</f>
        <v>0</v>
      </c>
      <c r="AY112" s="365">
        <f t="shared" ref="AY112" ca="1" si="1136">IFERROR(SUMPRODUCT(AY108:AY111,Y108:Y111)/Y112,0)</f>
        <v>0</v>
      </c>
      <c r="AZ112" s="365">
        <f t="shared" ref="AZ112" ca="1" si="1137">IFERROR(SUMPRODUCT(AZ108:AZ111,Z108:Z111)/Z112,0)</f>
        <v>0</v>
      </c>
      <c r="BA112" s="366">
        <f ca="1">BA111</f>
        <v>0</v>
      </c>
      <c r="BB112" s="356">
        <f t="shared" ref="BB112:BD112" ca="1" si="1138">BB111</f>
        <v>0</v>
      </c>
      <c r="BC112" s="356">
        <f t="shared" ca="1" si="1138"/>
        <v>0</v>
      </c>
      <c r="BD112" s="356">
        <f t="shared" ca="1" si="1138"/>
        <v>0</v>
      </c>
      <c r="BE112" s="355">
        <f t="shared" ca="1" si="993"/>
        <v>0</v>
      </c>
      <c r="BF112" s="356">
        <f>BF111</f>
        <v>0</v>
      </c>
      <c r="BG112" s="356">
        <f ca="1">BG111</f>
        <v>0</v>
      </c>
      <c r="BH112" s="367">
        <f ca="1">IF(Q112&lt;&gt;0,(BA112*COUNTIF(BH108:BH111,"&lt;&gt;0")/Q112),0)</f>
        <v>0</v>
      </c>
      <c r="BI112" s="368">
        <f ca="1">IF(T112&lt;&gt;0,(BD112*COUNTIF(BI108:BI111,"&lt;&gt;0")/T112),0)</f>
        <v>0</v>
      </c>
      <c r="BJ112" s="369">
        <f ca="1">IFERROR((Q112/COUNTIF(BJ108:BJ111,"&lt;&gt;0"))/BA112,0)</f>
        <v>0</v>
      </c>
      <c r="BK112" s="370">
        <f ca="1">IF(BD112&lt;&gt;0,(T112/COUNTIF(BK108:BK111,"&lt;&gt;0"))/BD112,0)</f>
        <v>0</v>
      </c>
      <c r="BL112" s="366">
        <f>SUM(BL108:BL111)</f>
        <v>0</v>
      </c>
      <c r="BM112" s="356">
        <f ca="1">SUM(BM108:BM111)</f>
        <v>0</v>
      </c>
      <c r="BN112" s="366">
        <f>SUM(BN108:BN111)</f>
        <v>0</v>
      </c>
      <c r="BO112" s="356">
        <f t="shared" ref="BO112" ca="1" si="1139">SUM(BO108:BO111)</f>
        <v>0</v>
      </c>
      <c r="BP112" s="366">
        <f>SUM(BP108:BP111)</f>
        <v>0</v>
      </c>
      <c r="BQ112" s="356">
        <f t="shared" ref="BQ112" ca="1" si="1140">SUM(BQ108:BQ111)</f>
        <v>0</v>
      </c>
      <c r="BR112" s="366">
        <f t="shared" si="1100"/>
        <v>0</v>
      </c>
      <c r="BS112" s="356">
        <f t="shared" ca="1" si="1101"/>
        <v>0</v>
      </c>
      <c r="BT112" s="366">
        <f>SUM(BT109:BT111)</f>
        <v>0</v>
      </c>
      <c r="BU112" s="356">
        <f>SUM(BU109:BU111)</f>
        <v>0</v>
      </c>
      <c r="BV112" s="356">
        <f>SUM(BV108:BV111)</f>
        <v>0</v>
      </c>
      <c r="BW112" s="356">
        <f t="shared" ref="BW112:BX112" si="1141">SUM(BW108:BW111)</f>
        <v>0</v>
      </c>
      <c r="BX112" s="356">
        <f t="shared" si="1141"/>
        <v>0</v>
      </c>
      <c r="BY112" s="371">
        <f ca="1">SUM(BY108:BY111)</f>
        <v>0</v>
      </c>
      <c r="BZ112" s="355">
        <f t="shared" ca="1" si="998"/>
        <v>0</v>
      </c>
      <c r="CA112" s="372">
        <f>SUM(CA109:CA111)</f>
        <v>0</v>
      </c>
      <c r="CB112" s="354">
        <f t="shared" ref="CB112" si="1142">SUM(CB109:CB111)</f>
        <v>0</v>
      </c>
      <c r="CC112" s="354">
        <f t="shared" ref="CC112:CF112" si="1143">SUM(CC108:CC111)</f>
        <v>0</v>
      </c>
      <c r="CD112" s="354">
        <f t="shared" si="1143"/>
        <v>0</v>
      </c>
      <c r="CE112" s="354">
        <f t="shared" si="1143"/>
        <v>0</v>
      </c>
      <c r="CF112" s="354">
        <f t="shared" ca="1" si="1143"/>
        <v>0</v>
      </c>
      <c r="CG112" s="355">
        <f t="shared" ca="1" si="1001"/>
        <v>0</v>
      </c>
      <c r="CH112" s="372">
        <f>SUM(CH109:CH111)</f>
        <v>0</v>
      </c>
      <c r="CI112" s="354">
        <f t="shared" ref="CI112" si="1144">SUM(CI109:CI111)</f>
        <v>0</v>
      </c>
      <c r="CJ112" s="354">
        <f t="shared" ref="CJ112:CM112" si="1145">SUM(CJ108:CJ111)</f>
        <v>0</v>
      </c>
      <c r="CK112" s="354">
        <f t="shared" si="1145"/>
        <v>0</v>
      </c>
      <c r="CL112" s="354">
        <f t="shared" si="1145"/>
        <v>0</v>
      </c>
      <c r="CM112" s="354">
        <f t="shared" ca="1" si="1145"/>
        <v>0</v>
      </c>
      <c r="CN112" s="355">
        <f t="shared" ca="1" si="1004"/>
        <v>0</v>
      </c>
      <c r="CO112" s="373">
        <f t="shared" si="1005"/>
        <v>0</v>
      </c>
      <c r="CP112" s="374">
        <f t="shared" ca="1" si="1006"/>
        <v>0</v>
      </c>
      <c r="CQ112" s="355">
        <f t="shared" ca="1" si="1007"/>
        <v>0</v>
      </c>
      <c r="CR112" s="373">
        <f t="shared" si="1008"/>
        <v>0</v>
      </c>
      <c r="CS112" s="374">
        <f t="shared" ca="1" si="1009"/>
        <v>0</v>
      </c>
      <c r="CT112" s="355">
        <f t="shared" ca="1" si="1010"/>
        <v>0</v>
      </c>
      <c r="CU112" s="44">
        <f t="shared" si="859"/>
        <v>0</v>
      </c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6"/>
      <c r="DA112" s="277"/>
      <c r="DB112" s="277"/>
      <c r="DC112" s="278"/>
    </row>
    <row r="113" spans="3:107" ht="16.5" thickBot="1" x14ac:dyDescent="0.3">
      <c r="C113" s="105" t="s">
        <v>278</v>
      </c>
      <c r="D113" s="52">
        <f t="shared" ref="D113:E113" si="1146">D101+D107+D112</f>
        <v>0</v>
      </c>
      <c r="E113" s="204">
        <f t="shared" si="1146"/>
        <v>0</v>
      </c>
      <c r="F113" s="205">
        <f t="shared" si="967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1147">J101+J107+J112</f>
        <v>0</v>
      </c>
      <c r="K113" s="298">
        <f t="shared" si="1147"/>
        <v>0</v>
      </c>
      <c r="L113" s="53">
        <f ca="1">L101+L107+L112</f>
        <v>0</v>
      </c>
      <c r="M113" s="53">
        <f t="shared" ref="M113:O113" si="1148">M101+M107+M112</f>
        <v>0</v>
      </c>
      <c r="N113" s="53">
        <f t="shared" si="1148"/>
        <v>0</v>
      </c>
      <c r="O113" s="53">
        <f t="shared" ca="1" si="1148"/>
        <v>0</v>
      </c>
      <c r="P113" s="54">
        <f t="shared" ca="1" si="972"/>
        <v>0</v>
      </c>
      <c r="Q113" s="227">
        <f t="shared" ref="Q113" ca="1" si="1149">Q101+Q107+Q112</f>
        <v>0</v>
      </c>
      <c r="R113" s="228">
        <f t="shared" ref="R113:S113" si="1150">R101+R107+R112</f>
        <v>0</v>
      </c>
      <c r="S113" s="228">
        <f t="shared" si="1150"/>
        <v>0</v>
      </c>
      <c r="T113" s="228">
        <f ca="1">T101+T107+T112</f>
        <v>0</v>
      </c>
      <c r="U113" s="54">
        <f t="shared" ca="1" si="974"/>
        <v>0</v>
      </c>
      <c r="V113" s="245">
        <f t="shared" ref="V113:X113" ca="1" si="1151">V112</f>
        <v>0</v>
      </c>
      <c r="W113" s="326">
        <f t="shared" ca="1" si="1151"/>
        <v>0</v>
      </c>
      <c r="X113" s="246">
        <f t="shared" ca="1" si="1151"/>
        <v>0</v>
      </c>
      <c r="Y113" s="52">
        <f ca="1">Y101+Y107+Y112</f>
        <v>0</v>
      </c>
      <c r="Z113" s="53">
        <f t="shared" ref="Z113:AB113" si="1152">Z101+Z107+Z112</f>
        <v>0</v>
      </c>
      <c r="AA113" s="53">
        <f t="shared" si="1152"/>
        <v>0</v>
      </c>
      <c r="AB113" s="53">
        <f t="shared" ca="1" si="1152"/>
        <v>0</v>
      </c>
      <c r="AC113" s="54">
        <f t="shared" ca="1" si="979"/>
        <v>0</v>
      </c>
      <c r="AD113" s="77">
        <f t="shared" ca="1" si="1120"/>
        <v>0</v>
      </c>
      <c r="AE113" s="78">
        <f t="shared" si="1121"/>
        <v>0</v>
      </c>
      <c r="AF113" s="78">
        <f t="shared" si="1122"/>
        <v>0</v>
      </c>
      <c r="AG113" s="78">
        <f t="shared" ca="1" si="1123"/>
        <v>0</v>
      </c>
      <c r="AH113" s="57">
        <f ca="1">IFERROR((AH101*Q101+AH107*Q107+AH112*Q112)/Q113,0)</f>
        <v>0</v>
      </c>
      <c r="AI113" s="58">
        <f t="shared" ref="AI113" si="1153">IFERROR((AI101*R101+AI107*R107+AI112*R112)/R113,0)</f>
        <v>0</v>
      </c>
      <c r="AJ113" s="58">
        <f t="shared" ref="AJ113" si="1154">IFERROR((AJ101*S101+AJ107*S107+AJ112*S112)/S113,0)</f>
        <v>0</v>
      </c>
      <c r="AK113" s="58">
        <f t="shared" ref="AK113" ca="1" si="1155">IFERROR((AK101*T101+AK107*T107+AK112*T112)/T113,0)</f>
        <v>0</v>
      </c>
      <c r="AL113" s="54">
        <f t="shared" ref="AL113" ca="1" si="1156">IFERROR(AH113/AK113-1,)</f>
        <v>0</v>
      </c>
      <c r="AM113" s="57">
        <f t="shared" ca="1" si="1127"/>
        <v>0</v>
      </c>
      <c r="AN113" s="58">
        <f t="shared" si="1128"/>
        <v>0</v>
      </c>
      <c r="AO113" s="58">
        <f t="shared" si="1129"/>
        <v>0</v>
      </c>
      <c r="AP113" s="58">
        <f t="shared" ca="1" si="1130"/>
        <v>0</v>
      </c>
      <c r="AQ113" s="54">
        <f t="shared" ca="1" si="985"/>
        <v>0</v>
      </c>
      <c r="AR113" s="57">
        <f t="shared" ca="1" si="1131"/>
        <v>0</v>
      </c>
      <c r="AS113" s="58">
        <f t="shared" si="1132"/>
        <v>0</v>
      </c>
      <c r="AT113" s="58">
        <f t="shared" si="1133"/>
        <v>0</v>
      </c>
      <c r="AU113" s="58">
        <f t="shared" ca="1" si="1134"/>
        <v>0</v>
      </c>
      <c r="AV113" s="54">
        <f t="shared" ca="1" si="987"/>
        <v>0</v>
      </c>
      <c r="AW113" s="59">
        <f ca="1">IFERROR((AW101*V101+AW107*V107+AW112*V112)/V113,0)</f>
        <v>0</v>
      </c>
      <c r="AX113" s="60">
        <f t="shared" ref="AX113" ca="1" si="1157">IFERROR((AX101*X101+AX107*X107+AX112*X112)/X113,0)</f>
        <v>0</v>
      </c>
      <c r="AY113" s="60">
        <f t="shared" ref="AY113" ca="1" si="1158">IFERROR((AY101*Y101+AY107*Y107+AY112*Y112)/Y113,0)</f>
        <v>0</v>
      </c>
      <c r="AZ113" s="60">
        <f t="shared" ref="AZ113" ca="1" si="1159">IFERROR((AZ101*Z101+AZ107*Z107+AZ112*Z112)/Z113,0)</f>
        <v>0</v>
      </c>
      <c r="BA113" s="234">
        <f ca="1">BA112</f>
        <v>0</v>
      </c>
      <c r="BB113" s="228">
        <f t="shared" ref="BB113:BD113" ca="1" si="1160">BB112</f>
        <v>0</v>
      </c>
      <c r="BC113" s="228">
        <f t="shared" ca="1" si="1160"/>
        <v>0</v>
      </c>
      <c r="BD113" s="228">
        <f t="shared" ca="1" si="1160"/>
        <v>0</v>
      </c>
      <c r="BE113" s="54">
        <f t="shared" ca="1" si="993"/>
        <v>0</v>
      </c>
      <c r="BF113" s="228">
        <f>BF112</f>
        <v>0</v>
      </c>
      <c r="BG113" s="228">
        <f ca="1">BG112</f>
        <v>0</v>
      </c>
      <c r="BH113" s="62">
        <f ca="1">IF(Q111&lt;&gt;0,(BA113/(Q113/13)),0)</f>
        <v>0</v>
      </c>
      <c r="BI113" s="132">
        <f ca="1">IF(T111&lt;&gt;0,(BD113/(T113/13)),0)</f>
        <v>0</v>
      </c>
      <c r="BJ113" s="189">
        <f ca="1">IF(BA113&lt;&gt;0,(Q113/13)/BA113,0)</f>
        <v>0</v>
      </c>
      <c r="BK113" s="61">
        <f ca="1">IF(BD113&lt;&gt;0,(T113/13)/BD113,0)</f>
        <v>0</v>
      </c>
      <c r="BL113" s="227">
        <f>BL101+BL107+BL112</f>
        <v>0</v>
      </c>
      <c r="BM113" s="228">
        <f t="shared" ref="BM113" ca="1" si="1161">BM101+BM107+BM112</f>
        <v>0</v>
      </c>
      <c r="BN113" s="227">
        <f>BN101+BN107+BN112</f>
        <v>0</v>
      </c>
      <c r="BO113" s="228">
        <f t="shared" ref="BO113" ca="1" si="1162">BO101+BO107+BO112</f>
        <v>0</v>
      </c>
      <c r="BP113" s="227">
        <f>BP101+BP107+BP112</f>
        <v>0</v>
      </c>
      <c r="BQ113" s="228">
        <f t="shared" ref="BQ113" ca="1" si="1163">BQ101+BQ107+BQ112</f>
        <v>0</v>
      </c>
      <c r="BR113" s="227">
        <f t="shared" si="1100"/>
        <v>0</v>
      </c>
      <c r="BS113" s="228">
        <f t="shared" ca="1" si="1101"/>
        <v>0</v>
      </c>
      <c r="BT113" s="227">
        <f t="shared" ref="BT113:BY113" si="1164">BT101+BT107+BT112</f>
        <v>0</v>
      </c>
      <c r="BU113" s="228">
        <f t="shared" si="1164"/>
        <v>0</v>
      </c>
      <c r="BV113" s="228">
        <f t="shared" si="1164"/>
        <v>0</v>
      </c>
      <c r="BW113" s="228">
        <f t="shared" si="1164"/>
        <v>0</v>
      </c>
      <c r="BX113" s="228">
        <f t="shared" si="1164"/>
        <v>0</v>
      </c>
      <c r="BY113" s="56">
        <f t="shared" ca="1" si="1164"/>
        <v>0</v>
      </c>
      <c r="BZ113" s="54">
        <f t="shared" ca="1" si="998"/>
        <v>0</v>
      </c>
      <c r="CA113" s="332">
        <f t="shared" ref="CA113:CF113" si="1165">CA101+CA107+CA112</f>
        <v>0</v>
      </c>
      <c r="CB113" s="53">
        <f t="shared" si="1165"/>
        <v>0</v>
      </c>
      <c r="CC113" s="53">
        <f t="shared" si="1165"/>
        <v>0</v>
      </c>
      <c r="CD113" s="53">
        <f t="shared" si="1165"/>
        <v>0</v>
      </c>
      <c r="CE113" s="53">
        <f t="shared" si="1165"/>
        <v>0</v>
      </c>
      <c r="CF113" s="53">
        <f t="shared" ca="1" si="1165"/>
        <v>0</v>
      </c>
      <c r="CG113" s="54">
        <f t="shared" ca="1" si="1001"/>
        <v>0</v>
      </c>
      <c r="CH113" s="332">
        <f t="shared" ref="CH113:CM113" si="1166">CH101+CH107+CH112</f>
        <v>0</v>
      </c>
      <c r="CI113" s="53">
        <f t="shared" si="1166"/>
        <v>0</v>
      </c>
      <c r="CJ113" s="53">
        <f t="shared" si="1166"/>
        <v>0</v>
      </c>
      <c r="CK113" s="53">
        <f t="shared" si="1166"/>
        <v>0</v>
      </c>
      <c r="CL113" s="53">
        <f t="shared" si="1166"/>
        <v>0</v>
      </c>
      <c r="CM113" s="53">
        <f t="shared" ca="1" si="1166"/>
        <v>0</v>
      </c>
      <c r="CN113" s="54">
        <f t="shared" ca="1" si="1004"/>
        <v>0</v>
      </c>
      <c r="CO113" s="55">
        <f t="shared" si="1005"/>
        <v>0</v>
      </c>
      <c r="CP113" s="222">
        <f t="shared" ca="1" si="1006"/>
        <v>0</v>
      </c>
      <c r="CQ113" s="54">
        <f t="shared" ca="1" si="1007"/>
        <v>0</v>
      </c>
      <c r="CR113" s="55">
        <f t="shared" si="1008"/>
        <v>0</v>
      </c>
      <c r="CS113" s="222">
        <f t="shared" ca="1" si="1009"/>
        <v>0</v>
      </c>
      <c r="CT113" s="54">
        <f t="shared" ca="1" si="1010"/>
        <v>0</v>
      </c>
      <c r="CU113" s="44">
        <f t="shared" si="859"/>
        <v>0</v>
      </c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79"/>
      <c r="DA113" s="280"/>
      <c r="DB113" s="280"/>
      <c r="DC113" s="281"/>
    </row>
  </sheetData>
  <mergeCells count="26">
    <mergeCell ref="D8:K8"/>
    <mergeCell ref="BA9:BE9"/>
    <mergeCell ref="L9:P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349" priority="47">
      <formula>$A11="A"</formula>
    </cfRule>
  </conditionalFormatting>
  <conditionalFormatting sqref="C16:C20">
    <cfRule type="expression" dxfId="348" priority="46">
      <formula>$A16="A"</formula>
    </cfRule>
  </conditionalFormatting>
  <conditionalFormatting sqref="C22:C25">
    <cfRule type="expression" dxfId="347" priority="45">
      <formula>$A22="A"</formula>
    </cfRule>
  </conditionalFormatting>
  <conditionalFormatting sqref="C28">
    <cfRule type="expression" dxfId="346" priority="44">
      <formula>$A28="A"</formula>
    </cfRule>
  </conditionalFormatting>
  <conditionalFormatting sqref="C29:C31">
    <cfRule type="expression" dxfId="345" priority="43">
      <formula>$A29="A"</formula>
    </cfRule>
  </conditionalFormatting>
  <conditionalFormatting sqref="C33">
    <cfRule type="expression" dxfId="344" priority="42">
      <formula>$A33="A"</formula>
    </cfRule>
  </conditionalFormatting>
  <conditionalFormatting sqref="C91:C94">
    <cfRule type="expression" dxfId="343" priority="33">
      <formula>$A91="A"</formula>
    </cfRule>
  </conditionalFormatting>
  <conditionalFormatting sqref="C56:C59">
    <cfRule type="expression" dxfId="342" priority="39">
      <formula>$A56="A"</formula>
    </cfRule>
  </conditionalFormatting>
  <conditionalFormatting sqref="C51:C54">
    <cfRule type="expression" dxfId="341" priority="40">
      <formula>$A51="A"</formula>
    </cfRule>
  </conditionalFormatting>
  <conditionalFormatting sqref="C62:C65">
    <cfRule type="expression" dxfId="340" priority="38">
      <formula>$A62="A"</formula>
    </cfRule>
  </conditionalFormatting>
  <conditionalFormatting sqref="C67:C71">
    <cfRule type="expression" dxfId="339" priority="37">
      <formula>$A67="A"</formula>
    </cfRule>
  </conditionalFormatting>
  <conditionalFormatting sqref="C73:C76">
    <cfRule type="expression" dxfId="338" priority="36">
      <formula>$A73="A"</formula>
    </cfRule>
  </conditionalFormatting>
  <conditionalFormatting sqref="C80:C83">
    <cfRule type="expression" dxfId="337" priority="35">
      <formula>$A80="A"</formula>
    </cfRule>
  </conditionalFormatting>
  <conditionalFormatting sqref="C85:C89">
    <cfRule type="expression" dxfId="336" priority="34">
      <formula>$A85="A"</formula>
    </cfRule>
  </conditionalFormatting>
  <conditionalFormatting sqref="C34">
    <cfRule type="expression" dxfId="335" priority="32">
      <formula>$A34="A"</formula>
    </cfRule>
  </conditionalFormatting>
  <conditionalFormatting sqref="C35">
    <cfRule type="expression" dxfId="334" priority="31">
      <formula>$A35="A"</formula>
    </cfRule>
  </conditionalFormatting>
  <conditionalFormatting sqref="C36:C37">
    <cfRule type="expression" dxfId="333" priority="30">
      <formula>$A36="A"</formula>
    </cfRule>
  </conditionalFormatting>
  <conditionalFormatting sqref="C39">
    <cfRule type="expression" dxfId="332" priority="29">
      <formula>$A39="A"</formula>
    </cfRule>
  </conditionalFormatting>
  <conditionalFormatting sqref="C40:C42">
    <cfRule type="expression" dxfId="331" priority="28">
      <formula>$A40="A"</formula>
    </cfRule>
  </conditionalFormatting>
  <conditionalFormatting sqref="C45">
    <cfRule type="expression" dxfId="330" priority="27">
      <formula>$A45="A"</formula>
    </cfRule>
  </conditionalFormatting>
  <conditionalFormatting sqref="C97:C100">
    <cfRule type="expression" dxfId="329" priority="26">
      <formula>$A97="A"</formula>
    </cfRule>
  </conditionalFormatting>
  <conditionalFormatting sqref="C102:C106">
    <cfRule type="expression" dxfId="328" priority="25">
      <formula>$A102="A"</formula>
    </cfRule>
  </conditionalFormatting>
  <conditionalFormatting sqref="C108:C111">
    <cfRule type="expression" dxfId="327" priority="24">
      <formula>$A108="A"</formula>
    </cfRule>
  </conditionalFormatting>
  <conditionalFormatting sqref="C46:C47">
    <cfRule type="expression" dxfId="326" priority="23">
      <formula>$A46="A"</formula>
    </cfRule>
  </conditionalFormatting>
  <conditionalFormatting sqref="Q97:Q100 Q102:Q106 Q108:Q111">
    <cfRule type="expression" dxfId="325" priority="20">
      <formula>BA96&lt;Q97</formula>
    </cfRule>
  </conditionalFormatting>
  <conditionalFormatting sqref="Q80:Q83">
    <cfRule type="expression" dxfId="324" priority="15">
      <formula>BA79&lt;Q80</formula>
    </cfRule>
  </conditionalFormatting>
  <conditionalFormatting sqref="Q85:Q89">
    <cfRule type="expression" dxfId="323" priority="14">
      <formula>BA84&lt;Q85</formula>
    </cfRule>
  </conditionalFormatting>
  <conditionalFormatting sqref="Q91:Q94">
    <cfRule type="expression" dxfId="322" priority="13">
      <formula>BA90&lt;Q91</formula>
    </cfRule>
  </conditionalFormatting>
  <conditionalFormatting sqref="Q51:Q54">
    <cfRule type="expression" dxfId="321" priority="11">
      <formula>BA50&lt;Q51</formula>
    </cfRule>
  </conditionalFormatting>
  <conditionalFormatting sqref="Q56:Q59">
    <cfRule type="expression" dxfId="320" priority="6">
      <formula>BA55&lt;Q56</formula>
    </cfRule>
  </conditionalFormatting>
  <conditionalFormatting sqref="Q62:Q65">
    <cfRule type="expression" dxfId="319" priority="5">
      <formula>BA61&lt;Q62</formula>
    </cfRule>
  </conditionalFormatting>
  <conditionalFormatting sqref="Q67:Q71">
    <cfRule type="expression" dxfId="318" priority="4">
      <formula>BA66&lt;Q67</formula>
    </cfRule>
  </conditionalFormatting>
  <conditionalFormatting sqref="Q73:Q76">
    <cfRule type="expression" dxfId="317" priority="3">
      <formula>BA72&lt;Q73</formula>
    </cfRule>
  </conditionalFormatting>
  <conditionalFormatting sqref="C48">
    <cfRule type="expression" dxfId="316" priority="2">
      <formula>$A48="A"</formula>
    </cfRule>
  </conditionalFormatting>
  <conditionalFormatting sqref="C50">
    <cfRule type="expression" dxfId="315" priority="1">
      <formula>$A50="A"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Q1" zoomScale="90" zoomScaleNormal="90" zoomScalePageLayoutView="80" workbookViewId="0">
      <selection activeCell="W1" sqref="W1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0" t="s">
        <v>10</v>
      </c>
      <c r="B1" s="11"/>
      <c r="C1" s="12" t="s">
        <v>11</v>
      </c>
      <c r="D1" s="11"/>
      <c r="E1" s="10" t="s">
        <v>19</v>
      </c>
      <c r="F1" s="13"/>
      <c r="G1" s="10" t="s">
        <v>12</v>
      </c>
      <c r="H1" s="14"/>
      <c r="I1" s="10" t="s">
        <v>35</v>
      </c>
      <c r="K1" s="474" t="s">
        <v>48</v>
      </c>
      <c r="L1" s="475"/>
      <c r="N1" s="476" t="s">
        <v>276</v>
      </c>
      <c r="O1" s="477"/>
      <c r="Q1" s="213" t="s">
        <v>49</v>
      </c>
      <c r="R1" s="215" t="s">
        <v>49</v>
      </c>
      <c r="S1" s="214" t="s">
        <v>370</v>
      </c>
      <c r="T1" s="216" t="s">
        <v>10</v>
      </c>
      <c r="U1" s="216" t="s">
        <v>50</v>
      </c>
      <c r="V1" s="216" t="s">
        <v>51</v>
      </c>
      <c r="W1" s="217"/>
      <c r="X1" s="335" t="s">
        <v>416</v>
      </c>
      <c r="Z1" s="15" t="s">
        <v>52</v>
      </c>
      <c r="AA1" s="16" t="s">
        <v>53</v>
      </c>
      <c r="AB1" s="16" t="s">
        <v>54</v>
      </c>
      <c r="AC1" s="17" t="s">
        <v>55</v>
      </c>
      <c r="AG1" s="111" t="s">
        <v>49</v>
      </c>
      <c r="AH1" s="112" t="s">
        <v>10</v>
      </c>
      <c r="AI1" s="112" t="s">
        <v>11</v>
      </c>
      <c r="AJ1" s="112" t="s">
        <v>273</v>
      </c>
      <c r="AK1" s="112" t="s">
        <v>0</v>
      </c>
      <c r="AL1" s="113" t="s">
        <v>7</v>
      </c>
      <c r="AN1" s="120" t="s">
        <v>49</v>
      </c>
      <c r="AO1" s="117" t="s">
        <v>313</v>
      </c>
      <c r="AP1" s="117" t="s">
        <v>315</v>
      </c>
      <c r="AQ1" s="117" t="s">
        <v>314</v>
      </c>
      <c r="AR1" s="117" t="s">
        <v>295</v>
      </c>
      <c r="AS1" s="117" t="s">
        <v>316</v>
      </c>
      <c r="AT1" s="117" t="s">
        <v>317</v>
      </c>
      <c r="AU1" s="117" t="s">
        <v>297</v>
      </c>
      <c r="AV1" s="117" t="s">
        <v>299</v>
      </c>
      <c r="AW1" s="117" t="s">
        <v>318</v>
      </c>
      <c r="AX1" s="117" t="s">
        <v>319</v>
      </c>
      <c r="AY1" s="117" t="s">
        <v>320</v>
      </c>
      <c r="AZ1" s="117" t="s">
        <v>321</v>
      </c>
      <c r="BA1" s="118" t="s">
        <v>322</v>
      </c>
    </row>
    <row r="2" spans="1:53" x14ac:dyDescent="0.25">
      <c r="A2" s="18" t="s">
        <v>13</v>
      </c>
      <c r="B2" s="1"/>
      <c r="C2" s="85" t="s">
        <v>5</v>
      </c>
      <c r="D2" s="19"/>
      <c r="E2" s="18">
        <v>2018</v>
      </c>
      <c r="F2" s="18"/>
      <c r="G2" s="342" t="s">
        <v>15</v>
      </c>
      <c r="H2" s="1"/>
      <c r="I2" s="85" t="s">
        <v>36</v>
      </c>
      <c r="K2" s="83" t="s">
        <v>13</v>
      </c>
      <c r="L2" s="84" t="s">
        <v>5</v>
      </c>
      <c r="M2" s="39"/>
      <c r="N2" s="40" t="s">
        <v>13</v>
      </c>
      <c r="O2" s="11" t="s">
        <v>274</v>
      </c>
      <c r="P2" s="14"/>
      <c r="Q2" s="109" t="str">
        <f t="shared" ref="Q2:Q33" si="0">T2&amp;V2</f>
        <v>Crazy 8GY C8 18 AUG</v>
      </c>
      <c r="R2" s="27" t="str">
        <f t="shared" ref="R2:R33" si="1">S2&amp;T2&amp;U2</f>
        <v>2018Crazy 8Fall</v>
      </c>
      <c r="S2" s="393">
        <v>2018</v>
      </c>
      <c r="T2" s="394" t="s">
        <v>56</v>
      </c>
      <c r="U2" s="394" t="s">
        <v>31</v>
      </c>
      <c r="V2" s="394" t="s">
        <v>67</v>
      </c>
      <c r="W2" s="394"/>
      <c r="X2" s="343">
        <f t="shared" ref="X2:X33" si="2">MATCH(U2,ListSeason,0)</f>
        <v>3</v>
      </c>
      <c r="Y2" s="22"/>
      <c r="Z2" s="23" t="s">
        <v>59</v>
      </c>
      <c r="AA2" s="24">
        <f ca="1">MATCH(FiscalYr&amp;Brand&amp;Season,OFFSET(tblFC,,,,1),0)</f>
        <v>30</v>
      </c>
      <c r="AB2" s="24">
        <f ca="1">COUNTIF(OFFSET(tblFC,,,,1),FiscalYr&amp;Brand&amp;Season)</f>
        <v>7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16</v>
      </c>
      <c r="AI2" s="115" t="s">
        <v>16</v>
      </c>
      <c r="AJ2" s="115" t="s">
        <v>274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16</v>
      </c>
      <c r="AP2" s="115" t="s">
        <v>16</v>
      </c>
      <c r="AQ2" s="115" t="s">
        <v>274</v>
      </c>
      <c r="AR2" s="128">
        <v>2018</v>
      </c>
      <c r="AS2" s="128" t="s">
        <v>65</v>
      </c>
      <c r="AT2" s="128" t="s">
        <v>219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220</v>
      </c>
    </row>
    <row r="3" spans="1:53" x14ac:dyDescent="0.25">
      <c r="A3" s="18" t="s">
        <v>16</v>
      </c>
      <c r="B3" s="1"/>
      <c r="C3" s="18" t="s">
        <v>14</v>
      </c>
      <c r="D3" s="19"/>
      <c r="E3" s="18"/>
      <c r="F3" s="18"/>
      <c r="G3" s="218" t="s">
        <v>17</v>
      </c>
      <c r="H3" s="1"/>
      <c r="I3" s="18" t="s">
        <v>37</v>
      </c>
      <c r="K3" s="20" t="s">
        <v>13</v>
      </c>
      <c r="L3" s="21" t="s">
        <v>14</v>
      </c>
      <c r="M3" s="39"/>
      <c r="N3" s="20" t="s">
        <v>13</v>
      </c>
      <c r="O3" s="41" t="s">
        <v>275</v>
      </c>
      <c r="P3" s="14"/>
      <c r="Q3" s="109" t="str">
        <f t="shared" si="0"/>
        <v>Crazy 8GY C8 18 FAL</v>
      </c>
      <c r="R3" s="27" t="str">
        <f t="shared" si="1"/>
        <v>2018Crazy 8Fall</v>
      </c>
      <c r="S3" s="393">
        <v>2018</v>
      </c>
      <c r="T3" s="394" t="s">
        <v>56</v>
      </c>
      <c r="U3" s="394" t="s">
        <v>31</v>
      </c>
      <c r="V3" s="394" t="s">
        <v>62</v>
      </c>
      <c r="W3" s="394"/>
      <c r="X3" s="343">
        <f t="shared" si="2"/>
        <v>3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16</v>
      </c>
      <c r="AI3" s="1" t="s">
        <v>16</v>
      </c>
      <c r="AJ3" s="1" t="s">
        <v>274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16</v>
      </c>
      <c r="AP3" s="1" t="s">
        <v>16</v>
      </c>
      <c r="AQ3" s="1" t="s">
        <v>274</v>
      </c>
      <c r="AR3" s="129">
        <v>2018</v>
      </c>
      <c r="AS3" s="129" t="s">
        <v>65</v>
      </c>
      <c r="AT3" s="129" t="s">
        <v>221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222</v>
      </c>
    </row>
    <row r="4" spans="1:53" x14ac:dyDescent="0.25">
      <c r="A4" s="18" t="s">
        <v>56</v>
      </c>
      <c r="B4" s="1"/>
      <c r="C4" s="30" t="s">
        <v>16</v>
      </c>
      <c r="E4" s="18"/>
      <c r="F4" s="18"/>
      <c r="G4" s="218" t="s">
        <v>31</v>
      </c>
      <c r="H4" s="1"/>
      <c r="I4" s="18" t="s">
        <v>38</v>
      </c>
      <c r="K4" s="20" t="s">
        <v>16</v>
      </c>
      <c r="L4" s="19" t="s">
        <v>16</v>
      </c>
      <c r="M4" s="1"/>
      <c r="N4" s="20" t="s">
        <v>16</v>
      </c>
      <c r="O4" s="19" t="s">
        <v>274</v>
      </c>
      <c r="P4" s="1"/>
      <c r="Q4" s="109" t="str">
        <f t="shared" si="0"/>
        <v>Crazy 8GY C8 18 FAL DOORBUSTER</v>
      </c>
      <c r="R4" s="27" t="str">
        <f t="shared" si="1"/>
        <v>2018Crazy 8Fall</v>
      </c>
      <c r="S4" s="393">
        <v>2018</v>
      </c>
      <c r="T4" s="394" t="s">
        <v>56</v>
      </c>
      <c r="U4" s="394" t="s">
        <v>31</v>
      </c>
      <c r="V4" s="394" t="s">
        <v>64</v>
      </c>
      <c r="W4" s="394"/>
      <c r="X4" s="343">
        <f t="shared" si="2"/>
        <v>3</v>
      </c>
      <c r="Y4" s="22"/>
      <c r="Z4" s="28" t="s">
        <v>273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16</v>
      </c>
      <c r="AI4" s="1" t="s">
        <v>16</v>
      </c>
      <c r="AJ4" s="1" t="s">
        <v>274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16</v>
      </c>
      <c r="AP4" s="1" t="s">
        <v>16</v>
      </c>
      <c r="AQ4" s="1" t="s">
        <v>274</v>
      </c>
      <c r="AR4" s="1">
        <v>2018</v>
      </c>
      <c r="AS4" s="1" t="s">
        <v>264</v>
      </c>
      <c r="AT4" s="1" t="s">
        <v>323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324</v>
      </c>
    </row>
    <row r="5" spans="1:53" x14ac:dyDescent="0.25">
      <c r="A5" s="30" t="s">
        <v>30</v>
      </c>
      <c r="B5" s="1"/>
      <c r="E5" s="30"/>
      <c r="G5" s="218" t="s">
        <v>32</v>
      </c>
      <c r="H5" s="1"/>
      <c r="I5" s="86" t="s">
        <v>18</v>
      </c>
      <c r="K5" s="20" t="s">
        <v>56</v>
      </c>
      <c r="L5" s="21" t="s">
        <v>5</v>
      </c>
      <c r="M5" s="39"/>
      <c r="N5" s="20" t="s">
        <v>56</v>
      </c>
      <c r="O5" s="19" t="s">
        <v>274</v>
      </c>
      <c r="P5" s="1"/>
      <c r="Q5" s="109" t="str">
        <f t="shared" si="0"/>
        <v>Crazy 8GY C8 18 JULY</v>
      </c>
      <c r="R5" s="27" t="str">
        <f t="shared" si="1"/>
        <v>2018Crazy 8Fall</v>
      </c>
      <c r="S5" s="393">
        <v>2018</v>
      </c>
      <c r="T5" s="394" t="s">
        <v>56</v>
      </c>
      <c r="U5" s="394" t="s">
        <v>31</v>
      </c>
      <c r="V5" s="394" t="s">
        <v>66</v>
      </c>
      <c r="W5" s="394"/>
      <c r="X5" s="343">
        <f t="shared" si="2"/>
        <v>3</v>
      </c>
      <c r="Y5" s="22"/>
      <c r="Z5" s="28"/>
      <c r="AA5" s="29"/>
      <c r="AB5" s="29"/>
      <c r="AC5" s="26"/>
      <c r="AG5" s="27" t="str">
        <f t="shared" si="3"/>
        <v>OutletOutletUSA4</v>
      </c>
      <c r="AH5" s="1" t="s">
        <v>16</v>
      </c>
      <c r="AI5" s="1" t="s">
        <v>16</v>
      </c>
      <c r="AJ5" s="1" t="s">
        <v>274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16</v>
      </c>
      <c r="AP5" s="1" t="s">
        <v>16</v>
      </c>
      <c r="AQ5" s="1" t="s">
        <v>274</v>
      </c>
      <c r="AR5" s="1">
        <v>2018</v>
      </c>
      <c r="AS5" s="1" t="s">
        <v>15</v>
      </c>
      <c r="AT5" s="1" t="s">
        <v>223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224</v>
      </c>
    </row>
    <row r="6" spans="1:53" x14ac:dyDescent="0.25">
      <c r="G6" s="218" t="s">
        <v>33</v>
      </c>
      <c r="H6" s="1"/>
      <c r="I6" s="86" t="s">
        <v>336</v>
      </c>
      <c r="K6" s="20" t="s">
        <v>56</v>
      </c>
      <c r="L6" s="21" t="s">
        <v>14</v>
      </c>
      <c r="M6" s="39"/>
      <c r="N6" s="31" t="s">
        <v>30</v>
      </c>
      <c r="O6" s="32" t="s">
        <v>274</v>
      </c>
      <c r="P6" s="39"/>
      <c r="Q6" s="109" t="str">
        <f t="shared" si="0"/>
        <v>Crazy 8GY C8 18 OCT 1</v>
      </c>
      <c r="R6" s="27" t="str">
        <f t="shared" si="1"/>
        <v>2018Crazy 8Fall</v>
      </c>
      <c r="S6" s="393">
        <v>2018</v>
      </c>
      <c r="T6" s="394" t="s">
        <v>56</v>
      </c>
      <c r="U6" s="394" t="s">
        <v>31</v>
      </c>
      <c r="V6" s="394" t="s">
        <v>371</v>
      </c>
      <c r="W6" s="394"/>
      <c r="X6" s="343">
        <f t="shared" si="2"/>
        <v>3</v>
      </c>
      <c r="Y6" s="22"/>
      <c r="AG6" s="27" t="str">
        <f t="shared" si="3"/>
        <v>OutletOutletUSA5</v>
      </c>
      <c r="AH6" s="1" t="s">
        <v>16</v>
      </c>
      <c r="AI6" s="1" t="s">
        <v>16</v>
      </c>
      <c r="AJ6" s="1" t="s">
        <v>274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16</v>
      </c>
      <c r="AP6" s="1" t="s">
        <v>16</v>
      </c>
      <c r="AQ6" s="1" t="s">
        <v>274</v>
      </c>
      <c r="AR6" s="1">
        <v>2018</v>
      </c>
      <c r="AS6" s="1" t="s">
        <v>15</v>
      </c>
      <c r="AT6" s="1" t="s">
        <v>225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226</v>
      </c>
    </row>
    <row r="7" spans="1:53" x14ac:dyDescent="0.25">
      <c r="G7" s="218" t="s">
        <v>65</v>
      </c>
      <c r="H7" s="1"/>
      <c r="K7" s="20" t="s">
        <v>30</v>
      </c>
      <c r="L7" s="21" t="s">
        <v>5</v>
      </c>
      <c r="M7" s="39"/>
      <c r="N7" s="39"/>
      <c r="O7" s="39"/>
      <c r="P7" s="39"/>
      <c r="Q7" s="109" t="str">
        <f t="shared" si="0"/>
        <v>Crazy 8GY C8 18 OCT 2</v>
      </c>
      <c r="R7" s="27" t="str">
        <f t="shared" si="1"/>
        <v>2018Crazy 8Fall</v>
      </c>
      <c r="S7" s="393">
        <v>2018</v>
      </c>
      <c r="T7" s="394" t="s">
        <v>56</v>
      </c>
      <c r="U7" s="394" t="s">
        <v>31</v>
      </c>
      <c r="V7" s="394" t="s">
        <v>372</v>
      </c>
      <c r="W7" s="394"/>
      <c r="X7" s="343">
        <f t="shared" si="2"/>
        <v>3</v>
      </c>
      <c r="Y7" s="22"/>
      <c r="AG7" s="27" t="str">
        <f t="shared" si="3"/>
        <v>OutletOutletUSA6</v>
      </c>
      <c r="AH7" s="1" t="s">
        <v>16</v>
      </c>
      <c r="AI7" s="1" t="s">
        <v>16</v>
      </c>
      <c r="AJ7" s="1" t="s">
        <v>274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16</v>
      </c>
      <c r="AP7" s="1" t="s">
        <v>16</v>
      </c>
      <c r="AQ7" s="1" t="s">
        <v>274</v>
      </c>
      <c r="AR7" s="1">
        <v>2018</v>
      </c>
      <c r="AS7" s="1" t="s">
        <v>15</v>
      </c>
      <c r="AT7" s="1" t="s">
        <v>325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236</v>
      </c>
    </row>
    <row r="8" spans="1:53" x14ac:dyDescent="0.25">
      <c r="A8" s="107" t="s">
        <v>18</v>
      </c>
      <c r="C8" s="108">
        <f>FiscalYr-1</f>
        <v>2017</v>
      </c>
      <c r="G8" s="218" t="s">
        <v>385</v>
      </c>
      <c r="K8" s="20" t="s">
        <v>30</v>
      </c>
      <c r="L8" s="21" t="s">
        <v>14</v>
      </c>
      <c r="M8" s="39"/>
      <c r="N8" s="39"/>
      <c r="O8" s="39"/>
      <c r="P8" s="39"/>
      <c r="Q8" s="109" t="str">
        <f t="shared" si="0"/>
        <v>Crazy 8GY C8 18 OCTOBER CAP</v>
      </c>
      <c r="R8" s="27" t="str">
        <f t="shared" si="1"/>
        <v>2018Crazy 8Fall</v>
      </c>
      <c r="S8" s="393">
        <v>2018</v>
      </c>
      <c r="T8" s="394" t="s">
        <v>56</v>
      </c>
      <c r="U8" s="394" t="s">
        <v>31</v>
      </c>
      <c r="V8" s="394" t="s">
        <v>70</v>
      </c>
      <c r="W8" s="394"/>
      <c r="X8" s="343">
        <f t="shared" si="2"/>
        <v>3</v>
      </c>
      <c r="Y8" s="22"/>
      <c r="Z8" t="str">
        <f ca="1">IF($AB$5=2,IFERROR(INDEX(OFFSET(tblForecast,,5,,1),$AA$5+2,1),""),"")</f>
        <v/>
      </c>
      <c r="AG8" s="27" t="str">
        <f t="shared" si="3"/>
        <v>OutletOutletUSA7</v>
      </c>
      <c r="AH8" s="1" t="s">
        <v>16</v>
      </c>
      <c r="AI8" s="1" t="s">
        <v>16</v>
      </c>
      <c r="AJ8" s="1" t="s">
        <v>274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16</v>
      </c>
      <c r="AP8" s="1" t="s">
        <v>16</v>
      </c>
      <c r="AQ8" s="1" t="s">
        <v>274</v>
      </c>
      <c r="AR8" s="1">
        <v>2018</v>
      </c>
      <c r="AS8" s="1" t="s">
        <v>15</v>
      </c>
      <c r="AT8" s="1" t="s">
        <v>232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233</v>
      </c>
    </row>
    <row r="9" spans="1:53" x14ac:dyDescent="0.25">
      <c r="A9" s="107" t="s">
        <v>302</v>
      </c>
      <c r="C9" s="106" t="b">
        <v>0</v>
      </c>
      <c r="G9" s="218" t="s">
        <v>419</v>
      </c>
      <c r="K9" s="31" t="s">
        <v>30</v>
      </c>
      <c r="L9" s="32" t="s">
        <v>16</v>
      </c>
      <c r="Q9" s="109" t="str">
        <f t="shared" si="0"/>
        <v>Crazy 8GY C8 18 SEP 1</v>
      </c>
      <c r="R9" s="27" t="str">
        <f t="shared" si="1"/>
        <v>2018Crazy 8Fall</v>
      </c>
      <c r="S9" s="393">
        <v>2018</v>
      </c>
      <c r="T9" s="394" t="s">
        <v>56</v>
      </c>
      <c r="U9" s="394" t="s">
        <v>31</v>
      </c>
      <c r="V9" s="394" t="s">
        <v>373</v>
      </c>
      <c r="W9" s="394"/>
      <c r="X9" s="343">
        <f t="shared" si="2"/>
        <v>3</v>
      </c>
      <c r="Y9" s="22"/>
      <c r="Z9" t="str">
        <f ca="1">IF($AB$5=3,IFERROR(INDEX(OFFSET(tblForecast,,5,,1),$AA$5+3,1),""),"")</f>
        <v/>
      </c>
      <c r="AG9" s="27" t="str">
        <f t="shared" si="3"/>
        <v>OutletOutletUSA8</v>
      </c>
      <c r="AH9" s="1" t="s">
        <v>16</v>
      </c>
      <c r="AI9" s="1" t="s">
        <v>16</v>
      </c>
      <c r="AJ9" s="1" t="s">
        <v>274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16</v>
      </c>
      <c r="AP9" s="1" t="s">
        <v>16</v>
      </c>
      <c r="AQ9" s="1" t="s">
        <v>274</v>
      </c>
      <c r="AR9" s="1">
        <v>2018</v>
      </c>
      <c r="AS9" s="1" t="s">
        <v>15</v>
      </c>
      <c r="AT9" s="1" t="s">
        <v>326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227</v>
      </c>
    </row>
    <row r="10" spans="1:53" x14ac:dyDescent="0.25">
      <c r="A10" s="107" t="s">
        <v>307</v>
      </c>
      <c r="C10" s="108" t="s">
        <v>406</v>
      </c>
      <c r="G10" s="218" t="s">
        <v>484</v>
      </c>
      <c r="Q10" s="109" t="str">
        <f t="shared" si="0"/>
        <v>Crazy 8GY C8 18 SEP 2</v>
      </c>
      <c r="R10" s="27" t="str">
        <f t="shared" si="1"/>
        <v>2018Crazy 8Fall</v>
      </c>
      <c r="S10" s="393">
        <v>2018</v>
      </c>
      <c r="T10" s="394" t="s">
        <v>56</v>
      </c>
      <c r="U10" s="394" t="s">
        <v>31</v>
      </c>
      <c r="V10" s="394" t="s">
        <v>374</v>
      </c>
      <c r="W10" s="394"/>
      <c r="X10" s="343">
        <f t="shared" si="2"/>
        <v>3</v>
      </c>
      <c r="Y10" s="22"/>
      <c r="AG10" s="27" t="str">
        <f t="shared" si="3"/>
        <v>OutletOutletUSA9</v>
      </c>
      <c r="AH10" s="1" t="s">
        <v>16</v>
      </c>
      <c r="AI10" s="1" t="s">
        <v>16</v>
      </c>
      <c r="AJ10" s="1" t="s">
        <v>274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16</v>
      </c>
      <c r="AP10" s="1" t="s">
        <v>16</v>
      </c>
      <c r="AQ10" s="1" t="s">
        <v>274</v>
      </c>
      <c r="AR10" s="1">
        <v>2018</v>
      </c>
      <c r="AS10" s="1" t="s">
        <v>15</v>
      </c>
      <c r="AT10" s="1" t="s">
        <v>327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230</v>
      </c>
    </row>
    <row r="11" spans="1:53" x14ac:dyDescent="0.25">
      <c r="C11">
        <f>COUNTIF(V:V,FC)</f>
        <v>1</v>
      </c>
      <c r="G11" s="219" t="s">
        <v>384</v>
      </c>
      <c r="Q11" s="109" t="str">
        <f t="shared" si="0"/>
        <v>Crazy 8GY C8 18 SEP CAP</v>
      </c>
      <c r="R11" s="27" t="str">
        <f t="shared" si="1"/>
        <v>2018Crazy 8Fall</v>
      </c>
      <c r="S11" s="393">
        <v>2018</v>
      </c>
      <c r="T11" s="394" t="s">
        <v>56</v>
      </c>
      <c r="U11" s="394" t="s">
        <v>31</v>
      </c>
      <c r="V11" s="394" t="s">
        <v>68</v>
      </c>
      <c r="W11" s="394"/>
      <c r="X11" s="343">
        <f t="shared" si="2"/>
        <v>3</v>
      </c>
      <c r="Y11" s="22"/>
      <c r="AG11" s="27" t="str">
        <f t="shared" si="3"/>
        <v>OutletOutletUSA10</v>
      </c>
      <c r="AH11" s="1" t="s">
        <v>16</v>
      </c>
      <c r="AI11" s="1" t="s">
        <v>16</v>
      </c>
      <c r="AJ11" s="1" t="s">
        <v>274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16</v>
      </c>
      <c r="AP11" s="1" t="s">
        <v>16</v>
      </c>
      <c r="AQ11" s="1" t="s">
        <v>274</v>
      </c>
      <c r="AR11" s="1">
        <v>2018</v>
      </c>
      <c r="AS11" s="1" t="s">
        <v>15</v>
      </c>
      <c r="AT11" s="1" t="s">
        <v>328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231</v>
      </c>
    </row>
    <row r="12" spans="1:53" x14ac:dyDescent="0.25">
      <c r="Q12" s="109" t="str">
        <f t="shared" si="0"/>
        <v>Crazy 8GY C8 18 DEC 1</v>
      </c>
      <c r="R12" s="27" t="str">
        <f t="shared" si="1"/>
        <v>2018Crazy 8Winter</v>
      </c>
      <c r="S12" s="393">
        <v>2018</v>
      </c>
      <c r="T12" s="394" t="s">
        <v>56</v>
      </c>
      <c r="U12" s="394" t="s">
        <v>32</v>
      </c>
      <c r="V12" s="394" t="s">
        <v>375</v>
      </c>
      <c r="W12" s="394"/>
      <c r="X12" s="343">
        <f t="shared" si="2"/>
        <v>4</v>
      </c>
      <c r="Y12" s="22"/>
      <c r="AG12" s="27" t="str">
        <f t="shared" si="3"/>
        <v>OutletOutletUSA11</v>
      </c>
      <c r="AH12" s="1" t="s">
        <v>16</v>
      </c>
      <c r="AI12" s="1" t="s">
        <v>16</v>
      </c>
      <c r="AJ12" s="1" t="s">
        <v>274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16</v>
      </c>
      <c r="AP12" s="1" t="s">
        <v>16</v>
      </c>
      <c r="AQ12" s="1" t="s">
        <v>274</v>
      </c>
      <c r="AR12" s="1">
        <v>2018</v>
      </c>
      <c r="AS12" s="1" t="s">
        <v>15</v>
      </c>
      <c r="AT12" s="1" t="s">
        <v>329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234</v>
      </c>
    </row>
    <row r="13" spans="1:53" x14ac:dyDescent="0.25">
      <c r="A13" s="33" t="s">
        <v>277</v>
      </c>
      <c r="B13" s="34"/>
      <c r="C13" s="337" t="s">
        <v>300</v>
      </c>
      <c r="D13" s="338"/>
      <c r="E13" s="338"/>
      <c r="F13" s="338"/>
      <c r="G13" s="339"/>
      <c r="Q13" s="109" t="str">
        <f t="shared" si="0"/>
        <v>Crazy 8GY C8 18 DEC 2</v>
      </c>
      <c r="R13" s="27" t="str">
        <f t="shared" si="1"/>
        <v>2018Crazy 8Winter</v>
      </c>
      <c r="S13" s="393">
        <v>2018</v>
      </c>
      <c r="T13" s="394" t="s">
        <v>56</v>
      </c>
      <c r="U13" s="394" t="s">
        <v>32</v>
      </c>
      <c r="V13" s="394" t="s">
        <v>376</v>
      </c>
      <c r="W13" s="394"/>
      <c r="X13" s="343">
        <f t="shared" si="2"/>
        <v>4</v>
      </c>
      <c r="Y13" s="22"/>
      <c r="AG13" s="27" t="str">
        <f t="shared" si="3"/>
        <v>OutletOutletUSA12</v>
      </c>
      <c r="AH13" s="1" t="s">
        <v>16</v>
      </c>
      <c r="AI13" s="1" t="s">
        <v>16</v>
      </c>
      <c r="AJ13" s="1" t="s">
        <v>274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16</v>
      </c>
      <c r="AP13" s="1" t="s">
        <v>16</v>
      </c>
      <c r="AQ13" s="1" t="s">
        <v>274</v>
      </c>
      <c r="AR13" s="1">
        <v>2018</v>
      </c>
      <c r="AS13" s="1" t="s">
        <v>15</v>
      </c>
      <c r="AT13" s="1" t="s">
        <v>228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229</v>
      </c>
    </row>
    <row r="14" spans="1:53" x14ac:dyDescent="0.25">
      <c r="A14" s="33" t="s">
        <v>69</v>
      </c>
      <c r="B14" s="87"/>
      <c r="C14" s="336" t="s">
        <v>485</v>
      </c>
      <c r="D14" s="125"/>
      <c r="E14" s="126"/>
      <c r="F14" s="125"/>
      <c r="G14" s="127"/>
      <c r="I14" s="1"/>
      <c r="Q14" s="109" t="str">
        <f t="shared" si="0"/>
        <v>Crazy 8GY C8 18 NOV 1</v>
      </c>
      <c r="R14" s="27" t="str">
        <f t="shared" si="1"/>
        <v>2018Crazy 8Winter</v>
      </c>
      <c r="S14" s="393">
        <v>2018</v>
      </c>
      <c r="T14" s="394" t="s">
        <v>56</v>
      </c>
      <c r="U14" s="394" t="s">
        <v>32</v>
      </c>
      <c r="V14" s="394" t="s">
        <v>377</v>
      </c>
      <c r="W14" s="394"/>
      <c r="X14" s="343">
        <f t="shared" si="2"/>
        <v>4</v>
      </c>
      <c r="Y14" s="22"/>
      <c r="AG14" s="27" t="str">
        <f t="shared" si="3"/>
        <v>OutletOutletUSA13</v>
      </c>
      <c r="AH14" s="1" t="s">
        <v>16</v>
      </c>
      <c r="AI14" s="1" t="s">
        <v>16</v>
      </c>
      <c r="AJ14" s="1" t="s">
        <v>274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16</v>
      </c>
      <c r="AP14" s="1" t="s">
        <v>16</v>
      </c>
      <c r="AQ14" s="1" t="s">
        <v>274</v>
      </c>
      <c r="AR14" s="1">
        <v>2018</v>
      </c>
      <c r="AS14" s="1" t="s">
        <v>15</v>
      </c>
      <c r="AT14" s="1" t="s">
        <v>330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235</v>
      </c>
    </row>
    <row r="15" spans="1:53" x14ac:dyDescent="0.25">
      <c r="H15" s="1"/>
      <c r="Q15" s="109" t="str">
        <f t="shared" si="0"/>
        <v>Crazy 8GY C8 18 NOV 2</v>
      </c>
      <c r="R15" s="27" t="str">
        <f t="shared" si="1"/>
        <v>2018Crazy 8Winter</v>
      </c>
      <c r="S15" s="393">
        <v>2018</v>
      </c>
      <c r="T15" s="394" t="s">
        <v>56</v>
      </c>
      <c r="U15" s="394" t="s">
        <v>32</v>
      </c>
      <c r="V15" s="394" t="s">
        <v>378</v>
      </c>
      <c r="W15" s="394"/>
      <c r="X15" s="343">
        <f t="shared" si="2"/>
        <v>4</v>
      </c>
      <c r="Y15" s="22"/>
      <c r="AG15" s="27" t="str">
        <f t="shared" si="3"/>
        <v>OutletOutletUSA14</v>
      </c>
      <c r="AH15" s="1" t="s">
        <v>16</v>
      </c>
      <c r="AI15" s="1" t="s">
        <v>16</v>
      </c>
      <c r="AJ15" s="1" t="s">
        <v>274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16</v>
      </c>
      <c r="AP15" s="1" t="s">
        <v>16</v>
      </c>
      <c r="AQ15" s="1" t="s">
        <v>274</v>
      </c>
      <c r="AR15" s="1">
        <v>2018</v>
      </c>
      <c r="AS15" s="1" t="s">
        <v>15</v>
      </c>
      <c r="AT15" s="1" t="s">
        <v>331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237</v>
      </c>
    </row>
    <row r="16" spans="1:53" x14ac:dyDescent="0.25">
      <c r="C16" t="s">
        <v>418</v>
      </c>
      <c r="Q16" s="109" t="str">
        <f t="shared" si="0"/>
        <v>Crazy 8GY C8 18 WTR</v>
      </c>
      <c r="R16" s="27" t="str">
        <f t="shared" si="1"/>
        <v>2018Crazy 8Winter</v>
      </c>
      <c r="S16" s="393">
        <v>2018</v>
      </c>
      <c r="T16" s="394" t="s">
        <v>56</v>
      </c>
      <c r="U16" s="394" t="s">
        <v>32</v>
      </c>
      <c r="V16" s="394" t="s">
        <v>379</v>
      </c>
      <c r="W16" s="394"/>
      <c r="X16" s="343">
        <f t="shared" si="2"/>
        <v>4</v>
      </c>
      <c r="Y16" s="22"/>
      <c r="AG16" s="27" t="str">
        <f t="shared" si="3"/>
        <v>OutletOutletUSA15</v>
      </c>
      <c r="AH16" s="1" t="s">
        <v>16</v>
      </c>
      <c r="AI16" s="1" t="s">
        <v>16</v>
      </c>
      <c r="AJ16" s="1" t="s">
        <v>274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16</v>
      </c>
      <c r="AP16" s="1" t="s">
        <v>16</v>
      </c>
      <c r="AQ16" s="1" t="s">
        <v>274</v>
      </c>
      <c r="AR16" s="1">
        <v>2018</v>
      </c>
      <c r="AS16" s="1" t="s">
        <v>17</v>
      </c>
      <c r="AT16" s="1" t="s">
        <v>332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244</v>
      </c>
    </row>
    <row r="17" spans="3:53" x14ac:dyDescent="0.25">
      <c r="Q17" s="109" t="str">
        <f t="shared" si="0"/>
        <v>Crazy 8GY C8 18 WTR DB</v>
      </c>
      <c r="R17" s="27" t="str">
        <f t="shared" si="1"/>
        <v>2018Crazy 8Winter</v>
      </c>
      <c r="S17" s="393">
        <v>2018</v>
      </c>
      <c r="T17" s="394" t="s">
        <v>56</v>
      </c>
      <c r="U17" s="394" t="s">
        <v>32</v>
      </c>
      <c r="V17" s="394" t="s">
        <v>380</v>
      </c>
      <c r="W17" s="394"/>
      <c r="X17" s="343">
        <f t="shared" si="2"/>
        <v>4</v>
      </c>
      <c r="Y17" s="22"/>
      <c r="AG17" s="27" t="str">
        <f t="shared" si="3"/>
        <v>OutletOutletUSA16</v>
      </c>
      <c r="AH17" s="1" t="s">
        <v>16</v>
      </c>
      <c r="AI17" s="1" t="s">
        <v>16</v>
      </c>
      <c r="AJ17" s="1" t="s">
        <v>274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16</v>
      </c>
      <c r="AP17" s="1" t="s">
        <v>16</v>
      </c>
      <c r="AQ17" s="1" t="s">
        <v>274</v>
      </c>
      <c r="AR17" s="1">
        <v>2018</v>
      </c>
      <c r="AS17" s="1" t="s">
        <v>17</v>
      </c>
      <c r="AT17" s="1" t="s">
        <v>240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241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19 JAN 1</v>
      </c>
      <c r="R18" s="27" t="str">
        <f t="shared" si="1"/>
        <v>2018Crazy 8Winter</v>
      </c>
      <c r="S18" s="393">
        <v>2018</v>
      </c>
      <c r="T18" s="394" t="s">
        <v>56</v>
      </c>
      <c r="U18" s="394" t="s">
        <v>32</v>
      </c>
      <c r="V18" s="394" t="s">
        <v>381</v>
      </c>
      <c r="W18" s="394"/>
      <c r="X18" s="343">
        <f t="shared" si="2"/>
        <v>4</v>
      </c>
      <c r="Y18" s="22"/>
      <c r="AG18" s="27" t="str">
        <f t="shared" si="3"/>
        <v>OutletOutletUSA17</v>
      </c>
      <c r="AH18" s="1" t="s">
        <v>16</v>
      </c>
      <c r="AI18" s="1" t="s">
        <v>16</v>
      </c>
      <c r="AJ18" s="1" t="s">
        <v>274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16</v>
      </c>
      <c r="AP18" s="1" t="s">
        <v>16</v>
      </c>
      <c r="AQ18" s="1" t="s">
        <v>274</v>
      </c>
      <c r="AR18" s="1">
        <v>2018</v>
      </c>
      <c r="AS18" s="1" t="s">
        <v>17</v>
      </c>
      <c r="AT18" s="1" t="s">
        <v>245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246</v>
      </c>
    </row>
    <row r="19" spans="3:53" x14ac:dyDescent="0.25">
      <c r="Q19" s="109" t="str">
        <f t="shared" si="0"/>
        <v>Crazy 8GY C8 19 JAN 2</v>
      </c>
      <c r="R19" s="27" t="str">
        <f t="shared" si="1"/>
        <v>2018Crazy 8Winter</v>
      </c>
      <c r="S19" s="393">
        <v>2018</v>
      </c>
      <c r="T19" s="394" t="s">
        <v>56</v>
      </c>
      <c r="U19" s="394" t="s">
        <v>32</v>
      </c>
      <c r="V19" s="394" t="s">
        <v>382</v>
      </c>
      <c r="W19" s="394"/>
      <c r="X19" s="343">
        <f t="shared" si="2"/>
        <v>4</v>
      </c>
      <c r="Y19" s="22"/>
      <c r="AG19" s="27" t="str">
        <f t="shared" si="3"/>
        <v>OutletOutletUSA18</v>
      </c>
      <c r="AH19" s="1" t="s">
        <v>16</v>
      </c>
      <c r="AI19" s="1" t="s">
        <v>16</v>
      </c>
      <c r="AJ19" s="1" t="s">
        <v>274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16</v>
      </c>
      <c r="AP19" s="1" t="s">
        <v>16</v>
      </c>
      <c r="AQ19" s="1" t="s">
        <v>274</v>
      </c>
      <c r="AR19" s="1">
        <v>2018</v>
      </c>
      <c r="AS19" s="1" t="s">
        <v>17</v>
      </c>
      <c r="AT19" s="1" t="s">
        <v>238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239</v>
      </c>
    </row>
    <row r="20" spans="3:53" x14ac:dyDescent="0.25">
      <c r="Q20" s="109" t="str">
        <f t="shared" si="0"/>
        <v>Crazy 8GY C8 19 SPR</v>
      </c>
      <c r="R20" s="27" t="str">
        <f t="shared" si="1"/>
        <v>2018Crazy 8Winter</v>
      </c>
      <c r="S20" s="393">
        <v>2018</v>
      </c>
      <c r="T20" s="394" t="s">
        <v>56</v>
      </c>
      <c r="U20" s="394" t="s">
        <v>32</v>
      </c>
      <c r="V20" s="394" t="s">
        <v>383</v>
      </c>
      <c r="W20" s="394"/>
      <c r="X20" s="343">
        <f t="shared" si="2"/>
        <v>4</v>
      </c>
      <c r="Y20" s="22"/>
      <c r="AG20" s="27" t="str">
        <f t="shared" si="3"/>
        <v>OutletOutletUSA19</v>
      </c>
      <c r="AH20" s="1" t="s">
        <v>16</v>
      </c>
      <c r="AI20" s="1" t="s">
        <v>16</v>
      </c>
      <c r="AJ20" s="1" t="s">
        <v>274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16</v>
      </c>
      <c r="AP20" s="1" t="s">
        <v>16</v>
      </c>
      <c r="AQ20" s="1" t="s">
        <v>274</v>
      </c>
      <c r="AR20" s="1">
        <v>2018</v>
      </c>
      <c r="AS20" s="1" t="s">
        <v>17</v>
      </c>
      <c r="AT20" s="1" t="s">
        <v>242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243</v>
      </c>
    </row>
    <row r="21" spans="3:53" x14ac:dyDescent="0.25">
      <c r="Q21" s="109" t="str">
        <f t="shared" si="0"/>
        <v>Crazy 8GY C8 18 SB1</v>
      </c>
      <c r="R21" s="27" t="str">
        <f t="shared" si="1"/>
        <v>2018Crazy 8Basics</v>
      </c>
      <c r="S21" s="393">
        <v>2018</v>
      </c>
      <c r="T21" s="394" t="s">
        <v>56</v>
      </c>
      <c r="U21" s="394" t="s">
        <v>33</v>
      </c>
      <c r="V21" s="394" t="s">
        <v>57</v>
      </c>
      <c r="W21" s="394"/>
      <c r="X21" s="343">
        <f t="shared" si="2"/>
        <v>5</v>
      </c>
      <c r="Y21" s="22"/>
      <c r="AG21" s="27" t="str">
        <f t="shared" si="3"/>
        <v>OutletOutletUSA20</v>
      </c>
      <c r="AH21" s="1" t="s">
        <v>16</v>
      </c>
      <c r="AI21" s="1" t="s">
        <v>16</v>
      </c>
      <c r="AJ21" s="1" t="s">
        <v>274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16</v>
      </c>
      <c r="AP21" s="1" t="s">
        <v>16</v>
      </c>
      <c r="AQ21" s="1" t="s">
        <v>274</v>
      </c>
      <c r="AR21" s="1">
        <v>2018</v>
      </c>
      <c r="AS21" s="1" t="s">
        <v>17</v>
      </c>
      <c r="AT21" s="1" t="s">
        <v>247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248</v>
      </c>
    </row>
    <row r="22" spans="3:53" x14ac:dyDescent="0.25">
      <c r="Q22" s="109" t="str">
        <f t="shared" si="0"/>
        <v>Crazy 8GY C8 18 SB2</v>
      </c>
      <c r="R22" s="27" t="str">
        <f t="shared" si="1"/>
        <v>2018Crazy 8Basics</v>
      </c>
      <c r="S22" s="393">
        <v>2018</v>
      </c>
      <c r="T22" s="394" t="s">
        <v>56</v>
      </c>
      <c r="U22" s="394" t="s">
        <v>33</v>
      </c>
      <c r="V22" s="394" t="s">
        <v>61</v>
      </c>
      <c r="W22" s="394"/>
      <c r="X22" s="343">
        <f t="shared" si="2"/>
        <v>5</v>
      </c>
      <c r="Y22" s="22"/>
      <c r="AG22" s="27" t="str">
        <f t="shared" si="3"/>
        <v>OutletOutletUSA21</v>
      </c>
      <c r="AH22" s="1" t="s">
        <v>16</v>
      </c>
      <c r="AI22" s="1" t="s">
        <v>16</v>
      </c>
      <c r="AJ22" s="1" t="s">
        <v>274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16</v>
      </c>
      <c r="AP22" s="1" t="s">
        <v>16</v>
      </c>
      <c r="AQ22" s="1" t="s">
        <v>274</v>
      </c>
      <c r="AR22" s="1">
        <v>2018</v>
      </c>
      <c r="AS22" s="1" t="s">
        <v>17</v>
      </c>
      <c r="AT22" s="1" t="s">
        <v>249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250</v>
      </c>
    </row>
    <row r="23" spans="3:53" x14ac:dyDescent="0.25">
      <c r="Q23" s="109" t="str">
        <f t="shared" si="0"/>
        <v>Crazy 8GY C8 18 UNIFORM CAP</v>
      </c>
      <c r="R23" s="27" t="str">
        <f t="shared" si="1"/>
        <v>2018Crazy 8Basics</v>
      </c>
      <c r="S23" s="393">
        <v>2018</v>
      </c>
      <c r="T23" s="394" t="s">
        <v>56</v>
      </c>
      <c r="U23" s="394" t="s">
        <v>33</v>
      </c>
      <c r="V23" s="394" t="s">
        <v>60</v>
      </c>
      <c r="W23" s="394"/>
      <c r="X23" s="343">
        <f t="shared" si="2"/>
        <v>5</v>
      </c>
      <c r="Y23" s="22"/>
      <c r="AG23" s="27" t="str">
        <f t="shared" si="3"/>
        <v>OutletOutletUSA22</v>
      </c>
      <c r="AH23" s="1" t="s">
        <v>16</v>
      </c>
      <c r="AI23" s="1" t="s">
        <v>16</v>
      </c>
      <c r="AJ23" s="1" t="s">
        <v>274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16</v>
      </c>
      <c r="AP23" s="1" t="s">
        <v>16</v>
      </c>
      <c r="AQ23" s="1" t="s">
        <v>274</v>
      </c>
      <c r="AR23" s="1">
        <v>2018</v>
      </c>
      <c r="AS23" s="1" t="s">
        <v>17</v>
      </c>
      <c r="AT23" s="1" t="s">
        <v>251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252</v>
      </c>
    </row>
    <row r="24" spans="3:53" x14ac:dyDescent="0.25">
      <c r="Q24" s="109" t="str">
        <f t="shared" si="0"/>
        <v>Crazy 8GY C8 YRLY BASICS</v>
      </c>
      <c r="R24" s="27" t="str">
        <f t="shared" si="1"/>
        <v>2018Crazy 8Basics</v>
      </c>
      <c r="S24" s="393">
        <v>2018</v>
      </c>
      <c r="T24" s="394" t="s">
        <v>56</v>
      </c>
      <c r="U24" s="394" t="s">
        <v>33</v>
      </c>
      <c r="V24" s="394" t="s">
        <v>262</v>
      </c>
      <c r="W24" s="394"/>
      <c r="X24" s="343">
        <f t="shared" si="2"/>
        <v>5</v>
      </c>
      <c r="Y24" s="22"/>
      <c r="AG24" s="27" t="str">
        <f t="shared" si="3"/>
        <v>OutletOutletUSA23</v>
      </c>
      <c r="AH24" s="1" t="s">
        <v>16</v>
      </c>
      <c r="AI24" s="1" t="s">
        <v>16</v>
      </c>
      <c r="AJ24" s="1" t="s">
        <v>274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16</v>
      </c>
      <c r="AP24" s="1" t="s">
        <v>16</v>
      </c>
      <c r="AQ24" s="1" t="s">
        <v>274</v>
      </c>
      <c r="AR24" s="1">
        <v>2018</v>
      </c>
      <c r="AS24" s="1" t="s">
        <v>17</v>
      </c>
      <c r="AT24" s="1" t="s">
        <v>253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254</v>
      </c>
    </row>
    <row r="25" spans="3:53" x14ac:dyDescent="0.25">
      <c r="Q25" s="109" t="str">
        <f t="shared" si="0"/>
        <v>Crazy 8GY C8 YRLY DENIM</v>
      </c>
      <c r="R25" s="27" t="str">
        <f t="shared" si="1"/>
        <v>2018Crazy 8Basics</v>
      </c>
      <c r="S25" s="393">
        <v>2018</v>
      </c>
      <c r="T25" s="394" t="s">
        <v>56</v>
      </c>
      <c r="U25" s="394" t="s">
        <v>33</v>
      </c>
      <c r="V25" s="394" t="s">
        <v>263</v>
      </c>
      <c r="W25" s="394"/>
      <c r="X25" s="343">
        <f t="shared" si="2"/>
        <v>5</v>
      </c>
      <c r="Y25" s="22"/>
      <c r="AG25" s="27" t="str">
        <f t="shared" si="3"/>
        <v>OutletOutletUSA24</v>
      </c>
      <c r="AH25" s="1" t="s">
        <v>16</v>
      </c>
      <c r="AI25" s="1" t="s">
        <v>16</v>
      </c>
      <c r="AJ25" s="1" t="s">
        <v>274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16</v>
      </c>
      <c r="AP25" s="1" t="s">
        <v>16</v>
      </c>
      <c r="AQ25" s="1" t="s">
        <v>274</v>
      </c>
      <c r="AR25" s="1">
        <v>2018</v>
      </c>
      <c r="AS25" s="1" t="s">
        <v>31</v>
      </c>
      <c r="AT25" s="1" t="s">
        <v>204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205</v>
      </c>
    </row>
    <row r="26" spans="3:53" x14ac:dyDescent="0.25">
      <c r="Q26" s="109" t="str">
        <f t="shared" si="0"/>
        <v>Crazy 8Winter 17</v>
      </c>
      <c r="R26" s="27" t="str">
        <f t="shared" si="1"/>
        <v>2018Crazy 8Winter 17</v>
      </c>
      <c r="S26" s="393">
        <v>2018</v>
      </c>
      <c r="T26" s="394" t="s">
        <v>56</v>
      </c>
      <c r="U26" s="394" t="s">
        <v>480</v>
      </c>
      <c r="V26" s="394" t="s">
        <v>480</v>
      </c>
      <c r="W26" s="394"/>
      <c r="X26" s="343">
        <f t="shared" si="2"/>
        <v>7</v>
      </c>
      <c r="Y26" s="22"/>
      <c r="AG26" s="27" t="str">
        <f t="shared" si="3"/>
        <v>OutletOutletUSA25</v>
      </c>
      <c r="AH26" s="1" t="s">
        <v>16</v>
      </c>
      <c r="AI26" s="1" t="s">
        <v>16</v>
      </c>
      <c r="AJ26" s="1" t="s">
        <v>274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16</v>
      </c>
      <c r="AP26" s="1" t="s">
        <v>16</v>
      </c>
      <c r="AQ26" s="1" t="s">
        <v>274</v>
      </c>
      <c r="AR26" s="1">
        <v>2018</v>
      </c>
      <c r="AS26" s="1" t="s">
        <v>31</v>
      </c>
      <c r="AT26" s="1" t="s">
        <v>206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207</v>
      </c>
    </row>
    <row r="27" spans="3:53" x14ac:dyDescent="0.25">
      <c r="Q27" s="109" t="str">
        <f t="shared" si="0"/>
        <v>Crazy 8Spring 18</v>
      </c>
      <c r="R27" s="27" t="str">
        <f t="shared" si="1"/>
        <v>2018Crazy 8Spring 18</v>
      </c>
      <c r="S27" s="393">
        <v>2018</v>
      </c>
      <c r="T27" s="394" t="s">
        <v>56</v>
      </c>
      <c r="U27" s="394" t="s">
        <v>481</v>
      </c>
      <c r="V27" s="394" t="s">
        <v>481</v>
      </c>
      <c r="W27" s="394"/>
      <c r="X27" s="343">
        <f t="shared" si="2"/>
        <v>8</v>
      </c>
      <c r="Y27" s="22"/>
      <c r="AG27" s="27" t="str">
        <f t="shared" si="3"/>
        <v>OutletOutletUSA26</v>
      </c>
      <c r="AH27" s="1" t="s">
        <v>16</v>
      </c>
      <c r="AI27" s="1" t="s">
        <v>16</v>
      </c>
      <c r="AJ27" s="1" t="s">
        <v>274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16</v>
      </c>
      <c r="AP27" s="1" t="s">
        <v>16</v>
      </c>
      <c r="AQ27" s="1" t="s">
        <v>274</v>
      </c>
      <c r="AR27" s="1">
        <v>2018</v>
      </c>
      <c r="AS27" s="1" t="s">
        <v>31</v>
      </c>
      <c r="AT27" s="1" t="s">
        <v>208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209</v>
      </c>
    </row>
    <row r="28" spans="3:53" x14ac:dyDescent="0.25">
      <c r="Q28" s="109" t="str">
        <f t="shared" si="0"/>
        <v>Crazy 8Summer 18</v>
      </c>
      <c r="R28" s="27" t="str">
        <f t="shared" si="1"/>
        <v>2018Crazy 8Summer 18</v>
      </c>
      <c r="S28" s="393">
        <v>2018</v>
      </c>
      <c r="T28" s="394" t="s">
        <v>56</v>
      </c>
      <c r="U28" s="394" t="s">
        <v>482</v>
      </c>
      <c r="V28" s="394" t="s">
        <v>482</v>
      </c>
      <c r="W28" s="394"/>
      <c r="X28" s="343">
        <f t="shared" si="2"/>
        <v>9</v>
      </c>
      <c r="Y28" s="22"/>
      <c r="AG28" s="27" t="str">
        <f t="shared" si="3"/>
        <v>OutletOutletUSA27</v>
      </c>
      <c r="AH28" s="1" t="s">
        <v>16</v>
      </c>
      <c r="AI28" s="1" t="s">
        <v>16</v>
      </c>
      <c r="AJ28" s="1" t="s">
        <v>274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16</v>
      </c>
      <c r="AP28" s="1" t="s">
        <v>16</v>
      </c>
      <c r="AQ28" s="1" t="s">
        <v>274</v>
      </c>
      <c r="AR28" s="1">
        <v>2018</v>
      </c>
      <c r="AS28" s="1" t="s">
        <v>31</v>
      </c>
      <c r="AT28" s="1" t="s">
        <v>210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211</v>
      </c>
    </row>
    <row r="29" spans="3:53" x14ac:dyDescent="0.25">
      <c r="Q29" s="109" t="str">
        <f t="shared" si="0"/>
        <v>Crazy 8Old</v>
      </c>
      <c r="R29" s="27" t="str">
        <f t="shared" si="1"/>
        <v>2018Crazy 8Old</v>
      </c>
      <c r="S29" s="393">
        <v>2018</v>
      </c>
      <c r="T29" s="394" t="s">
        <v>56</v>
      </c>
      <c r="U29" s="394" t="s">
        <v>483</v>
      </c>
      <c r="V29" s="394" t="s">
        <v>483</v>
      </c>
      <c r="W29" s="394"/>
      <c r="X29" s="343">
        <f t="shared" si="2"/>
        <v>10</v>
      </c>
      <c r="Y29" s="22"/>
      <c r="AG29" s="27" t="str">
        <f t="shared" si="3"/>
        <v>OutletOutletUSA28</v>
      </c>
      <c r="AH29" s="1" t="s">
        <v>16</v>
      </c>
      <c r="AI29" s="1" t="s">
        <v>16</v>
      </c>
      <c r="AJ29" s="1" t="s">
        <v>274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16</v>
      </c>
      <c r="AP29" s="1" t="s">
        <v>16</v>
      </c>
      <c r="AQ29" s="1" t="s">
        <v>274</v>
      </c>
      <c r="AR29" s="1">
        <v>2018</v>
      </c>
      <c r="AS29" s="1" t="s">
        <v>31</v>
      </c>
      <c r="AT29" s="1" t="s">
        <v>212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213</v>
      </c>
    </row>
    <row r="30" spans="3:53" x14ac:dyDescent="0.25">
      <c r="Q30" s="109" t="str">
        <f t="shared" si="0"/>
        <v>GymboreeGY 18 BTS</v>
      </c>
      <c r="R30" s="27" t="str">
        <f t="shared" si="1"/>
        <v>2018GymboreeFall</v>
      </c>
      <c r="S30" s="393">
        <v>2018</v>
      </c>
      <c r="T30" s="394" t="s">
        <v>13</v>
      </c>
      <c r="U30" s="394" t="s">
        <v>31</v>
      </c>
      <c r="V30" s="394" t="s">
        <v>337</v>
      </c>
      <c r="W30" s="394"/>
      <c r="X30" s="343">
        <f t="shared" si="2"/>
        <v>3</v>
      </c>
      <c r="Y30" s="22"/>
      <c r="AG30" s="27" t="str">
        <f t="shared" si="3"/>
        <v>OutletOutletUSA29</v>
      </c>
      <c r="AH30" s="1" t="s">
        <v>16</v>
      </c>
      <c r="AI30" s="1" t="s">
        <v>16</v>
      </c>
      <c r="AJ30" s="1" t="s">
        <v>274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16</v>
      </c>
      <c r="AP30" s="1" t="s">
        <v>16</v>
      </c>
      <c r="AQ30" s="1" t="s">
        <v>274</v>
      </c>
      <c r="AR30" s="1">
        <v>2018</v>
      </c>
      <c r="AS30" s="1" t="s">
        <v>31</v>
      </c>
      <c r="AT30" s="1" t="s">
        <v>214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213</v>
      </c>
    </row>
    <row r="31" spans="3:53" x14ac:dyDescent="0.25">
      <c r="Q31" s="109" t="str">
        <f t="shared" si="0"/>
        <v>GymboreeGY 18 FAL</v>
      </c>
      <c r="R31" s="27" t="str">
        <f t="shared" si="1"/>
        <v>2018GymboreeFall</v>
      </c>
      <c r="S31" s="393">
        <v>2018</v>
      </c>
      <c r="T31" s="394" t="s">
        <v>13</v>
      </c>
      <c r="U31" s="394" t="s">
        <v>31</v>
      </c>
      <c r="V31" s="394" t="s">
        <v>339</v>
      </c>
      <c r="W31" s="394"/>
      <c r="X31" s="343">
        <f t="shared" si="2"/>
        <v>3</v>
      </c>
      <c r="Y31" s="22"/>
      <c r="AG31" s="27" t="str">
        <f t="shared" si="3"/>
        <v>OutletOutletUSA30</v>
      </c>
      <c r="AH31" s="1" t="s">
        <v>16</v>
      </c>
      <c r="AI31" s="1" t="s">
        <v>16</v>
      </c>
      <c r="AJ31" s="1" t="s">
        <v>274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16</v>
      </c>
      <c r="AP31" s="1" t="s">
        <v>16</v>
      </c>
      <c r="AQ31" s="1" t="s">
        <v>274</v>
      </c>
      <c r="AR31" s="1">
        <v>2018</v>
      </c>
      <c r="AS31" s="1" t="s">
        <v>31</v>
      </c>
      <c r="AT31" s="1" t="s">
        <v>215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216</v>
      </c>
    </row>
    <row r="32" spans="3:53" x14ac:dyDescent="0.25">
      <c r="Q32" s="109" t="str">
        <f t="shared" si="0"/>
        <v>GymboreeGY 18 FALL 1</v>
      </c>
      <c r="R32" s="27" t="str">
        <f t="shared" si="1"/>
        <v>2018GymboreeFall</v>
      </c>
      <c r="S32" s="393">
        <v>2018</v>
      </c>
      <c r="T32" s="394" t="s">
        <v>13</v>
      </c>
      <c r="U32" s="394" t="s">
        <v>31</v>
      </c>
      <c r="V32" s="394" t="s">
        <v>338</v>
      </c>
      <c r="W32" s="394"/>
      <c r="X32" s="343">
        <f t="shared" si="2"/>
        <v>3</v>
      </c>
      <c r="Y32" s="22"/>
      <c r="AG32" s="27" t="str">
        <f t="shared" si="3"/>
        <v>OutletOutletUSA31</v>
      </c>
      <c r="AH32" s="1" t="s">
        <v>16</v>
      </c>
      <c r="AI32" s="1" t="s">
        <v>16</v>
      </c>
      <c r="AJ32" s="1" t="s">
        <v>274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16</v>
      </c>
      <c r="AP32" s="1" t="s">
        <v>16</v>
      </c>
      <c r="AQ32" s="1" t="s">
        <v>274</v>
      </c>
      <c r="AR32" s="1">
        <v>2018</v>
      </c>
      <c r="AS32" s="1" t="s">
        <v>31</v>
      </c>
      <c r="AT32" s="1" t="s">
        <v>217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218</v>
      </c>
    </row>
    <row r="33" spans="17:53" x14ac:dyDescent="0.25">
      <c r="Q33" s="109" t="str">
        <f t="shared" si="0"/>
        <v>GymboreeGY 18 FALL 2</v>
      </c>
      <c r="R33" s="27" t="str">
        <f t="shared" si="1"/>
        <v>2018GymboreeFall</v>
      </c>
      <c r="S33" s="393">
        <v>2018</v>
      </c>
      <c r="T33" s="394" t="s">
        <v>13</v>
      </c>
      <c r="U33" s="394" t="s">
        <v>31</v>
      </c>
      <c r="V33" s="394" t="s">
        <v>340</v>
      </c>
      <c r="W33" s="394"/>
      <c r="X33" s="343">
        <f t="shared" si="2"/>
        <v>3</v>
      </c>
      <c r="Y33" s="22"/>
      <c r="AG33" s="27" t="str">
        <f t="shared" si="3"/>
        <v>OutletOutletUSA32</v>
      </c>
      <c r="AH33" s="1" t="s">
        <v>16</v>
      </c>
      <c r="AI33" s="1" t="s">
        <v>16</v>
      </c>
      <c r="AJ33" s="1" t="s">
        <v>274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30</v>
      </c>
      <c r="AP33" s="1" t="s">
        <v>5</v>
      </c>
      <c r="AQ33" s="1" t="s">
        <v>274</v>
      </c>
      <c r="AR33" s="1">
        <v>2018</v>
      </c>
      <c r="AS33" s="1" t="s">
        <v>33</v>
      </c>
      <c r="AT33" s="1" t="s">
        <v>270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270</v>
      </c>
    </row>
    <row r="34" spans="17:53" x14ac:dyDescent="0.25">
      <c r="Q34" s="109" t="str">
        <f t="shared" ref="Q34:Q65" si="5">T34&amp;V34</f>
        <v>GymboreeGY 18 FALL 3</v>
      </c>
      <c r="R34" s="27" t="str">
        <f t="shared" ref="R34:R65" si="6">S34&amp;T34&amp;U34</f>
        <v>2018GymboreeFall</v>
      </c>
      <c r="S34" s="393">
        <v>2018</v>
      </c>
      <c r="T34" s="394" t="s">
        <v>13</v>
      </c>
      <c r="U34" s="394" t="s">
        <v>31</v>
      </c>
      <c r="V34" s="394" t="s">
        <v>341</v>
      </c>
      <c r="W34" s="394"/>
      <c r="X34" s="343">
        <f t="shared" ref="X34:X65" si="7">MATCH(U34,ListSeason,0)</f>
        <v>3</v>
      </c>
      <c r="Y34" s="22"/>
      <c r="AG34" s="27" t="str">
        <f t="shared" si="3"/>
        <v>OutletOutletUSA33</v>
      </c>
      <c r="AH34" s="1" t="s">
        <v>16</v>
      </c>
      <c r="AI34" s="1" t="s">
        <v>16</v>
      </c>
      <c r="AJ34" s="1" t="s">
        <v>274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30</v>
      </c>
      <c r="AP34" s="1" t="s">
        <v>5</v>
      </c>
      <c r="AQ34" s="1" t="s">
        <v>274</v>
      </c>
      <c r="AR34" s="1">
        <v>2018</v>
      </c>
      <c r="AS34" s="1" t="s">
        <v>33</v>
      </c>
      <c r="AT34" s="1" t="s">
        <v>162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163</v>
      </c>
    </row>
    <row r="35" spans="17:53" x14ac:dyDescent="0.25">
      <c r="Q35" s="109" t="str">
        <f t="shared" si="5"/>
        <v>GymboreeGY 18 FALL 4</v>
      </c>
      <c r="R35" s="27" t="str">
        <f t="shared" si="6"/>
        <v>2018GymboreeFall</v>
      </c>
      <c r="S35" s="393">
        <v>2018</v>
      </c>
      <c r="T35" s="394" t="s">
        <v>13</v>
      </c>
      <c r="U35" s="394" t="s">
        <v>31</v>
      </c>
      <c r="V35" s="394" t="s">
        <v>342</v>
      </c>
      <c r="W35" s="394"/>
      <c r="X35" s="343">
        <f t="shared" si="7"/>
        <v>3</v>
      </c>
      <c r="Y35" s="22"/>
      <c r="AG35" s="27" t="str">
        <f t="shared" si="3"/>
        <v>OutletOutletUSA34</v>
      </c>
      <c r="AH35" s="1" t="s">
        <v>16</v>
      </c>
      <c r="AI35" s="1" t="s">
        <v>16</v>
      </c>
      <c r="AJ35" s="1" t="s">
        <v>274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30</v>
      </c>
      <c r="AP35" s="1" t="s">
        <v>5</v>
      </c>
      <c r="AQ35" s="1" t="s">
        <v>274</v>
      </c>
      <c r="AR35" s="1">
        <v>2018</v>
      </c>
      <c r="AS35" s="1" t="s">
        <v>31</v>
      </c>
      <c r="AT35" s="1" t="s">
        <v>144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145</v>
      </c>
    </row>
    <row r="36" spans="17:53" x14ac:dyDescent="0.25">
      <c r="Q36" s="109" t="str">
        <f t="shared" si="5"/>
        <v>GymboreeGY 18 FALL HARVEST</v>
      </c>
      <c r="R36" s="27" t="str">
        <f t="shared" si="6"/>
        <v>2018GymboreeFall</v>
      </c>
      <c r="S36" s="393">
        <v>2018</v>
      </c>
      <c r="T36" s="394" t="s">
        <v>13</v>
      </c>
      <c r="U36" s="394" t="s">
        <v>31</v>
      </c>
      <c r="V36" s="394" t="s">
        <v>420</v>
      </c>
      <c r="W36" s="394"/>
      <c r="X36" s="343">
        <f t="shared" si="7"/>
        <v>3</v>
      </c>
      <c r="Y36" s="22"/>
      <c r="AG36" s="27" t="str">
        <f t="shared" si="3"/>
        <v>OutletOutletUSA35</v>
      </c>
      <c r="AH36" s="1" t="s">
        <v>16</v>
      </c>
      <c r="AI36" s="1" t="s">
        <v>16</v>
      </c>
      <c r="AJ36" s="1" t="s">
        <v>274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30</v>
      </c>
      <c r="AP36" s="1" t="s">
        <v>5</v>
      </c>
      <c r="AQ36" s="1" t="s">
        <v>274</v>
      </c>
      <c r="AR36" s="1">
        <v>2018</v>
      </c>
      <c r="AS36" s="1" t="s">
        <v>15</v>
      </c>
      <c r="AT36" s="1" t="s">
        <v>159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324</v>
      </c>
    </row>
    <row r="37" spans="17:53" x14ac:dyDescent="0.25">
      <c r="Q37" s="109" t="str">
        <f t="shared" si="5"/>
        <v>GymboreeGY 18 HO HO SHOP</v>
      </c>
      <c r="R37" s="27" t="str">
        <f t="shared" si="6"/>
        <v>2018GymboreeWinter</v>
      </c>
      <c r="S37" s="393">
        <v>2018</v>
      </c>
      <c r="T37" s="394" t="s">
        <v>13</v>
      </c>
      <c r="U37" s="394" t="s">
        <v>32</v>
      </c>
      <c r="V37" s="394" t="s">
        <v>343</v>
      </c>
      <c r="W37" s="394"/>
      <c r="X37" s="343">
        <f t="shared" si="7"/>
        <v>4</v>
      </c>
      <c r="Y37" s="22"/>
      <c r="AG37" s="27" t="str">
        <f t="shared" si="3"/>
        <v>OutletOutletUSA36</v>
      </c>
      <c r="AH37" s="1" t="s">
        <v>16</v>
      </c>
      <c r="AI37" s="1" t="s">
        <v>16</v>
      </c>
      <c r="AJ37" s="1" t="s">
        <v>274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30</v>
      </c>
      <c r="AP37" s="1" t="s">
        <v>5</v>
      </c>
      <c r="AQ37" s="1" t="s">
        <v>274</v>
      </c>
      <c r="AR37" s="1">
        <v>2018</v>
      </c>
      <c r="AS37" s="1" t="s">
        <v>15</v>
      </c>
      <c r="AT37" s="1" t="s">
        <v>147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148</v>
      </c>
    </row>
    <row r="38" spans="17:53" x14ac:dyDescent="0.25">
      <c r="Q38" s="109" t="str">
        <f t="shared" si="5"/>
        <v>GymboreeGY 18 HOL</v>
      </c>
      <c r="R38" s="27" t="str">
        <f t="shared" si="6"/>
        <v>2018GymboreeWinter</v>
      </c>
      <c r="S38" s="393">
        <v>2018</v>
      </c>
      <c r="T38" s="394" t="s">
        <v>13</v>
      </c>
      <c r="U38" s="394" t="s">
        <v>32</v>
      </c>
      <c r="V38" s="394" t="s">
        <v>462</v>
      </c>
      <c r="W38" s="394"/>
      <c r="X38" s="343">
        <f t="shared" si="7"/>
        <v>4</v>
      </c>
      <c r="Y38" s="22"/>
      <c r="AG38" s="27" t="str">
        <f t="shared" si="3"/>
        <v>OutletOutletUSA37</v>
      </c>
      <c r="AH38" s="1" t="s">
        <v>16</v>
      </c>
      <c r="AI38" s="1" t="s">
        <v>16</v>
      </c>
      <c r="AJ38" s="1" t="s">
        <v>274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30</v>
      </c>
      <c r="AP38" s="1" t="s">
        <v>5</v>
      </c>
      <c r="AQ38" s="1" t="s">
        <v>274</v>
      </c>
      <c r="AR38" s="1">
        <v>2018</v>
      </c>
      <c r="AS38" s="1" t="s">
        <v>15</v>
      </c>
      <c r="AT38" s="1" t="s">
        <v>169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170</v>
      </c>
    </row>
    <row r="39" spans="17:53" x14ac:dyDescent="0.25">
      <c r="Q39" s="109" t="str">
        <f t="shared" si="5"/>
        <v>GymboreeGY 18 HOLIDAY 1</v>
      </c>
      <c r="R39" s="27" t="str">
        <f t="shared" si="6"/>
        <v>2018GymboreeWinter</v>
      </c>
      <c r="S39" s="393">
        <v>2018</v>
      </c>
      <c r="T39" s="394" t="s">
        <v>13</v>
      </c>
      <c r="U39" s="394" t="s">
        <v>32</v>
      </c>
      <c r="V39" s="394" t="s">
        <v>463</v>
      </c>
      <c r="W39" s="394"/>
      <c r="X39" s="343">
        <f t="shared" si="7"/>
        <v>4</v>
      </c>
      <c r="Y39" s="22"/>
      <c r="AG39" s="27" t="str">
        <f t="shared" si="3"/>
        <v>OutletOutletUSA38</v>
      </c>
      <c r="AH39" s="1" t="s">
        <v>16</v>
      </c>
      <c r="AI39" s="1" t="s">
        <v>16</v>
      </c>
      <c r="AJ39" s="1" t="s">
        <v>274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30</v>
      </c>
      <c r="AP39" s="1" t="s">
        <v>5</v>
      </c>
      <c r="AQ39" s="1" t="s">
        <v>274</v>
      </c>
      <c r="AR39" s="1">
        <v>2018</v>
      </c>
      <c r="AS39" s="1" t="s">
        <v>15</v>
      </c>
      <c r="AT39" s="1" t="s">
        <v>171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172</v>
      </c>
    </row>
    <row r="40" spans="17:53" x14ac:dyDescent="0.25">
      <c r="Q40" s="109" t="str">
        <f t="shared" si="5"/>
        <v>GymboreeGY 18 HOLIDAY 2</v>
      </c>
      <c r="R40" s="27" t="str">
        <f t="shared" si="6"/>
        <v>2018GymboreeWinter</v>
      </c>
      <c r="S40" s="393">
        <v>2018</v>
      </c>
      <c r="T40" s="394" t="s">
        <v>13</v>
      </c>
      <c r="U40" s="394" t="s">
        <v>32</v>
      </c>
      <c r="V40" s="394" t="s">
        <v>465</v>
      </c>
      <c r="W40" s="394"/>
      <c r="X40" s="343">
        <f t="shared" si="7"/>
        <v>4</v>
      </c>
      <c r="Y40" s="22"/>
      <c r="AG40" s="27" t="str">
        <f t="shared" si="3"/>
        <v>OutletOutletUSA39</v>
      </c>
      <c r="AH40" s="1" t="s">
        <v>16</v>
      </c>
      <c r="AI40" s="1" t="s">
        <v>16</v>
      </c>
      <c r="AJ40" s="1" t="s">
        <v>274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30</v>
      </c>
      <c r="AP40" s="1" t="s">
        <v>5</v>
      </c>
      <c r="AQ40" s="1" t="s">
        <v>274</v>
      </c>
      <c r="AR40" s="1">
        <v>2018</v>
      </c>
      <c r="AS40" s="1" t="s">
        <v>15</v>
      </c>
      <c r="AT40" s="1" t="s">
        <v>177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178</v>
      </c>
    </row>
    <row r="41" spans="17:53" x14ac:dyDescent="0.25">
      <c r="Q41" s="109" t="str">
        <f t="shared" si="5"/>
        <v>GymboreeGY 18 HOLIDAY 3</v>
      </c>
      <c r="R41" s="27" t="str">
        <f t="shared" si="6"/>
        <v>2018GymboreeWinter</v>
      </c>
      <c r="S41" s="393">
        <v>2018</v>
      </c>
      <c r="T41" s="394" t="s">
        <v>13</v>
      </c>
      <c r="U41" s="394" t="s">
        <v>32</v>
      </c>
      <c r="V41" s="394" t="s">
        <v>464</v>
      </c>
      <c r="W41" s="394"/>
      <c r="X41" s="343">
        <f t="shared" si="7"/>
        <v>4</v>
      </c>
      <c r="Y41" s="22"/>
      <c r="AG41" s="27" t="str">
        <f t="shared" si="3"/>
        <v>OutletOutletUSA40</v>
      </c>
      <c r="AH41" s="1" t="s">
        <v>16</v>
      </c>
      <c r="AI41" s="1" t="s">
        <v>16</v>
      </c>
      <c r="AJ41" s="1" t="s">
        <v>274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30</v>
      </c>
      <c r="AP41" s="1" t="s">
        <v>5</v>
      </c>
      <c r="AQ41" s="1" t="s">
        <v>274</v>
      </c>
      <c r="AR41" s="1">
        <v>2018</v>
      </c>
      <c r="AS41" s="1" t="s">
        <v>15</v>
      </c>
      <c r="AT41" s="1" t="s">
        <v>149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150</v>
      </c>
    </row>
    <row r="42" spans="17:53" x14ac:dyDescent="0.25">
      <c r="Q42" s="109" t="str">
        <f t="shared" si="5"/>
        <v>GymboreeGY 18 SPR TRANS</v>
      </c>
      <c r="R42" s="27" t="str">
        <f t="shared" si="6"/>
        <v>2018GymboreeWinter</v>
      </c>
      <c r="S42" s="393">
        <v>2018</v>
      </c>
      <c r="T42" s="394" t="s">
        <v>13</v>
      </c>
      <c r="U42" s="394" t="s">
        <v>32</v>
      </c>
      <c r="V42" s="394" t="s">
        <v>461</v>
      </c>
      <c r="W42" s="394"/>
      <c r="X42" s="343">
        <f t="shared" si="7"/>
        <v>4</v>
      </c>
      <c r="Y42" s="22"/>
      <c r="AG42" s="27" t="str">
        <f t="shared" si="3"/>
        <v>OutletOutletUSA41</v>
      </c>
      <c r="AH42" s="1" t="s">
        <v>16</v>
      </c>
      <c r="AI42" s="1" t="s">
        <v>16</v>
      </c>
      <c r="AJ42" s="1" t="s">
        <v>274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30</v>
      </c>
      <c r="AP42" s="1" t="s">
        <v>5</v>
      </c>
      <c r="AQ42" s="1" t="s">
        <v>274</v>
      </c>
      <c r="AR42" s="1">
        <v>2018</v>
      </c>
      <c r="AS42" s="1" t="s">
        <v>15</v>
      </c>
      <c r="AT42" s="1" t="s">
        <v>151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152</v>
      </c>
    </row>
    <row r="43" spans="17:53" x14ac:dyDescent="0.25">
      <c r="Q43" s="109" t="str">
        <f t="shared" si="5"/>
        <v>GymboreeGY 18 FALL BASIC</v>
      </c>
      <c r="R43" s="27" t="str">
        <f t="shared" si="6"/>
        <v>2018GymboreeBasics</v>
      </c>
      <c r="S43" s="393">
        <v>2018</v>
      </c>
      <c r="T43" s="394" t="s">
        <v>13</v>
      </c>
      <c r="U43" s="394" t="s">
        <v>33</v>
      </c>
      <c r="V43" s="394" t="s">
        <v>417</v>
      </c>
      <c r="W43" s="394"/>
      <c r="X43" s="343">
        <f t="shared" si="7"/>
        <v>5</v>
      </c>
      <c r="Y43" s="22"/>
      <c r="AG43" s="27" t="str">
        <f t="shared" si="3"/>
        <v>OutletOutletUSA42</v>
      </c>
      <c r="AH43" s="1" t="s">
        <v>16</v>
      </c>
      <c r="AI43" s="1" t="s">
        <v>16</v>
      </c>
      <c r="AJ43" s="1" t="s">
        <v>274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30</v>
      </c>
      <c r="AP43" s="1" t="s">
        <v>5</v>
      </c>
      <c r="AQ43" s="1" t="s">
        <v>274</v>
      </c>
      <c r="AR43" s="1">
        <v>2018</v>
      </c>
      <c r="AS43" s="1" t="s">
        <v>15</v>
      </c>
      <c r="AT43" s="1" t="s">
        <v>181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182</v>
      </c>
    </row>
    <row r="44" spans="17:53" x14ac:dyDescent="0.25">
      <c r="Q44" s="109" t="str">
        <f t="shared" si="5"/>
        <v>GymboreeGY 18 SPRING BASICS</v>
      </c>
      <c r="R44" s="27" t="str">
        <f t="shared" si="6"/>
        <v>2018GymboreeBasics</v>
      </c>
      <c r="S44" s="393">
        <v>2018</v>
      </c>
      <c r="T44" s="394" t="s">
        <v>13</v>
      </c>
      <c r="U44" s="394" t="s">
        <v>33</v>
      </c>
      <c r="V44" s="394" t="s">
        <v>112</v>
      </c>
      <c r="W44" s="394"/>
      <c r="X44" s="343">
        <f t="shared" si="7"/>
        <v>5</v>
      </c>
      <c r="Y44" s="22"/>
      <c r="AG44" s="27" t="str">
        <f t="shared" si="3"/>
        <v>OutletOutletUSA43</v>
      </c>
      <c r="AH44" s="1" t="s">
        <v>16</v>
      </c>
      <c r="AI44" s="1" t="s">
        <v>16</v>
      </c>
      <c r="AJ44" s="1" t="s">
        <v>274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30</v>
      </c>
      <c r="AP44" s="1" t="s">
        <v>5</v>
      </c>
      <c r="AQ44" s="1" t="s">
        <v>274</v>
      </c>
      <c r="AR44" s="1">
        <v>2018</v>
      </c>
      <c r="AS44" s="1" t="s">
        <v>15</v>
      </c>
      <c r="AT44" s="1" t="s">
        <v>167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168</v>
      </c>
    </row>
    <row r="45" spans="17:53" x14ac:dyDescent="0.25">
      <c r="Q45" s="109" t="str">
        <f t="shared" si="5"/>
        <v>GymboreeGY YRLY BASICS</v>
      </c>
      <c r="R45" s="27" t="str">
        <f t="shared" si="6"/>
        <v>2018GymboreeBasics</v>
      </c>
      <c r="S45" s="393">
        <v>2018</v>
      </c>
      <c r="T45" s="394" t="s">
        <v>13</v>
      </c>
      <c r="U45" s="394" t="s">
        <v>33</v>
      </c>
      <c r="V45" s="394" t="s">
        <v>265</v>
      </c>
      <c r="W45" s="394"/>
      <c r="X45" s="343">
        <f t="shared" si="7"/>
        <v>5</v>
      </c>
      <c r="Y45" s="22"/>
      <c r="AG45" s="27" t="str">
        <f t="shared" si="3"/>
        <v>OutletOutletUSA44</v>
      </c>
      <c r="AH45" s="1" t="s">
        <v>16</v>
      </c>
      <c r="AI45" s="1" t="s">
        <v>16</v>
      </c>
      <c r="AJ45" s="1" t="s">
        <v>274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30</v>
      </c>
      <c r="AP45" s="1" t="s">
        <v>5</v>
      </c>
      <c r="AQ45" s="1" t="s">
        <v>274</v>
      </c>
      <c r="AR45" s="1">
        <v>2018</v>
      </c>
      <c r="AS45" s="1" t="s">
        <v>15</v>
      </c>
      <c r="AT45" s="1" t="s">
        <v>153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154</v>
      </c>
    </row>
    <row r="46" spans="17:53" x14ac:dyDescent="0.25">
      <c r="Q46" s="109" t="str">
        <f t="shared" si="5"/>
        <v>GymboreeGY YRLY DENIM</v>
      </c>
      <c r="R46" s="27" t="str">
        <f t="shared" si="6"/>
        <v>2018GymboreeBasics</v>
      </c>
      <c r="S46" s="393">
        <v>2018</v>
      </c>
      <c r="T46" s="394" t="s">
        <v>13</v>
      </c>
      <c r="U46" s="394" t="s">
        <v>33</v>
      </c>
      <c r="V46" s="394" t="s">
        <v>266</v>
      </c>
      <c r="W46" s="394"/>
      <c r="X46" s="343">
        <f t="shared" si="7"/>
        <v>5</v>
      </c>
      <c r="Y46" s="22"/>
      <c r="AG46" s="27" t="str">
        <f t="shared" si="3"/>
        <v>OutletOutletUSA45</v>
      </c>
      <c r="AH46" s="1" t="s">
        <v>16</v>
      </c>
      <c r="AI46" s="1" t="s">
        <v>16</v>
      </c>
      <c r="AJ46" s="1" t="s">
        <v>274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30</v>
      </c>
      <c r="AP46" s="1" t="s">
        <v>5</v>
      </c>
      <c r="AQ46" s="1" t="s">
        <v>274</v>
      </c>
      <c r="AR46" s="1">
        <v>2018</v>
      </c>
      <c r="AS46" s="1" t="s">
        <v>15</v>
      </c>
      <c r="AT46" s="1" t="s">
        <v>173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174</v>
      </c>
    </row>
    <row r="47" spans="17:53" x14ac:dyDescent="0.25">
      <c r="Q47" s="109" t="str">
        <f t="shared" si="5"/>
        <v>GymboreeGY YRLY UNIFORM</v>
      </c>
      <c r="R47" s="27" t="str">
        <f t="shared" si="6"/>
        <v>2018GymboreeBasics</v>
      </c>
      <c r="S47" s="393">
        <v>2018</v>
      </c>
      <c r="T47" s="394" t="s">
        <v>13</v>
      </c>
      <c r="U47" s="394" t="s">
        <v>33</v>
      </c>
      <c r="V47" s="394" t="s">
        <v>267</v>
      </c>
      <c r="W47" s="394"/>
      <c r="X47" s="343">
        <f t="shared" si="7"/>
        <v>5</v>
      </c>
      <c r="Y47" s="22"/>
      <c r="AG47" s="27" t="str">
        <f t="shared" si="3"/>
        <v>OutletOutletUSA46</v>
      </c>
      <c r="AH47" s="1" t="s">
        <v>16</v>
      </c>
      <c r="AI47" s="1" t="s">
        <v>16</v>
      </c>
      <c r="AJ47" s="1" t="s">
        <v>274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30</v>
      </c>
      <c r="AP47" s="1" t="s">
        <v>5</v>
      </c>
      <c r="AQ47" s="1" t="s">
        <v>274</v>
      </c>
      <c r="AR47" s="1">
        <v>2018</v>
      </c>
      <c r="AS47" s="1" t="s">
        <v>15</v>
      </c>
      <c r="AT47" s="1" t="s">
        <v>175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176</v>
      </c>
    </row>
    <row r="48" spans="17:53" x14ac:dyDescent="0.25">
      <c r="Q48" s="109" t="str">
        <f t="shared" si="5"/>
        <v>GymboreeWinter 17</v>
      </c>
      <c r="R48" s="27" t="str">
        <f t="shared" si="6"/>
        <v>2018GymboreeWinter 17</v>
      </c>
      <c r="S48" s="393">
        <v>2018</v>
      </c>
      <c r="T48" s="394" t="s">
        <v>13</v>
      </c>
      <c r="U48" s="394" t="s">
        <v>480</v>
      </c>
      <c r="V48" s="394" t="s">
        <v>480</v>
      </c>
      <c r="W48" s="394"/>
      <c r="X48" s="343">
        <f t="shared" si="7"/>
        <v>7</v>
      </c>
      <c r="Y48" s="22"/>
      <c r="AG48" s="27" t="str">
        <f t="shared" si="3"/>
        <v>OutletOutletUSA47</v>
      </c>
      <c r="AH48" s="1" t="s">
        <v>16</v>
      </c>
      <c r="AI48" s="1" t="s">
        <v>16</v>
      </c>
      <c r="AJ48" s="1" t="s">
        <v>274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30</v>
      </c>
      <c r="AP48" s="1" t="s">
        <v>5</v>
      </c>
      <c r="AQ48" s="1" t="s">
        <v>274</v>
      </c>
      <c r="AR48" s="1">
        <v>2018</v>
      </c>
      <c r="AS48" s="1" t="s">
        <v>15</v>
      </c>
      <c r="AT48" s="1" t="s">
        <v>179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180</v>
      </c>
    </row>
    <row r="49" spans="17:53" x14ac:dyDescent="0.25">
      <c r="Q49" s="109" t="str">
        <f t="shared" si="5"/>
        <v>GymboreeSpring 18</v>
      </c>
      <c r="R49" s="27" t="str">
        <f t="shared" si="6"/>
        <v>2018GymboreeSpring 18</v>
      </c>
      <c r="S49" s="393">
        <v>2018</v>
      </c>
      <c r="T49" s="394" t="s">
        <v>13</v>
      </c>
      <c r="U49" s="394" t="s">
        <v>481</v>
      </c>
      <c r="V49" s="394" t="s">
        <v>481</v>
      </c>
      <c r="W49" s="394"/>
      <c r="X49" s="343">
        <f t="shared" si="7"/>
        <v>8</v>
      </c>
      <c r="Y49" s="22"/>
      <c r="AG49" s="27" t="str">
        <f t="shared" si="3"/>
        <v>OutletOutletUSA48</v>
      </c>
      <c r="AH49" s="1" t="s">
        <v>16</v>
      </c>
      <c r="AI49" s="1" t="s">
        <v>16</v>
      </c>
      <c r="AJ49" s="1" t="s">
        <v>274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30</v>
      </c>
      <c r="AP49" s="1" t="s">
        <v>5</v>
      </c>
      <c r="AQ49" s="1" t="s">
        <v>274</v>
      </c>
      <c r="AR49" s="1">
        <v>2018</v>
      </c>
      <c r="AS49" s="1" t="s">
        <v>15</v>
      </c>
      <c r="AT49" s="1" t="s">
        <v>155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156</v>
      </c>
    </row>
    <row r="50" spans="17:53" x14ac:dyDescent="0.25">
      <c r="Q50" s="109" t="str">
        <f t="shared" si="5"/>
        <v>GymboreeSummer 18</v>
      </c>
      <c r="R50" s="27" t="str">
        <f t="shared" si="6"/>
        <v>2018GymboreeSummer 18</v>
      </c>
      <c r="S50" s="393">
        <v>2018</v>
      </c>
      <c r="T50" s="394" t="s">
        <v>13</v>
      </c>
      <c r="U50" s="394" t="s">
        <v>482</v>
      </c>
      <c r="V50" s="394" t="s">
        <v>482</v>
      </c>
      <c r="W50" s="394"/>
      <c r="X50" s="343">
        <f t="shared" si="7"/>
        <v>9</v>
      </c>
      <c r="Y50" s="22"/>
      <c r="AG50" s="27" t="str">
        <f t="shared" si="3"/>
        <v>OutletOutletUSA49</v>
      </c>
      <c r="AH50" s="1" t="s">
        <v>16</v>
      </c>
      <c r="AI50" s="1" t="s">
        <v>16</v>
      </c>
      <c r="AJ50" s="1" t="s">
        <v>274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30</v>
      </c>
      <c r="AP50" s="1" t="s">
        <v>5</v>
      </c>
      <c r="AQ50" s="1" t="s">
        <v>274</v>
      </c>
      <c r="AR50" s="1">
        <v>2018</v>
      </c>
      <c r="AS50" s="1" t="s">
        <v>15</v>
      </c>
      <c r="AT50" s="1" t="s">
        <v>183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184</v>
      </c>
    </row>
    <row r="51" spans="17:53" x14ac:dyDescent="0.25">
      <c r="Q51" s="109" t="str">
        <f t="shared" si="5"/>
        <v>GymboreeOld</v>
      </c>
      <c r="R51" s="27" t="str">
        <f t="shared" si="6"/>
        <v>2018GymboreeOld</v>
      </c>
      <c r="S51" s="393">
        <v>2018</v>
      </c>
      <c r="T51" s="394" t="s">
        <v>13</v>
      </c>
      <c r="U51" s="394" t="s">
        <v>483</v>
      </c>
      <c r="V51" s="394" t="s">
        <v>483</v>
      </c>
      <c r="W51" s="394"/>
      <c r="X51" s="343">
        <f t="shared" si="7"/>
        <v>10</v>
      </c>
      <c r="Y51" s="22"/>
      <c r="AG51" s="27" t="str">
        <f t="shared" si="3"/>
        <v>OutletOutletUSA50</v>
      </c>
      <c r="AH51" s="1" t="s">
        <v>16</v>
      </c>
      <c r="AI51" s="1" t="s">
        <v>16</v>
      </c>
      <c r="AJ51" s="1" t="s">
        <v>274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30</v>
      </c>
      <c r="AP51" s="1" t="s">
        <v>5</v>
      </c>
      <c r="AQ51" s="1" t="s">
        <v>274</v>
      </c>
      <c r="AR51" s="1">
        <v>2018</v>
      </c>
      <c r="AS51" s="1" t="s">
        <v>15</v>
      </c>
      <c r="AT51" s="1" t="s">
        <v>160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161</v>
      </c>
    </row>
    <row r="52" spans="17:53" x14ac:dyDescent="0.25">
      <c r="Q52" s="109" t="str">
        <f t="shared" si="5"/>
        <v>Janie &amp; JackJJ 19 APR BOY SUMMER TRANS</v>
      </c>
      <c r="R52" s="27" t="str">
        <f t="shared" si="6"/>
        <v>2018Janie &amp; JackSpring</v>
      </c>
      <c r="S52" s="393">
        <v>2018</v>
      </c>
      <c r="T52" s="394" t="s">
        <v>30</v>
      </c>
      <c r="U52" s="394" t="s">
        <v>15</v>
      </c>
      <c r="V52" s="394" t="s">
        <v>432</v>
      </c>
      <c r="W52" s="394"/>
      <c r="X52" s="343">
        <f t="shared" si="7"/>
        <v>1</v>
      </c>
      <c r="Y52" s="22"/>
      <c r="AG52" s="27" t="str">
        <f t="shared" si="3"/>
        <v>OutletOutletUSA51</v>
      </c>
      <c r="AH52" s="1" t="s">
        <v>16</v>
      </c>
      <c r="AI52" s="1" t="s">
        <v>16</v>
      </c>
      <c r="AJ52" s="1" t="s">
        <v>274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30</v>
      </c>
      <c r="AP52" s="1" t="s">
        <v>5</v>
      </c>
      <c r="AQ52" s="1" t="s">
        <v>274</v>
      </c>
      <c r="AR52" s="1">
        <v>2018</v>
      </c>
      <c r="AS52" s="1" t="s">
        <v>15</v>
      </c>
      <c r="AT52" s="1" t="s">
        <v>185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324</v>
      </c>
    </row>
    <row r="53" spans="17:53" x14ac:dyDescent="0.25">
      <c r="Q53" s="109" t="str">
        <f t="shared" si="5"/>
        <v>Janie &amp; JackJJ 19 APR DOOLITTLE 1</v>
      </c>
      <c r="R53" s="27" t="str">
        <f t="shared" si="6"/>
        <v>2018Janie &amp; JackSpring</v>
      </c>
      <c r="S53" s="393">
        <v>2018</v>
      </c>
      <c r="T53" s="394" t="s">
        <v>30</v>
      </c>
      <c r="U53" s="394" t="s">
        <v>15</v>
      </c>
      <c r="V53" s="394" t="s">
        <v>433</v>
      </c>
      <c r="W53" s="394"/>
      <c r="X53" s="343">
        <f t="shared" si="7"/>
        <v>1</v>
      </c>
      <c r="Y53" s="22"/>
      <c r="AG53" s="27" t="str">
        <f t="shared" si="3"/>
        <v>OutletOutletUSA52</v>
      </c>
      <c r="AH53" s="1" t="s">
        <v>16</v>
      </c>
      <c r="AI53" s="1" t="s">
        <v>16</v>
      </c>
      <c r="AJ53" s="1" t="s">
        <v>274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30</v>
      </c>
      <c r="AP53" s="1" t="s">
        <v>5</v>
      </c>
      <c r="AQ53" s="1" t="s">
        <v>274</v>
      </c>
      <c r="AR53" s="1">
        <v>2018</v>
      </c>
      <c r="AS53" s="1" t="s">
        <v>17</v>
      </c>
      <c r="AT53" s="1" t="s">
        <v>187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188</v>
      </c>
    </row>
    <row r="54" spans="17:53" x14ac:dyDescent="0.25">
      <c r="Q54" s="109" t="str">
        <f t="shared" si="5"/>
        <v>Janie &amp; JackJJ 19 APR DOOLITTLE 2</v>
      </c>
      <c r="R54" s="27" t="str">
        <f t="shared" si="6"/>
        <v>2018Janie &amp; JackSpring</v>
      </c>
      <c r="S54" s="393">
        <v>2018</v>
      </c>
      <c r="T54" s="394" t="s">
        <v>30</v>
      </c>
      <c r="U54" s="394" t="s">
        <v>15</v>
      </c>
      <c r="V54" s="394" t="s">
        <v>434</v>
      </c>
      <c r="W54" s="394"/>
      <c r="X54" s="343">
        <f t="shared" si="7"/>
        <v>1</v>
      </c>
      <c r="Y54" s="22"/>
      <c r="AG54" s="27" t="str">
        <f t="shared" si="3"/>
        <v>OutletOutletUSA53</v>
      </c>
      <c r="AH54" s="1" t="s">
        <v>16</v>
      </c>
      <c r="AI54" s="1" t="s">
        <v>16</v>
      </c>
      <c r="AJ54" s="1" t="s">
        <v>274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30</v>
      </c>
      <c r="AP54" s="1" t="s">
        <v>5</v>
      </c>
      <c r="AQ54" s="1" t="s">
        <v>274</v>
      </c>
      <c r="AR54" s="1">
        <v>2018</v>
      </c>
      <c r="AS54" s="1" t="s">
        <v>17</v>
      </c>
      <c r="AT54" s="1" t="s">
        <v>189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190</v>
      </c>
    </row>
    <row r="55" spans="17:53" x14ac:dyDescent="0.25">
      <c r="Q55" s="109" t="str">
        <f t="shared" si="5"/>
        <v>Janie &amp; JackJJ 19 APR DOOLITTLE 3</v>
      </c>
      <c r="R55" s="27" t="str">
        <f t="shared" si="6"/>
        <v>2018Janie &amp; JackSpring</v>
      </c>
      <c r="S55" s="393">
        <v>2018</v>
      </c>
      <c r="T55" s="394" t="s">
        <v>30</v>
      </c>
      <c r="U55" s="394" t="s">
        <v>15</v>
      </c>
      <c r="V55" s="394" t="s">
        <v>435</v>
      </c>
      <c r="W55" s="394"/>
      <c r="X55" s="343">
        <f t="shared" si="7"/>
        <v>1</v>
      </c>
      <c r="Y55" s="22"/>
      <c r="AG55" s="27" t="str">
        <f t="shared" si="3"/>
        <v>Janie &amp; JackRetailUSA1</v>
      </c>
      <c r="AH55" s="1" t="s">
        <v>30</v>
      </c>
      <c r="AI55" s="1" t="s">
        <v>5</v>
      </c>
      <c r="AJ55" s="1" t="s">
        <v>274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30</v>
      </c>
      <c r="AP55" s="1" t="s">
        <v>5</v>
      </c>
      <c r="AQ55" s="1" t="s">
        <v>274</v>
      </c>
      <c r="AR55" s="1">
        <v>2018</v>
      </c>
      <c r="AS55" s="1" t="s">
        <v>17</v>
      </c>
      <c r="AT55" s="1" t="s">
        <v>157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158</v>
      </c>
    </row>
    <row r="56" spans="17:53" x14ac:dyDescent="0.25">
      <c r="Q56" s="109" t="str">
        <f t="shared" si="5"/>
        <v>Janie &amp; JackJJ 19 APR GIRL SPORT</v>
      </c>
      <c r="R56" s="27" t="str">
        <f t="shared" si="6"/>
        <v>2018Janie &amp; JackSpring</v>
      </c>
      <c r="S56" s="393">
        <v>2018</v>
      </c>
      <c r="T56" s="394" t="s">
        <v>30</v>
      </c>
      <c r="U56" s="394" t="s">
        <v>15</v>
      </c>
      <c r="V56" s="394" t="s">
        <v>436</v>
      </c>
      <c r="W56" s="394"/>
      <c r="X56" s="343">
        <f t="shared" si="7"/>
        <v>1</v>
      </c>
      <c r="Y56" s="22"/>
      <c r="AG56" s="27" t="str">
        <f t="shared" si="3"/>
        <v>Janie &amp; JackRetailUSA2</v>
      </c>
      <c r="AH56" s="1" t="s">
        <v>30</v>
      </c>
      <c r="AI56" s="1" t="s">
        <v>5</v>
      </c>
      <c r="AJ56" s="1" t="s">
        <v>274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30</v>
      </c>
      <c r="AP56" s="1" t="s">
        <v>5</v>
      </c>
      <c r="AQ56" s="1" t="s">
        <v>274</v>
      </c>
      <c r="AR56" s="1">
        <v>2018</v>
      </c>
      <c r="AS56" s="1" t="s">
        <v>17</v>
      </c>
      <c r="AT56" s="1" t="s">
        <v>186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324</v>
      </c>
    </row>
    <row r="57" spans="17:53" x14ac:dyDescent="0.25">
      <c r="Q57" s="109" t="str">
        <f t="shared" si="5"/>
        <v>Janie &amp; JackJJ 19 APR SMR 1</v>
      </c>
      <c r="R57" s="27" t="str">
        <f t="shared" si="6"/>
        <v>2018Janie &amp; JackSpring</v>
      </c>
      <c r="S57" s="393">
        <v>2018</v>
      </c>
      <c r="T57" s="394" t="s">
        <v>30</v>
      </c>
      <c r="U57" s="394" t="s">
        <v>15</v>
      </c>
      <c r="V57" s="394" t="s">
        <v>437</v>
      </c>
      <c r="W57" s="394"/>
      <c r="X57" s="343">
        <f t="shared" si="7"/>
        <v>1</v>
      </c>
      <c r="Y57" s="22"/>
      <c r="AG57" s="27" t="str">
        <f t="shared" si="3"/>
        <v>Janie &amp; JackRetailUSA3</v>
      </c>
      <c r="AH57" s="1" t="s">
        <v>30</v>
      </c>
      <c r="AI57" s="1" t="s">
        <v>5</v>
      </c>
      <c r="AJ57" s="1" t="s">
        <v>274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30</v>
      </c>
      <c r="AP57" s="1" t="s">
        <v>5</v>
      </c>
      <c r="AQ57" s="1" t="s">
        <v>274</v>
      </c>
      <c r="AR57" s="1">
        <v>2018</v>
      </c>
      <c r="AS57" s="1" t="s">
        <v>17</v>
      </c>
      <c r="AT57" s="1" t="s">
        <v>191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192</v>
      </c>
    </row>
    <row r="58" spans="17:53" x14ac:dyDescent="0.25">
      <c r="Q58" s="109" t="str">
        <f t="shared" si="5"/>
        <v>Janie &amp; JackJJ 19 DEC RESORT 2</v>
      </c>
      <c r="R58" s="27" t="str">
        <f t="shared" si="6"/>
        <v>2018Janie &amp; JackSpring</v>
      </c>
      <c r="S58" s="393">
        <v>2018</v>
      </c>
      <c r="T58" s="394" t="s">
        <v>30</v>
      </c>
      <c r="U58" s="394" t="s">
        <v>15</v>
      </c>
      <c r="V58" s="394" t="s">
        <v>438</v>
      </c>
      <c r="W58" s="394"/>
      <c r="X58" s="343">
        <f t="shared" si="7"/>
        <v>1</v>
      </c>
      <c r="Y58" s="22"/>
      <c r="AG58" s="27" t="str">
        <f t="shared" si="3"/>
        <v>Janie &amp; JackRetailUSA4</v>
      </c>
      <c r="AH58" s="1" t="s">
        <v>30</v>
      </c>
      <c r="AI58" s="1" t="s">
        <v>5</v>
      </c>
      <c r="AJ58" s="1" t="s">
        <v>274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30</v>
      </c>
      <c r="AP58" s="1" t="s">
        <v>5</v>
      </c>
      <c r="AQ58" s="1" t="s">
        <v>274</v>
      </c>
      <c r="AR58" s="1">
        <v>2018</v>
      </c>
      <c r="AS58" s="1" t="s">
        <v>17</v>
      </c>
      <c r="AT58" s="1" t="s">
        <v>193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194</v>
      </c>
    </row>
    <row r="59" spans="17:53" x14ac:dyDescent="0.25">
      <c r="Q59" s="109" t="str">
        <f t="shared" si="5"/>
        <v>Janie &amp; JackJJ 19 DEC VDAY</v>
      </c>
      <c r="R59" s="27" t="str">
        <f t="shared" si="6"/>
        <v>2018Janie &amp; JackSpring</v>
      </c>
      <c r="S59" s="393">
        <v>2018</v>
      </c>
      <c r="T59" s="394" t="s">
        <v>30</v>
      </c>
      <c r="U59" s="394" t="s">
        <v>15</v>
      </c>
      <c r="V59" s="394" t="s">
        <v>439</v>
      </c>
      <c r="W59" s="394"/>
      <c r="X59" s="343">
        <f t="shared" si="7"/>
        <v>1</v>
      </c>
      <c r="Y59" s="22"/>
      <c r="AG59" s="27" t="str">
        <f t="shared" si="3"/>
        <v>Janie &amp; JackRetailUSA5</v>
      </c>
      <c r="AH59" s="1" t="s">
        <v>30</v>
      </c>
      <c r="AI59" s="1" t="s">
        <v>5</v>
      </c>
      <c r="AJ59" s="1" t="s">
        <v>274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30</v>
      </c>
      <c r="AP59" s="1" t="s">
        <v>5</v>
      </c>
      <c r="AQ59" s="1" t="s">
        <v>274</v>
      </c>
      <c r="AR59" s="1">
        <v>2018</v>
      </c>
      <c r="AS59" s="1" t="s">
        <v>17</v>
      </c>
      <c r="AT59" s="1" t="s">
        <v>202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203</v>
      </c>
    </row>
    <row r="60" spans="17:53" x14ac:dyDescent="0.25">
      <c r="Q60" s="109" t="str">
        <f t="shared" si="5"/>
        <v>Janie &amp; JackJJ 19 FEB EASTER 1</v>
      </c>
      <c r="R60" s="27" t="str">
        <f t="shared" si="6"/>
        <v>2018Janie &amp; JackSpring</v>
      </c>
      <c r="S60" s="393">
        <v>2018</v>
      </c>
      <c r="T60" s="394" t="s">
        <v>30</v>
      </c>
      <c r="U60" s="394" t="s">
        <v>15</v>
      </c>
      <c r="V60" s="394" t="s">
        <v>440</v>
      </c>
      <c r="W60" s="394"/>
      <c r="X60" s="343">
        <f t="shared" si="7"/>
        <v>1</v>
      </c>
      <c r="Y60" s="22"/>
      <c r="AG60" s="27" t="str">
        <f t="shared" si="3"/>
        <v>Janie &amp; JackRetailUSA6</v>
      </c>
      <c r="AH60" s="1" t="s">
        <v>30</v>
      </c>
      <c r="AI60" s="1" t="s">
        <v>5</v>
      </c>
      <c r="AJ60" s="1" t="s">
        <v>274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30</v>
      </c>
      <c r="AP60" s="1" t="s">
        <v>5</v>
      </c>
      <c r="AQ60" s="1" t="s">
        <v>274</v>
      </c>
      <c r="AR60" s="1">
        <v>2018</v>
      </c>
      <c r="AS60" s="1" t="s">
        <v>17</v>
      </c>
      <c r="AT60" s="1" t="s">
        <v>195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196</v>
      </c>
    </row>
    <row r="61" spans="17:53" x14ac:dyDescent="0.25">
      <c r="Q61" s="109" t="str">
        <f t="shared" si="5"/>
        <v>Janie &amp; JackJJ 19 FEB JJ SPORT</v>
      </c>
      <c r="R61" s="27" t="str">
        <f t="shared" si="6"/>
        <v>2018Janie &amp; JackSpring</v>
      </c>
      <c r="S61" s="393">
        <v>2018</v>
      </c>
      <c r="T61" s="394" t="s">
        <v>30</v>
      </c>
      <c r="U61" s="394" t="s">
        <v>15</v>
      </c>
      <c r="V61" s="394" t="s">
        <v>441</v>
      </c>
      <c r="W61" s="394"/>
      <c r="X61" s="343">
        <f t="shared" si="7"/>
        <v>1</v>
      </c>
      <c r="Y61" s="22"/>
      <c r="AG61" s="27" t="str">
        <f t="shared" si="3"/>
        <v>Janie &amp; JackRetailUSA7</v>
      </c>
      <c r="AH61" s="1" t="s">
        <v>30</v>
      </c>
      <c r="AI61" s="1" t="s">
        <v>5</v>
      </c>
      <c r="AJ61" s="1" t="s">
        <v>274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30</v>
      </c>
      <c r="AP61" s="1" t="s">
        <v>5</v>
      </c>
      <c r="AQ61" s="1" t="s">
        <v>274</v>
      </c>
      <c r="AR61" s="1">
        <v>2018</v>
      </c>
      <c r="AS61" s="1" t="s">
        <v>17</v>
      </c>
      <c r="AT61" s="1" t="s">
        <v>312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324</v>
      </c>
    </row>
    <row r="62" spans="17:53" x14ac:dyDescent="0.25">
      <c r="Q62" s="109" t="str">
        <f t="shared" si="5"/>
        <v>Janie &amp; JackJJ 19 FEB SPR 2</v>
      </c>
      <c r="R62" s="27" t="str">
        <f t="shared" si="6"/>
        <v>2018Janie &amp; JackSpring</v>
      </c>
      <c r="S62" s="393">
        <v>2018</v>
      </c>
      <c r="T62" s="394" t="s">
        <v>30</v>
      </c>
      <c r="U62" s="394" t="s">
        <v>15</v>
      </c>
      <c r="V62" s="394" t="s">
        <v>442</v>
      </c>
      <c r="W62" s="394"/>
      <c r="X62" s="343">
        <f t="shared" si="7"/>
        <v>1</v>
      </c>
      <c r="Y62" s="22"/>
      <c r="AG62" s="27" t="str">
        <f t="shared" si="3"/>
        <v>Janie &amp; JackRetailUSA8</v>
      </c>
      <c r="AH62" s="1" t="s">
        <v>30</v>
      </c>
      <c r="AI62" s="1" t="s">
        <v>5</v>
      </c>
      <c r="AJ62" s="1" t="s">
        <v>274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30</v>
      </c>
      <c r="AP62" s="1" t="s">
        <v>5</v>
      </c>
      <c r="AQ62" s="1" t="s">
        <v>274</v>
      </c>
      <c r="AR62" s="1">
        <v>2018</v>
      </c>
      <c r="AS62" s="1" t="s">
        <v>17</v>
      </c>
      <c r="AT62" s="1" t="s">
        <v>197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198</v>
      </c>
    </row>
    <row r="63" spans="17:53" x14ac:dyDescent="0.25">
      <c r="Q63" s="109" t="str">
        <f t="shared" si="5"/>
        <v>Janie &amp; JackJJ 19 JAN SPRING 1</v>
      </c>
      <c r="R63" s="27" t="str">
        <f t="shared" si="6"/>
        <v>2018Janie &amp; JackSpring</v>
      </c>
      <c r="S63" s="393">
        <v>2018</v>
      </c>
      <c r="T63" s="394" t="s">
        <v>30</v>
      </c>
      <c r="U63" s="394" t="s">
        <v>15</v>
      </c>
      <c r="V63" s="394" t="s">
        <v>443</v>
      </c>
      <c r="W63" s="394"/>
      <c r="X63" s="343">
        <f t="shared" si="7"/>
        <v>1</v>
      </c>
      <c r="Y63" s="22"/>
      <c r="AG63" s="27" t="str">
        <f t="shared" si="3"/>
        <v>Janie &amp; JackRetailUSA9</v>
      </c>
      <c r="AH63" s="1" t="s">
        <v>30</v>
      </c>
      <c r="AI63" s="1" t="s">
        <v>5</v>
      </c>
      <c r="AJ63" s="1" t="s">
        <v>274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30</v>
      </c>
      <c r="AP63" s="1" t="s">
        <v>5</v>
      </c>
      <c r="AQ63" s="1" t="s">
        <v>274</v>
      </c>
      <c r="AR63" s="1">
        <v>2018</v>
      </c>
      <c r="AS63" s="1" t="s">
        <v>17</v>
      </c>
      <c r="AT63" s="1" t="s">
        <v>199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200</v>
      </c>
    </row>
    <row r="64" spans="17:53" x14ac:dyDescent="0.25">
      <c r="Q64" s="109" t="str">
        <f t="shared" si="5"/>
        <v>Janie &amp; JackJJ 19 MAR EASTER 2</v>
      </c>
      <c r="R64" s="27" t="str">
        <f t="shared" si="6"/>
        <v>2018Janie &amp; JackSpring</v>
      </c>
      <c r="S64" s="393">
        <v>2018</v>
      </c>
      <c r="T64" s="394" t="s">
        <v>30</v>
      </c>
      <c r="U64" s="394" t="s">
        <v>15</v>
      </c>
      <c r="V64" s="394" t="s">
        <v>444</v>
      </c>
      <c r="W64" s="394"/>
      <c r="X64" s="343">
        <f t="shared" si="7"/>
        <v>1</v>
      </c>
      <c r="Y64" s="22"/>
      <c r="AG64" s="27" t="str">
        <f t="shared" si="3"/>
        <v>Janie &amp; JackRetailUSA10</v>
      </c>
      <c r="AH64" s="1" t="s">
        <v>30</v>
      </c>
      <c r="AI64" s="1" t="s">
        <v>5</v>
      </c>
      <c r="AJ64" s="1" t="s">
        <v>274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30</v>
      </c>
      <c r="AP64" s="1" t="s">
        <v>5</v>
      </c>
      <c r="AQ64" s="1" t="s">
        <v>274</v>
      </c>
      <c r="AR64" s="1">
        <v>2018</v>
      </c>
      <c r="AS64" s="1" t="s">
        <v>17</v>
      </c>
      <c r="AT64" s="1" t="s">
        <v>140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141</v>
      </c>
    </row>
    <row r="65" spans="17:53" x14ac:dyDescent="0.25">
      <c r="Q65" s="109" t="str">
        <f t="shared" si="5"/>
        <v>Janie &amp; JackJJ 19 MAR SUMMER 0</v>
      </c>
      <c r="R65" s="27" t="str">
        <f t="shared" si="6"/>
        <v>2018Janie &amp; JackSpring</v>
      </c>
      <c r="S65" s="393">
        <v>2018</v>
      </c>
      <c r="T65" s="394" t="s">
        <v>30</v>
      </c>
      <c r="U65" s="394" t="s">
        <v>15</v>
      </c>
      <c r="V65" s="394" t="s">
        <v>445</v>
      </c>
      <c r="W65" s="394"/>
      <c r="X65" s="343">
        <f t="shared" si="7"/>
        <v>1</v>
      </c>
      <c r="Y65" s="22"/>
      <c r="AG65" s="27" t="str">
        <f t="shared" si="3"/>
        <v>Janie &amp; JackRetailUSA11</v>
      </c>
      <c r="AH65" s="1" t="s">
        <v>30</v>
      </c>
      <c r="AI65" s="1" t="s">
        <v>5</v>
      </c>
      <c r="AJ65" s="1" t="s">
        <v>274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30</v>
      </c>
      <c r="AP65" s="1" t="s">
        <v>5</v>
      </c>
      <c r="AQ65" s="1" t="s">
        <v>274</v>
      </c>
      <c r="AR65" s="1">
        <v>2018</v>
      </c>
      <c r="AS65" s="1" t="s">
        <v>17</v>
      </c>
      <c r="AT65" s="1" t="s">
        <v>166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324</v>
      </c>
    </row>
    <row r="66" spans="17:53" x14ac:dyDescent="0.25">
      <c r="Q66" s="109" t="str">
        <f t="shared" ref="Q66:Q97" si="8">T66&amp;V66</f>
        <v>Janie &amp; JackJJ 19 SMR BASICS</v>
      </c>
      <c r="R66" s="27" t="str">
        <f t="shared" ref="R66:R97" si="9">S66&amp;T66&amp;U66</f>
        <v>2018Janie &amp; JackSpring</v>
      </c>
      <c r="S66" s="393">
        <v>2018</v>
      </c>
      <c r="T66" s="394" t="s">
        <v>30</v>
      </c>
      <c r="U66" s="394" t="s">
        <v>15</v>
      </c>
      <c r="V66" s="394" t="s">
        <v>446</v>
      </c>
      <c r="W66" s="394"/>
      <c r="X66" s="343">
        <f t="shared" ref="X66:X97" si="10">MATCH(U66,ListSeason,0)</f>
        <v>1</v>
      </c>
      <c r="Y66" s="22"/>
      <c r="AG66" s="27" t="str">
        <f t="shared" si="3"/>
        <v>Janie &amp; JackRetailUSA12</v>
      </c>
      <c r="AH66" s="1" t="s">
        <v>30</v>
      </c>
      <c r="AI66" s="1" t="s">
        <v>5</v>
      </c>
      <c r="AJ66" s="1" t="s">
        <v>274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30</v>
      </c>
      <c r="AP66" s="1" t="s">
        <v>5</v>
      </c>
      <c r="AQ66" s="1" t="s">
        <v>274</v>
      </c>
      <c r="AR66" s="1">
        <v>2018</v>
      </c>
      <c r="AS66" s="1" t="s">
        <v>17</v>
      </c>
      <c r="AT66" s="1" t="s">
        <v>164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165</v>
      </c>
    </row>
    <row r="67" spans="17:53" x14ac:dyDescent="0.25">
      <c r="Q67" s="109" t="str">
        <f t="shared" si="8"/>
        <v>Janie &amp; JackJJ 18 AERIN HEIRLOOM</v>
      </c>
      <c r="R67" s="27" t="str">
        <f t="shared" si="9"/>
        <v>2018Janie &amp; JackFall</v>
      </c>
      <c r="S67" s="393">
        <v>2018</v>
      </c>
      <c r="T67" s="394" t="s">
        <v>30</v>
      </c>
      <c r="U67" s="394" t="s">
        <v>31</v>
      </c>
      <c r="V67" s="394" t="s">
        <v>422</v>
      </c>
      <c r="W67" s="394"/>
      <c r="X67" s="343">
        <f t="shared" si="10"/>
        <v>3</v>
      </c>
      <c r="Y67" s="22"/>
      <c r="AG67" s="27" t="str">
        <f t="shared" ref="AG67:AG131" si="11">AH67&amp;AI67&amp;AJ67&amp;AK67</f>
        <v>Janie &amp; JackRetailUSA13</v>
      </c>
      <c r="AH67" s="1" t="s">
        <v>30</v>
      </c>
      <c r="AI67" s="1" t="s">
        <v>5</v>
      </c>
      <c r="AJ67" s="1" t="s">
        <v>274</v>
      </c>
      <c r="AK67" s="1">
        <v>13</v>
      </c>
      <c r="AL67" s="19">
        <v>0.46</v>
      </c>
      <c r="AN67" s="109" t="str">
        <f t="shared" ref="AN67:AN131" si="12">AO67&amp;AQ67&amp;AP67&amp;AT67</f>
        <v>Janie &amp; JackUSARetailJJ 18 JULY TRANS 3</v>
      </c>
      <c r="AO67" s="1" t="s">
        <v>30</v>
      </c>
      <c r="AP67" s="1" t="s">
        <v>5</v>
      </c>
      <c r="AQ67" s="1" t="s">
        <v>274</v>
      </c>
      <c r="AR67" s="1">
        <v>2018</v>
      </c>
      <c r="AS67" s="1" t="s">
        <v>17</v>
      </c>
      <c r="AT67" s="1" t="s">
        <v>142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143</v>
      </c>
    </row>
    <row r="68" spans="17:53" x14ac:dyDescent="0.25">
      <c r="Q68" s="109" t="str">
        <f t="shared" si="8"/>
        <v>Janie &amp; JackJJ 18 AUG FALL 1</v>
      </c>
      <c r="R68" s="27" t="str">
        <f t="shared" si="9"/>
        <v>2018Janie &amp; JackFall</v>
      </c>
      <c r="S68" s="393">
        <v>2018</v>
      </c>
      <c r="T68" s="394" t="s">
        <v>30</v>
      </c>
      <c r="U68" s="394" t="s">
        <v>31</v>
      </c>
      <c r="V68" s="394" t="s">
        <v>408</v>
      </c>
      <c r="W68" s="394"/>
      <c r="X68" s="343">
        <f t="shared" si="10"/>
        <v>3</v>
      </c>
      <c r="Y68" s="22"/>
      <c r="AG68" s="27" t="str">
        <f t="shared" si="11"/>
        <v>Janie &amp; JackRetailUSA14</v>
      </c>
      <c r="AH68" s="1" t="s">
        <v>30</v>
      </c>
      <c r="AI68" s="1" t="s">
        <v>5</v>
      </c>
      <c r="AJ68" s="1" t="s">
        <v>274</v>
      </c>
      <c r="AK68" s="1">
        <v>14</v>
      </c>
      <c r="AL68" s="19">
        <v>0.43</v>
      </c>
      <c r="AN68" s="109" t="str">
        <f t="shared" si="12"/>
        <v>Janie &amp; JackUSARetailJJ 18 JUN JJ SPORT</v>
      </c>
      <c r="AO68" s="1" t="s">
        <v>30</v>
      </c>
      <c r="AP68" s="1" t="s">
        <v>5</v>
      </c>
      <c r="AQ68" s="1" t="s">
        <v>274</v>
      </c>
      <c r="AR68" s="1">
        <v>2018</v>
      </c>
      <c r="AS68" s="1" t="s">
        <v>17</v>
      </c>
      <c r="AT68" s="1" t="s">
        <v>201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324</v>
      </c>
    </row>
    <row r="69" spans="17:53" x14ac:dyDescent="0.25">
      <c r="Q69" s="109" t="str">
        <f t="shared" si="8"/>
        <v>Janie &amp; JackJJ 18 AUG HALLOWEEN</v>
      </c>
      <c r="R69" s="27" t="str">
        <f t="shared" si="9"/>
        <v>2018Janie &amp; JackFall</v>
      </c>
      <c r="S69" s="393">
        <v>2018</v>
      </c>
      <c r="T69" s="394" t="s">
        <v>30</v>
      </c>
      <c r="U69" s="394" t="s">
        <v>31</v>
      </c>
      <c r="V69" s="394" t="s">
        <v>409</v>
      </c>
      <c r="W69" s="394"/>
      <c r="X69" s="343">
        <f t="shared" si="10"/>
        <v>3</v>
      </c>
      <c r="Y69" s="22"/>
      <c r="AG69" s="27" t="str">
        <f t="shared" si="11"/>
        <v>Janie &amp; JackRetailUSA15</v>
      </c>
      <c r="AH69" s="1" t="s">
        <v>30</v>
      </c>
      <c r="AI69" s="1" t="s">
        <v>5</v>
      </c>
      <c r="AJ69" s="1" t="s">
        <v>274</v>
      </c>
      <c r="AK69" s="1">
        <v>15</v>
      </c>
      <c r="AL69" s="19">
        <v>0.46</v>
      </c>
      <c r="AN69" s="109" t="str">
        <f t="shared" si="12"/>
        <v>Janie &amp; JackUSARetailJJ 18 JULY FALL GIFT LAY</v>
      </c>
      <c r="AO69" s="1" t="s">
        <v>30</v>
      </c>
      <c r="AP69" s="1" t="s">
        <v>5</v>
      </c>
      <c r="AQ69" s="1" t="s">
        <v>274</v>
      </c>
      <c r="AR69" s="1">
        <v>2018</v>
      </c>
      <c r="AS69" s="1" t="s">
        <v>17</v>
      </c>
      <c r="AT69" s="1" t="s">
        <v>146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308</v>
      </c>
    </row>
    <row r="70" spans="17:53" x14ac:dyDescent="0.25">
      <c r="Q70" s="109" t="str">
        <f t="shared" si="8"/>
        <v>Janie &amp; JackJJ 18 AUG SPORT</v>
      </c>
      <c r="R70" s="27" t="str">
        <f t="shared" si="9"/>
        <v>2018Janie &amp; JackFall</v>
      </c>
      <c r="S70" s="393">
        <v>2018</v>
      </c>
      <c r="T70" s="394" t="s">
        <v>30</v>
      </c>
      <c r="U70" s="394" t="s">
        <v>31</v>
      </c>
      <c r="V70" s="394" t="s">
        <v>410</v>
      </c>
      <c r="W70" s="394"/>
      <c r="X70" s="343">
        <f t="shared" si="10"/>
        <v>3</v>
      </c>
      <c r="Y70" s="22"/>
      <c r="AG70" s="27" t="str">
        <f t="shared" si="11"/>
        <v>Janie &amp; JackRetailUSA16</v>
      </c>
      <c r="AH70" s="1" t="s">
        <v>30</v>
      </c>
      <c r="AI70" s="1" t="s">
        <v>5</v>
      </c>
      <c r="AJ70" s="1" t="s">
        <v>274</v>
      </c>
      <c r="AK70" s="1">
        <v>16</v>
      </c>
      <c r="AL70" s="19">
        <v>0.49</v>
      </c>
      <c r="AN70" s="109" t="str">
        <f t="shared" si="12"/>
        <v>Janie &amp; JackUSAWebJJ 3RD PARTY</v>
      </c>
      <c r="AO70" s="1" t="s">
        <v>30</v>
      </c>
      <c r="AP70" s="1" t="s">
        <v>14</v>
      </c>
      <c r="AQ70" s="1" t="s">
        <v>274</v>
      </c>
      <c r="AR70" s="1">
        <v>2018</v>
      </c>
      <c r="AS70" s="1" t="s">
        <v>33</v>
      </c>
      <c r="AT70" s="1" t="s">
        <v>270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270</v>
      </c>
    </row>
    <row r="71" spans="17:53" x14ac:dyDescent="0.25">
      <c r="Q71" s="109" t="str">
        <f t="shared" si="8"/>
        <v>Janie &amp; JackJJ 18 FAL BASICS</v>
      </c>
      <c r="R71" s="27" t="str">
        <f t="shared" si="9"/>
        <v>2018Janie &amp; JackFall</v>
      </c>
      <c r="S71" s="393">
        <v>2018</v>
      </c>
      <c r="T71" s="394" t="s">
        <v>30</v>
      </c>
      <c r="U71" s="394" t="s">
        <v>31</v>
      </c>
      <c r="V71" s="394" t="s">
        <v>411</v>
      </c>
      <c r="W71" s="394"/>
      <c r="X71" s="343">
        <f t="shared" si="10"/>
        <v>3</v>
      </c>
      <c r="Y71" s="22"/>
      <c r="AG71" s="27" t="str">
        <f t="shared" si="11"/>
        <v>Janie &amp; JackRetailUSA17</v>
      </c>
      <c r="AH71" s="1" t="s">
        <v>30</v>
      </c>
      <c r="AI71" s="1" t="s">
        <v>5</v>
      </c>
      <c r="AJ71" s="1" t="s">
        <v>274</v>
      </c>
      <c r="AK71" s="1">
        <v>17</v>
      </c>
      <c r="AL71" s="19">
        <v>0.52</v>
      </c>
      <c r="AN71" s="109" t="str">
        <f t="shared" si="12"/>
        <v>Janie &amp; JackUSAWebJJ 18 JULY SB2</v>
      </c>
      <c r="AO71" s="1" t="s">
        <v>30</v>
      </c>
      <c r="AP71" s="1" t="s">
        <v>14</v>
      </c>
      <c r="AQ71" s="1" t="s">
        <v>274</v>
      </c>
      <c r="AR71" s="1">
        <v>2018</v>
      </c>
      <c r="AS71" s="1" t="s">
        <v>33</v>
      </c>
      <c r="AT71" s="1" t="s">
        <v>162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163</v>
      </c>
    </row>
    <row r="72" spans="17:53" x14ac:dyDescent="0.25">
      <c r="Q72" s="109" t="str">
        <f t="shared" si="8"/>
        <v>Janie &amp; JackJJ 18 OCT HOL GIFT</v>
      </c>
      <c r="R72" s="27" t="str">
        <f t="shared" si="9"/>
        <v>2018Janie &amp; JackFall</v>
      </c>
      <c r="S72" s="393">
        <v>2018</v>
      </c>
      <c r="T72" s="394" t="s">
        <v>30</v>
      </c>
      <c r="U72" s="394" t="s">
        <v>31</v>
      </c>
      <c r="V72" s="394" t="s">
        <v>423</v>
      </c>
      <c r="W72" s="394"/>
      <c r="X72" s="343">
        <f t="shared" si="10"/>
        <v>3</v>
      </c>
      <c r="Y72" s="22"/>
      <c r="AG72" s="27" t="str">
        <f t="shared" si="11"/>
        <v>Janie &amp; JackRetailUSA18</v>
      </c>
      <c r="AH72" s="1" t="s">
        <v>30</v>
      </c>
      <c r="AI72" s="1" t="s">
        <v>5</v>
      </c>
      <c r="AJ72" s="1" t="s">
        <v>274</v>
      </c>
      <c r="AK72" s="1">
        <v>18</v>
      </c>
      <c r="AL72" s="19">
        <v>0.54</v>
      </c>
      <c r="AN72" s="109" t="str">
        <f t="shared" si="12"/>
        <v>Janie &amp; JackUSAWebJJ 18 AUG FALL 0</v>
      </c>
      <c r="AO72" s="1" t="s">
        <v>30</v>
      </c>
      <c r="AP72" s="1" t="s">
        <v>14</v>
      </c>
      <c r="AQ72" s="1" t="s">
        <v>274</v>
      </c>
      <c r="AR72" s="1">
        <v>2018</v>
      </c>
      <c r="AS72" s="1" t="s">
        <v>31</v>
      </c>
      <c r="AT72" s="1" t="s">
        <v>144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145</v>
      </c>
    </row>
    <row r="73" spans="17:53" x14ac:dyDescent="0.25">
      <c r="Q73" s="109" t="str">
        <f t="shared" si="8"/>
        <v>Janie &amp; JackJJ 18 OCT HOL GIFT LAY</v>
      </c>
      <c r="R73" s="27" t="str">
        <f t="shared" si="9"/>
        <v>2018Janie &amp; JackFall</v>
      </c>
      <c r="S73" s="393">
        <v>2018</v>
      </c>
      <c r="T73" s="394" t="s">
        <v>30</v>
      </c>
      <c r="U73" s="394" t="s">
        <v>31</v>
      </c>
      <c r="V73" s="394" t="s">
        <v>424</v>
      </c>
      <c r="W73" s="394"/>
      <c r="X73" s="343">
        <f t="shared" si="10"/>
        <v>3</v>
      </c>
      <c r="Y73" s="22"/>
      <c r="AG73" s="27" t="str">
        <f t="shared" si="11"/>
        <v>Janie &amp; JackRetailUSA19</v>
      </c>
      <c r="AH73" s="1" t="s">
        <v>30</v>
      </c>
      <c r="AI73" s="1" t="s">
        <v>5</v>
      </c>
      <c r="AJ73" s="1" t="s">
        <v>274</v>
      </c>
      <c r="AK73" s="1">
        <v>19</v>
      </c>
      <c r="AL73" s="19">
        <v>0.56000000000000005</v>
      </c>
      <c r="AN73" s="109" t="str">
        <f t="shared" si="12"/>
        <v>Janie &amp; JackUSAWebJJ 18 LAY SIGNATURE 1</v>
      </c>
      <c r="AO73" s="1" t="s">
        <v>30</v>
      </c>
      <c r="AP73" s="1" t="s">
        <v>14</v>
      </c>
      <c r="AQ73" s="1" t="s">
        <v>274</v>
      </c>
      <c r="AR73" s="1">
        <v>2018</v>
      </c>
      <c r="AS73" s="1" t="s">
        <v>15</v>
      </c>
      <c r="AT73" s="1" t="s">
        <v>159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324</v>
      </c>
    </row>
    <row r="74" spans="17:53" x14ac:dyDescent="0.25">
      <c r="Q74" s="109" t="str">
        <f t="shared" si="8"/>
        <v>Janie &amp; JackJJ 18 OCT HOLIDAY 2</v>
      </c>
      <c r="R74" s="27" t="str">
        <f t="shared" si="9"/>
        <v>2018Janie &amp; JackFall</v>
      </c>
      <c r="S74" s="393">
        <v>2018</v>
      </c>
      <c r="T74" s="394" t="s">
        <v>30</v>
      </c>
      <c r="U74" s="394" t="s">
        <v>31</v>
      </c>
      <c r="V74" s="394" t="s">
        <v>425</v>
      </c>
      <c r="W74" s="394"/>
      <c r="X74" s="343">
        <f t="shared" si="10"/>
        <v>3</v>
      </c>
      <c r="Y74" s="22"/>
      <c r="AG74" s="27" t="str">
        <f t="shared" si="11"/>
        <v>Janie &amp; JackRetailUSA20</v>
      </c>
      <c r="AH74" s="1" t="s">
        <v>30</v>
      </c>
      <c r="AI74" s="1" t="s">
        <v>5</v>
      </c>
      <c r="AJ74" s="1" t="s">
        <v>274</v>
      </c>
      <c r="AK74" s="1">
        <v>20</v>
      </c>
      <c r="AL74" s="19">
        <v>0.56999999999999995</v>
      </c>
      <c r="AN74" s="109" t="str">
        <f t="shared" si="12"/>
        <v>Janie &amp; JackUSAWebJJ 18 DEC SWIM</v>
      </c>
      <c r="AO74" s="1" t="s">
        <v>30</v>
      </c>
      <c r="AP74" s="1" t="s">
        <v>14</v>
      </c>
      <c r="AQ74" s="1" t="s">
        <v>274</v>
      </c>
      <c r="AR74" s="1">
        <v>2018</v>
      </c>
      <c r="AS74" s="1" t="s">
        <v>15</v>
      </c>
      <c r="AT74" s="1" t="s">
        <v>147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148</v>
      </c>
    </row>
    <row r="75" spans="17:53" x14ac:dyDescent="0.25">
      <c r="Q75" s="109" t="str">
        <f t="shared" si="8"/>
        <v>Janie &amp; JackJJ 18 SEPT FALL 2</v>
      </c>
      <c r="R75" s="27" t="str">
        <f t="shared" si="9"/>
        <v>2018Janie &amp; JackFall</v>
      </c>
      <c r="S75" s="393">
        <v>2018</v>
      </c>
      <c r="T75" s="394" t="s">
        <v>30</v>
      </c>
      <c r="U75" s="394" t="s">
        <v>31</v>
      </c>
      <c r="V75" s="394" t="s">
        <v>412</v>
      </c>
      <c r="W75" s="394"/>
      <c r="X75" s="343">
        <f t="shared" si="10"/>
        <v>3</v>
      </c>
      <c r="Y75" s="22"/>
      <c r="AG75" s="27" t="str">
        <f t="shared" si="11"/>
        <v>Janie &amp; JackRetailUSA21</v>
      </c>
      <c r="AH75" s="1" t="s">
        <v>30</v>
      </c>
      <c r="AI75" s="1" t="s">
        <v>5</v>
      </c>
      <c r="AJ75" s="1" t="s">
        <v>274</v>
      </c>
      <c r="AK75" s="1">
        <v>21</v>
      </c>
      <c r="AL75" s="19">
        <v>0.55000000000000004</v>
      </c>
      <c r="AN75" s="109" t="str">
        <f t="shared" si="12"/>
        <v>Janie &amp; JackUSAWebJJ 18 DEC VDAY</v>
      </c>
      <c r="AO75" s="1" t="s">
        <v>30</v>
      </c>
      <c r="AP75" s="1" t="s">
        <v>14</v>
      </c>
      <c r="AQ75" s="1" t="s">
        <v>274</v>
      </c>
      <c r="AR75" s="1">
        <v>2018</v>
      </c>
      <c r="AS75" s="1" t="s">
        <v>15</v>
      </c>
      <c r="AT75" s="1" t="s">
        <v>169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170</v>
      </c>
    </row>
    <row r="76" spans="17:53" x14ac:dyDescent="0.25">
      <c r="Q76" s="109" t="str">
        <f t="shared" si="8"/>
        <v>Janie &amp; JackJJ 18 SEPT FALL 3</v>
      </c>
      <c r="R76" s="27" t="str">
        <f t="shared" si="9"/>
        <v>2018Janie &amp; JackFall</v>
      </c>
      <c r="S76" s="393">
        <v>2018</v>
      </c>
      <c r="T76" s="394" t="s">
        <v>30</v>
      </c>
      <c r="U76" s="394" t="s">
        <v>31</v>
      </c>
      <c r="V76" s="394" t="s">
        <v>413</v>
      </c>
      <c r="W76" s="394"/>
      <c r="X76" s="343">
        <f t="shared" si="10"/>
        <v>3</v>
      </c>
      <c r="Y76" s="22"/>
      <c r="AG76" s="27" t="str">
        <f t="shared" si="11"/>
        <v>Janie &amp; JackRetailUSA22</v>
      </c>
      <c r="AH76" s="1" t="s">
        <v>30</v>
      </c>
      <c r="AI76" s="1" t="s">
        <v>5</v>
      </c>
      <c r="AJ76" s="1" t="s">
        <v>274</v>
      </c>
      <c r="AK76" s="1">
        <v>22</v>
      </c>
      <c r="AL76" s="19">
        <v>0.56999999999999995</v>
      </c>
      <c r="AN76" s="109" t="str">
        <f t="shared" si="12"/>
        <v>Janie &amp; JackUSAWebJJ 18 DEC RESORT 2</v>
      </c>
      <c r="AO76" s="1" t="s">
        <v>30</v>
      </c>
      <c r="AP76" s="1" t="s">
        <v>14</v>
      </c>
      <c r="AQ76" s="1" t="s">
        <v>274</v>
      </c>
      <c r="AR76" s="1">
        <v>2018</v>
      </c>
      <c r="AS76" s="1" t="s">
        <v>15</v>
      </c>
      <c r="AT76" s="1" t="s">
        <v>171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172</v>
      </c>
    </row>
    <row r="77" spans="17:53" x14ac:dyDescent="0.25">
      <c r="Q77" s="109" t="str">
        <f t="shared" si="8"/>
        <v>Janie &amp; JackJJ 18 SEPT FALL TIER</v>
      </c>
      <c r="R77" s="27" t="str">
        <f t="shared" si="9"/>
        <v>2018Janie &amp; JackFall</v>
      </c>
      <c r="S77" s="393">
        <v>2018</v>
      </c>
      <c r="T77" s="394" t="s">
        <v>30</v>
      </c>
      <c r="U77" s="394" t="s">
        <v>31</v>
      </c>
      <c r="V77" s="394" t="s">
        <v>414</v>
      </c>
      <c r="W77" s="394"/>
      <c r="X77" s="343">
        <f t="shared" si="10"/>
        <v>3</v>
      </c>
      <c r="Y77" s="22"/>
      <c r="AG77" s="27" t="str">
        <f t="shared" si="11"/>
        <v>Janie &amp; JackRetailUSA23</v>
      </c>
      <c r="AH77" s="1" t="s">
        <v>30</v>
      </c>
      <c r="AI77" s="1" t="s">
        <v>5</v>
      </c>
      <c r="AJ77" s="1" t="s">
        <v>274</v>
      </c>
      <c r="AK77" s="1">
        <v>23</v>
      </c>
      <c r="AL77" s="19">
        <v>0.62</v>
      </c>
      <c r="AN77" s="109" t="str">
        <f t="shared" si="12"/>
        <v>Janie &amp; JackUSAWebJJ 18 JAN SPRING TRANS</v>
      </c>
      <c r="AO77" s="1" t="s">
        <v>30</v>
      </c>
      <c r="AP77" s="1" t="s">
        <v>14</v>
      </c>
      <c r="AQ77" s="1" t="s">
        <v>274</v>
      </c>
      <c r="AR77" s="1">
        <v>2018</v>
      </c>
      <c r="AS77" s="1" t="s">
        <v>15</v>
      </c>
      <c r="AT77" s="1" t="s">
        <v>177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178</v>
      </c>
    </row>
    <row r="78" spans="17:53" x14ac:dyDescent="0.25">
      <c r="Q78" s="109" t="str">
        <f t="shared" si="8"/>
        <v>Janie &amp; JackJJ 18 SEPT HOLIDAY 1</v>
      </c>
      <c r="R78" s="27" t="str">
        <f t="shared" si="9"/>
        <v>2018Janie &amp; JackFall</v>
      </c>
      <c r="S78" s="393">
        <v>2018</v>
      </c>
      <c r="T78" s="394" t="s">
        <v>30</v>
      </c>
      <c r="U78" s="394" t="s">
        <v>31</v>
      </c>
      <c r="V78" s="394" t="s">
        <v>426</v>
      </c>
      <c r="W78" s="394"/>
      <c r="X78" s="343">
        <f t="shared" si="10"/>
        <v>3</v>
      </c>
      <c r="Y78" s="22"/>
      <c r="AG78" s="27" t="str">
        <f t="shared" si="11"/>
        <v>Janie &amp; JackRetailUSA24</v>
      </c>
      <c r="AH78" s="1" t="s">
        <v>30</v>
      </c>
      <c r="AI78" s="1" t="s">
        <v>5</v>
      </c>
      <c r="AJ78" s="1" t="s">
        <v>274</v>
      </c>
      <c r="AK78" s="1">
        <v>24</v>
      </c>
      <c r="AL78" s="19">
        <v>0.63</v>
      </c>
      <c r="AN78" s="109" t="str">
        <f t="shared" si="12"/>
        <v>Janie &amp; JackUSAWebJJ 18 SB1</v>
      </c>
      <c r="AO78" s="1" t="s">
        <v>30</v>
      </c>
      <c r="AP78" s="1" t="s">
        <v>14</v>
      </c>
      <c r="AQ78" s="1" t="s">
        <v>274</v>
      </c>
      <c r="AR78" s="1">
        <v>2018</v>
      </c>
      <c r="AS78" s="1" t="s">
        <v>15</v>
      </c>
      <c r="AT78" s="1" t="s">
        <v>149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150</v>
      </c>
    </row>
    <row r="79" spans="17:53" x14ac:dyDescent="0.25">
      <c r="Q79" s="109" t="str">
        <f t="shared" si="8"/>
        <v>Janie &amp; JackJJ 18 SEPT SWIM</v>
      </c>
      <c r="R79" s="27" t="str">
        <f t="shared" si="9"/>
        <v>2018Janie &amp; JackFall</v>
      </c>
      <c r="S79" s="393">
        <v>2018</v>
      </c>
      <c r="T79" s="394" t="s">
        <v>30</v>
      </c>
      <c r="U79" s="394" t="s">
        <v>31</v>
      </c>
      <c r="V79" s="394" t="s">
        <v>415</v>
      </c>
      <c r="W79" s="394"/>
      <c r="X79" s="343">
        <f t="shared" si="10"/>
        <v>3</v>
      </c>
      <c r="Y79" s="22"/>
      <c r="AG79" s="27" t="str">
        <f t="shared" si="11"/>
        <v>Janie &amp; JackRetailUSA25</v>
      </c>
      <c r="AH79" s="1" t="s">
        <v>30</v>
      </c>
      <c r="AI79" s="1" t="s">
        <v>5</v>
      </c>
      <c r="AJ79" s="1" t="s">
        <v>274</v>
      </c>
      <c r="AK79" s="1">
        <v>25</v>
      </c>
      <c r="AL79" s="19">
        <v>0.62</v>
      </c>
      <c r="AN79" s="109" t="str">
        <f t="shared" si="12"/>
        <v>Janie &amp; JackUSAWebJJ 18 SWIM 2</v>
      </c>
      <c r="AO79" s="1" t="s">
        <v>30</v>
      </c>
      <c r="AP79" s="1" t="s">
        <v>14</v>
      </c>
      <c r="AQ79" s="1" t="s">
        <v>274</v>
      </c>
      <c r="AR79" s="1">
        <v>2018</v>
      </c>
      <c r="AS79" s="1" t="s">
        <v>15</v>
      </c>
      <c r="AT79" s="1" t="s">
        <v>151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152</v>
      </c>
    </row>
    <row r="80" spans="17:53" x14ac:dyDescent="0.25">
      <c r="Q80" s="109" t="str">
        <f t="shared" si="8"/>
        <v>Janie &amp; JackJJ 18 AERIN RESORT</v>
      </c>
      <c r="R80" s="27" t="str">
        <f t="shared" si="9"/>
        <v>2018Janie &amp; JackWinter</v>
      </c>
      <c r="S80" s="393">
        <v>2018</v>
      </c>
      <c r="T80" s="394" t="s">
        <v>30</v>
      </c>
      <c r="U80" s="394" t="s">
        <v>32</v>
      </c>
      <c r="V80" s="394" t="s">
        <v>447</v>
      </c>
      <c r="W80" s="394"/>
      <c r="X80" s="343">
        <f t="shared" si="10"/>
        <v>4</v>
      </c>
      <c r="Y80" s="22"/>
      <c r="AG80" s="27" t="str">
        <f t="shared" si="11"/>
        <v>Janie &amp; JackRetailUSA26</v>
      </c>
      <c r="AH80" s="1" t="s">
        <v>30</v>
      </c>
      <c r="AI80" s="1" t="s">
        <v>5</v>
      </c>
      <c r="AJ80" s="1" t="s">
        <v>274</v>
      </c>
      <c r="AK80" s="1">
        <v>26</v>
      </c>
      <c r="AL80" s="19">
        <v>0.64</v>
      </c>
      <c r="AN80" s="109" t="str">
        <f t="shared" si="12"/>
        <v>Janie &amp; JackUSAWebJJ 18 JAN SPR GIFTING LAY</v>
      </c>
      <c r="AO80" s="1" t="s">
        <v>30</v>
      </c>
      <c r="AP80" s="1" t="s">
        <v>14</v>
      </c>
      <c r="AQ80" s="1" t="s">
        <v>274</v>
      </c>
      <c r="AR80" s="1">
        <v>2018</v>
      </c>
      <c r="AS80" s="1" t="s">
        <v>15</v>
      </c>
      <c r="AT80" s="1" t="s">
        <v>181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182</v>
      </c>
    </row>
    <row r="81" spans="17:53" x14ac:dyDescent="0.25">
      <c r="Q81" s="109" t="str">
        <f t="shared" si="8"/>
        <v>Janie &amp; JackJJ 18 JUNO</v>
      </c>
      <c r="R81" s="27" t="str">
        <f t="shared" si="9"/>
        <v>2018Janie &amp; JackWinter</v>
      </c>
      <c r="S81" s="393">
        <v>2018</v>
      </c>
      <c r="T81" s="394" t="s">
        <v>30</v>
      </c>
      <c r="U81" s="394" t="s">
        <v>32</v>
      </c>
      <c r="V81" s="394" t="s">
        <v>448</v>
      </c>
      <c r="W81" s="394"/>
      <c r="X81" s="343">
        <f t="shared" si="10"/>
        <v>4</v>
      </c>
      <c r="Y81" s="22"/>
      <c r="AG81" s="27" t="str">
        <f t="shared" si="11"/>
        <v>Janie &amp; JackRetailUSA27</v>
      </c>
      <c r="AH81" s="1" t="s">
        <v>30</v>
      </c>
      <c r="AI81" s="1" t="s">
        <v>5</v>
      </c>
      <c r="AJ81" s="1" t="s">
        <v>274</v>
      </c>
      <c r="AK81" s="1">
        <v>27</v>
      </c>
      <c r="AL81" s="19">
        <v>0.65</v>
      </c>
      <c r="AN81" s="109" t="str">
        <f t="shared" si="12"/>
        <v>Janie &amp; JackUSAWebJJ 18 JAN SPRING 1</v>
      </c>
      <c r="AO81" s="1" t="s">
        <v>30</v>
      </c>
      <c r="AP81" s="1" t="s">
        <v>14</v>
      </c>
      <c r="AQ81" s="1" t="s">
        <v>274</v>
      </c>
      <c r="AR81" s="1">
        <v>2018</v>
      </c>
      <c r="AS81" s="1" t="s">
        <v>15</v>
      </c>
      <c r="AT81" s="1" t="s">
        <v>167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168</v>
      </c>
    </row>
    <row r="82" spans="17:53" x14ac:dyDescent="0.25">
      <c r="Q82" s="109" t="str">
        <f t="shared" si="8"/>
        <v>Janie &amp; JackJJ 18 NOV WINTER 1</v>
      </c>
      <c r="R82" s="27" t="str">
        <f t="shared" si="9"/>
        <v>2018Janie &amp; JackWinter</v>
      </c>
      <c r="S82" s="393">
        <v>2018</v>
      </c>
      <c r="T82" s="394" t="s">
        <v>30</v>
      </c>
      <c r="U82" s="394" t="s">
        <v>32</v>
      </c>
      <c r="V82" s="394" t="s">
        <v>449</v>
      </c>
      <c r="W82" s="394"/>
      <c r="X82" s="343">
        <f t="shared" si="10"/>
        <v>4</v>
      </c>
      <c r="Y82" s="22"/>
      <c r="AG82" s="27" t="str">
        <f t="shared" si="11"/>
        <v>Janie &amp; JackRetailUSA28</v>
      </c>
      <c r="AH82" s="1" t="s">
        <v>30</v>
      </c>
      <c r="AI82" s="1" t="s">
        <v>5</v>
      </c>
      <c r="AJ82" s="1" t="s">
        <v>274</v>
      </c>
      <c r="AK82" s="1">
        <v>28</v>
      </c>
      <c r="AL82" s="19">
        <v>0.65</v>
      </c>
      <c r="AN82" s="109" t="str">
        <f t="shared" si="12"/>
        <v>Janie &amp; JackUSAWebJJ 18 JAN SO SB1</v>
      </c>
      <c r="AO82" s="1" t="s">
        <v>30</v>
      </c>
      <c r="AP82" s="1" t="s">
        <v>14</v>
      </c>
      <c r="AQ82" s="1" t="s">
        <v>274</v>
      </c>
      <c r="AR82" s="1">
        <v>2018</v>
      </c>
      <c r="AS82" s="1" t="s">
        <v>15</v>
      </c>
      <c r="AT82" s="1" t="s">
        <v>153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154</v>
      </c>
    </row>
    <row r="83" spans="17:53" x14ac:dyDescent="0.25">
      <c r="Q83" s="109" t="str">
        <f t="shared" si="8"/>
        <v>Janie &amp; JackJJ 18 NOV WINTER 2</v>
      </c>
      <c r="R83" s="27" t="str">
        <f t="shared" si="9"/>
        <v>2018Janie &amp; JackWinter</v>
      </c>
      <c r="S83" s="393">
        <v>2018</v>
      </c>
      <c r="T83" s="394" t="s">
        <v>30</v>
      </c>
      <c r="U83" s="394" t="s">
        <v>32</v>
      </c>
      <c r="V83" s="394" t="s">
        <v>450</v>
      </c>
      <c r="W83" s="394"/>
      <c r="X83" s="343">
        <f t="shared" si="10"/>
        <v>4</v>
      </c>
      <c r="Y83" s="22"/>
      <c r="AG83" s="27" t="str">
        <f t="shared" si="11"/>
        <v>Janie &amp; JackRetailUSA29</v>
      </c>
      <c r="AH83" s="1" t="s">
        <v>30</v>
      </c>
      <c r="AI83" s="1" t="s">
        <v>5</v>
      </c>
      <c r="AJ83" s="1" t="s">
        <v>274</v>
      </c>
      <c r="AK83" s="1">
        <v>29</v>
      </c>
      <c r="AL83" s="19">
        <v>0.65</v>
      </c>
      <c r="AN83" s="109" t="str">
        <f t="shared" si="12"/>
        <v>Janie &amp; JackUSAWebJJ 18 FEB EASTER 1</v>
      </c>
      <c r="AO83" s="1" t="s">
        <v>30</v>
      </c>
      <c r="AP83" s="1" t="s">
        <v>14</v>
      </c>
      <c r="AQ83" s="1" t="s">
        <v>274</v>
      </c>
      <c r="AR83" s="1">
        <v>2018</v>
      </c>
      <c r="AS83" s="1" t="s">
        <v>15</v>
      </c>
      <c r="AT83" s="1" t="s">
        <v>173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174</v>
      </c>
    </row>
    <row r="84" spans="17:53" x14ac:dyDescent="0.25">
      <c r="Q84" s="109" t="str">
        <f t="shared" si="8"/>
        <v>Janie &amp; JackJJ 18 NOV WTR 1 GIRL</v>
      </c>
      <c r="R84" s="27" t="str">
        <f t="shared" si="9"/>
        <v>2018Janie &amp; JackWinter</v>
      </c>
      <c r="S84" s="393">
        <v>2018</v>
      </c>
      <c r="T84" s="394" t="s">
        <v>30</v>
      </c>
      <c r="U84" s="394" t="s">
        <v>32</v>
      </c>
      <c r="V84" s="394" t="s">
        <v>451</v>
      </c>
      <c r="W84" s="394"/>
      <c r="X84" s="343">
        <f t="shared" si="10"/>
        <v>4</v>
      </c>
      <c r="Y84" s="22"/>
      <c r="AG84" s="27" t="str">
        <f t="shared" si="11"/>
        <v>Janie &amp; JackRetailUSA30</v>
      </c>
      <c r="AH84" s="1" t="s">
        <v>30</v>
      </c>
      <c r="AI84" s="1" t="s">
        <v>5</v>
      </c>
      <c r="AJ84" s="1" t="s">
        <v>274</v>
      </c>
      <c r="AK84" s="1">
        <v>30</v>
      </c>
      <c r="AL84" s="19">
        <v>0.65</v>
      </c>
      <c r="AN84" s="109" t="str">
        <f t="shared" si="12"/>
        <v>Janie &amp; JackUSAWebJJ 18 FEB EASTER GIFT LAY</v>
      </c>
      <c r="AO84" s="1" t="s">
        <v>30</v>
      </c>
      <c r="AP84" s="1" t="s">
        <v>14</v>
      </c>
      <c r="AQ84" s="1" t="s">
        <v>274</v>
      </c>
      <c r="AR84" s="1">
        <v>2018</v>
      </c>
      <c r="AS84" s="1" t="s">
        <v>15</v>
      </c>
      <c r="AT84" s="1" t="s">
        <v>175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176</v>
      </c>
    </row>
    <row r="85" spans="17:53" x14ac:dyDescent="0.25">
      <c r="Q85" s="109" t="str">
        <f t="shared" si="8"/>
        <v>Janie &amp; JackJJ 18 NOV WTR 2 GIRL</v>
      </c>
      <c r="R85" s="27" t="str">
        <f t="shared" si="9"/>
        <v>2018Janie &amp; JackWinter</v>
      </c>
      <c r="S85" s="393">
        <v>2018</v>
      </c>
      <c r="T85" s="394" t="s">
        <v>30</v>
      </c>
      <c r="U85" s="394" t="s">
        <v>32</v>
      </c>
      <c r="V85" s="394" t="s">
        <v>452</v>
      </c>
      <c r="W85" s="394"/>
      <c r="X85" s="343">
        <f t="shared" si="10"/>
        <v>4</v>
      </c>
      <c r="Y85" s="22"/>
      <c r="AG85" s="27" t="str">
        <f t="shared" si="11"/>
        <v>Janie &amp; JackRetailUSA31</v>
      </c>
      <c r="AH85" s="1" t="s">
        <v>30</v>
      </c>
      <c r="AI85" s="1" t="s">
        <v>5</v>
      </c>
      <c r="AJ85" s="1" t="s">
        <v>274</v>
      </c>
      <c r="AK85" s="1">
        <v>31</v>
      </c>
      <c r="AL85" s="19">
        <v>0.65</v>
      </c>
      <c r="AN85" s="109" t="str">
        <f t="shared" si="12"/>
        <v>Janie &amp; JackUSAWebJJ 18 MAR EASTER 2</v>
      </c>
      <c r="AO85" s="1" t="s">
        <v>30</v>
      </c>
      <c r="AP85" s="1" t="s">
        <v>14</v>
      </c>
      <c r="AQ85" s="1" t="s">
        <v>274</v>
      </c>
      <c r="AR85" s="1">
        <v>2018</v>
      </c>
      <c r="AS85" s="1" t="s">
        <v>15</v>
      </c>
      <c r="AT85" s="1" t="s">
        <v>179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180</v>
      </c>
    </row>
    <row r="86" spans="17:53" x14ac:dyDescent="0.25">
      <c r="Q86" s="109" t="str">
        <f t="shared" si="8"/>
        <v>Janie &amp; JackJJ 18 WTR BASICS</v>
      </c>
      <c r="R86" s="27" t="str">
        <f t="shared" si="9"/>
        <v>2018Janie &amp; JackWinter</v>
      </c>
      <c r="S86" s="393">
        <v>2018</v>
      </c>
      <c r="T86" s="394" t="s">
        <v>30</v>
      </c>
      <c r="U86" s="394" t="s">
        <v>32</v>
      </c>
      <c r="V86" s="394" t="s">
        <v>453</v>
      </c>
      <c r="W86" s="394"/>
      <c r="X86" s="343">
        <f t="shared" si="10"/>
        <v>4</v>
      </c>
      <c r="Y86" s="22"/>
      <c r="AG86" s="27" t="str">
        <f t="shared" si="11"/>
        <v>Janie &amp; JackRetailUSA32</v>
      </c>
      <c r="AH86" s="1" t="s">
        <v>30</v>
      </c>
      <c r="AI86" s="1" t="s">
        <v>5</v>
      </c>
      <c r="AJ86" s="1" t="s">
        <v>274</v>
      </c>
      <c r="AK86" s="1">
        <v>32</v>
      </c>
      <c r="AL86" s="19">
        <v>0.65</v>
      </c>
      <c r="AN86" s="109" t="str">
        <f t="shared" si="12"/>
        <v>Janie &amp; JackUSAWebJJ 18 SPR SO REFRESH</v>
      </c>
      <c r="AO86" s="1" t="s">
        <v>30</v>
      </c>
      <c r="AP86" s="1" t="s">
        <v>14</v>
      </c>
      <c r="AQ86" s="1" t="s">
        <v>274</v>
      </c>
      <c r="AR86" s="1">
        <v>2018</v>
      </c>
      <c r="AS86" s="1" t="s">
        <v>15</v>
      </c>
      <c r="AT86" s="1" t="s">
        <v>155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156</v>
      </c>
    </row>
    <row r="87" spans="17:53" x14ac:dyDescent="0.25">
      <c r="Q87" s="109" t="str">
        <f t="shared" si="8"/>
        <v>Janie &amp; JackJJ 18 WTR SPORT</v>
      </c>
      <c r="R87" s="27" t="str">
        <f t="shared" si="9"/>
        <v>2018Janie &amp; JackWinter</v>
      </c>
      <c r="S87" s="393">
        <v>2018</v>
      </c>
      <c r="T87" s="394" t="s">
        <v>30</v>
      </c>
      <c r="U87" s="394" t="s">
        <v>32</v>
      </c>
      <c r="V87" s="394" t="s">
        <v>454</v>
      </c>
      <c r="W87" s="394"/>
      <c r="X87" s="343">
        <f t="shared" si="10"/>
        <v>4</v>
      </c>
      <c r="Y87" s="22"/>
      <c r="AG87" s="27" t="str">
        <f t="shared" si="11"/>
        <v>Janie &amp; JackRetailUSA34</v>
      </c>
      <c r="AH87" s="1" t="s">
        <v>30</v>
      </c>
      <c r="AI87" s="1" t="s">
        <v>5</v>
      </c>
      <c r="AJ87" s="1" t="s">
        <v>274</v>
      </c>
      <c r="AK87" s="1">
        <v>34</v>
      </c>
      <c r="AL87" s="19">
        <v>0.65</v>
      </c>
      <c r="AN87" s="109" t="str">
        <f t="shared" si="12"/>
        <v>Janie &amp; JackUSAWebJJ 18 MAR LAY SWIM</v>
      </c>
      <c r="AO87" s="1" t="s">
        <v>30</v>
      </c>
      <c r="AP87" s="1" t="s">
        <v>14</v>
      </c>
      <c r="AQ87" s="1" t="s">
        <v>274</v>
      </c>
      <c r="AR87" s="1">
        <v>2018</v>
      </c>
      <c r="AS87" s="1" t="s">
        <v>15</v>
      </c>
      <c r="AT87" s="1" t="s">
        <v>160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161</v>
      </c>
    </row>
    <row r="88" spans="17:53" x14ac:dyDescent="0.25">
      <c r="Q88" s="109" t="str">
        <f t="shared" si="8"/>
        <v>Janie &amp; JackJJ 19 DEC RESORT 1</v>
      </c>
      <c r="R88" s="27" t="str">
        <f t="shared" si="9"/>
        <v>2018Janie &amp; JackWinter</v>
      </c>
      <c r="S88" s="393">
        <v>2018</v>
      </c>
      <c r="T88" s="394" t="s">
        <v>30</v>
      </c>
      <c r="U88" s="394" t="s">
        <v>32</v>
      </c>
      <c r="V88" s="394" t="s">
        <v>455</v>
      </c>
      <c r="W88" s="394"/>
      <c r="X88" s="343">
        <f t="shared" si="10"/>
        <v>4</v>
      </c>
      <c r="Y88" s="22"/>
      <c r="AG88" s="27" t="str">
        <f t="shared" si="11"/>
        <v>Janie &amp; JackRetailUSA35</v>
      </c>
      <c r="AH88" s="1" t="s">
        <v>30</v>
      </c>
      <c r="AI88" s="1" t="s">
        <v>5</v>
      </c>
      <c r="AJ88" s="1" t="s">
        <v>274</v>
      </c>
      <c r="AK88" s="1">
        <v>35</v>
      </c>
      <c r="AL88" s="19">
        <v>0.65</v>
      </c>
      <c r="AN88" s="109" t="str">
        <f t="shared" si="12"/>
        <v>Janie &amp; JackUSAWebJJ 18 FEB SPRING LIMITED EDITION</v>
      </c>
      <c r="AO88" s="1" t="s">
        <v>30</v>
      </c>
      <c r="AP88" s="1" t="s">
        <v>14</v>
      </c>
      <c r="AQ88" s="1" t="s">
        <v>274</v>
      </c>
      <c r="AR88" s="1">
        <v>2018</v>
      </c>
      <c r="AS88" s="1" t="s">
        <v>15</v>
      </c>
      <c r="AT88" s="1" t="s">
        <v>185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324</v>
      </c>
    </row>
    <row r="89" spans="17:53" x14ac:dyDescent="0.25">
      <c r="Q89" s="109" t="str">
        <f t="shared" si="8"/>
        <v>Janie &amp; JackJJ 19 DEC SWIM 1</v>
      </c>
      <c r="R89" s="27" t="str">
        <f t="shared" si="9"/>
        <v>2018Janie &amp; JackWinter</v>
      </c>
      <c r="S89" s="393">
        <v>2018</v>
      </c>
      <c r="T89" s="394" t="s">
        <v>30</v>
      </c>
      <c r="U89" s="394" t="s">
        <v>32</v>
      </c>
      <c r="V89" s="394" t="s">
        <v>456</v>
      </c>
      <c r="W89" s="394"/>
      <c r="X89" s="343">
        <f t="shared" si="10"/>
        <v>4</v>
      </c>
      <c r="Y89" s="22"/>
      <c r="AG89" s="27" t="str">
        <f t="shared" si="11"/>
        <v>Janie &amp; JackRetailUSA36</v>
      </c>
      <c r="AH89" s="1" t="s">
        <v>30</v>
      </c>
      <c r="AI89" s="1" t="s">
        <v>5</v>
      </c>
      <c r="AJ89" s="1" t="s">
        <v>274</v>
      </c>
      <c r="AK89" s="1">
        <v>36</v>
      </c>
      <c r="AL89" s="19">
        <v>0.65</v>
      </c>
      <c r="AN89" s="109" t="str">
        <f t="shared" si="12"/>
        <v>Janie &amp; JackUSAWebJJ 18 MAR SUMMER 0</v>
      </c>
      <c r="AO89" s="1" t="s">
        <v>30</v>
      </c>
      <c r="AP89" s="1" t="s">
        <v>14</v>
      </c>
      <c r="AQ89" s="1" t="s">
        <v>274</v>
      </c>
      <c r="AR89" s="1">
        <v>2018</v>
      </c>
      <c r="AS89" s="1" t="s">
        <v>17</v>
      </c>
      <c r="AT89" s="1" t="s">
        <v>187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188</v>
      </c>
    </row>
    <row r="90" spans="17:53" x14ac:dyDescent="0.25">
      <c r="Q90" s="109" t="str">
        <f t="shared" si="8"/>
        <v>Janie &amp; JackJJ 19 JAN RAINBOW SPORT NB</v>
      </c>
      <c r="R90" s="27" t="str">
        <f t="shared" si="9"/>
        <v>2018Janie &amp; JackWinter</v>
      </c>
      <c r="S90" s="393">
        <v>2018</v>
      </c>
      <c r="T90" s="394" t="s">
        <v>30</v>
      </c>
      <c r="U90" s="394" t="s">
        <v>32</v>
      </c>
      <c r="V90" s="394" t="s">
        <v>457</v>
      </c>
      <c r="W90" s="394"/>
      <c r="X90" s="343">
        <f t="shared" si="10"/>
        <v>4</v>
      </c>
      <c r="Y90" s="22"/>
      <c r="AG90" s="27" t="str">
        <f t="shared" si="11"/>
        <v>Janie &amp; JackRetailUSA37</v>
      </c>
      <c r="AH90" s="1" t="s">
        <v>30</v>
      </c>
      <c r="AI90" s="1" t="s">
        <v>5</v>
      </c>
      <c r="AJ90" s="1" t="s">
        <v>274</v>
      </c>
      <c r="AK90" s="1">
        <v>37</v>
      </c>
      <c r="AL90" s="19">
        <v>0.65</v>
      </c>
      <c r="AN90" s="109" t="str">
        <f t="shared" si="12"/>
        <v>Janie &amp; JackUSAWebJJ 18 APR SMR 1</v>
      </c>
      <c r="AO90" s="1" t="s">
        <v>30</v>
      </c>
      <c r="AP90" s="1" t="s">
        <v>14</v>
      </c>
      <c r="AQ90" s="1" t="s">
        <v>274</v>
      </c>
      <c r="AR90" s="1">
        <v>2018</v>
      </c>
      <c r="AS90" s="1" t="s">
        <v>17</v>
      </c>
      <c r="AT90" s="1" t="s">
        <v>189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190</v>
      </c>
    </row>
    <row r="91" spans="17:53" x14ac:dyDescent="0.25">
      <c r="Q91" s="109" t="str">
        <f t="shared" si="8"/>
        <v>Janie &amp; JackJJ 19 JAN SPRING TRANS</v>
      </c>
      <c r="R91" s="27" t="str">
        <f t="shared" si="9"/>
        <v>2018Janie &amp; JackWinter</v>
      </c>
      <c r="S91" s="393">
        <v>2018</v>
      </c>
      <c r="T91" s="394" t="s">
        <v>30</v>
      </c>
      <c r="U91" s="394" t="s">
        <v>32</v>
      </c>
      <c r="V91" s="394" t="s">
        <v>458</v>
      </c>
      <c r="W91" s="394"/>
      <c r="X91" s="343">
        <f t="shared" si="10"/>
        <v>4</v>
      </c>
      <c r="Y91" s="22"/>
      <c r="AG91" s="27" t="str">
        <f t="shared" si="11"/>
        <v>Janie &amp; JackRetailUSA38</v>
      </c>
      <c r="AH91" s="1" t="s">
        <v>30</v>
      </c>
      <c r="AI91" s="1" t="s">
        <v>5</v>
      </c>
      <c r="AJ91" s="1" t="s">
        <v>274</v>
      </c>
      <c r="AK91" s="1">
        <v>38</v>
      </c>
      <c r="AL91" s="19">
        <v>0.65</v>
      </c>
      <c r="AN91" s="109" t="str">
        <f t="shared" si="12"/>
        <v>Janie &amp; JackUSAWebJJ 18 SMR BASICS</v>
      </c>
      <c r="AO91" s="1" t="s">
        <v>30</v>
      </c>
      <c r="AP91" s="1" t="s">
        <v>14</v>
      </c>
      <c r="AQ91" s="1" t="s">
        <v>274</v>
      </c>
      <c r="AR91" s="1">
        <v>2018</v>
      </c>
      <c r="AS91" s="1" t="s">
        <v>17</v>
      </c>
      <c r="AT91" s="1" t="s">
        <v>157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158</v>
      </c>
    </row>
    <row r="92" spans="17:53" x14ac:dyDescent="0.25">
      <c r="Q92" s="109" t="str">
        <f t="shared" si="8"/>
        <v>Janie &amp; JackJJ 19 JAN SWIM 2</v>
      </c>
      <c r="R92" s="27" t="str">
        <f t="shared" si="9"/>
        <v>2018Janie &amp; JackWinter</v>
      </c>
      <c r="S92" s="393">
        <v>2018</v>
      </c>
      <c r="T92" s="394" t="s">
        <v>30</v>
      </c>
      <c r="U92" s="394" t="s">
        <v>32</v>
      </c>
      <c r="V92" s="394" t="s">
        <v>459</v>
      </c>
      <c r="W92" s="394"/>
      <c r="X92" s="343">
        <f t="shared" si="10"/>
        <v>4</v>
      </c>
      <c r="Y92" s="22"/>
      <c r="AG92" s="27" t="str">
        <f t="shared" si="11"/>
        <v>Janie &amp; JackRetailUSA39</v>
      </c>
      <c r="AH92" s="1" t="s">
        <v>30</v>
      </c>
      <c r="AI92" s="1" t="s">
        <v>5</v>
      </c>
      <c r="AJ92" s="1" t="s">
        <v>274</v>
      </c>
      <c r="AK92" s="1">
        <v>39</v>
      </c>
      <c r="AL92" s="19">
        <v>0.65</v>
      </c>
      <c r="AN92" s="109" t="str">
        <f t="shared" si="12"/>
        <v>Janie &amp; JackUSAWebJJ 18 MAR JJ SPORT</v>
      </c>
      <c r="AO92" s="1" t="s">
        <v>30</v>
      </c>
      <c r="AP92" s="1" t="s">
        <v>14</v>
      </c>
      <c r="AQ92" s="1" t="s">
        <v>274</v>
      </c>
      <c r="AR92" s="1">
        <v>2018</v>
      </c>
      <c r="AS92" s="1" t="s">
        <v>17</v>
      </c>
      <c r="AT92" s="1" t="s">
        <v>186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324</v>
      </c>
    </row>
    <row r="93" spans="17:53" x14ac:dyDescent="0.25">
      <c r="Q93" s="109" t="str">
        <f t="shared" si="8"/>
        <v>Janie &amp; JackJJ 3RD PARTY</v>
      </c>
      <c r="R93" s="27" t="str">
        <f t="shared" si="9"/>
        <v>2018Janie &amp; JackBasics</v>
      </c>
      <c r="S93" s="393">
        <v>2018</v>
      </c>
      <c r="T93" s="394" t="s">
        <v>30</v>
      </c>
      <c r="U93" s="394" t="s">
        <v>33</v>
      </c>
      <c r="V93" s="394" t="s">
        <v>270</v>
      </c>
      <c r="W93" s="394"/>
      <c r="X93" s="343">
        <f t="shared" si="10"/>
        <v>5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8"/>
        <v>Janie &amp; JackJJ DENIM</v>
      </c>
      <c r="R94" s="27" t="str">
        <f t="shared" si="9"/>
        <v>2018Janie &amp; JackBasics</v>
      </c>
      <c r="S94" s="393">
        <v>2018</v>
      </c>
      <c r="T94" s="394" t="s">
        <v>30</v>
      </c>
      <c r="U94" s="394" t="s">
        <v>33</v>
      </c>
      <c r="V94" s="394" t="s">
        <v>421</v>
      </c>
      <c r="W94" s="394"/>
      <c r="X94" s="343">
        <f t="shared" si="10"/>
        <v>5</v>
      </c>
      <c r="Y94" s="22"/>
      <c r="Z94" s="1"/>
      <c r="AA94" s="1"/>
      <c r="AB94" s="130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8"/>
        <v>Janie &amp; JackJJ SO YEARLY BASICS</v>
      </c>
      <c r="R95" s="27" t="str">
        <f t="shared" si="9"/>
        <v>2018Janie &amp; JackBasics</v>
      </c>
      <c r="S95" s="393">
        <v>2018</v>
      </c>
      <c r="T95" s="394" t="s">
        <v>30</v>
      </c>
      <c r="U95" s="394" t="s">
        <v>33</v>
      </c>
      <c r="V95" s="394" t="s">
        <v>268</v>
      </c>
      <c r="W95" s="394"/>
      <c r="X95" s="343">
        <f t="shared" si="10"/>
        <v>5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8"/>
        <v>Janie &amp; JackJJ YRLY BASICS</v>
      </c>
      <c r="R96" s="27" t="str">
        <f t="shared" si="9"/>
        <v>2018Janie &amp; JackBasics</v>
      </c>
      <c r="S96" s="393">
        <v>2018</v>
      </c>
      <c r="T96" s="394" t="s">
        <v>30</v>
      </c>
      <c r="U96" s="394" t="s">
        <v>33</v>
      </c>
      <c r="V96" s="394" t="s">
        <v>269</v>
      </c>
      <c r="W96" s="394"/>
      <c r="X96" s="343">
        <f t="shared" si="10"/>
        <v>5</v>
      </c>
      <c r="Y96" s="22"/>
      <c r="AG96" s="27" t="str">
        <f t="shared" si="11"/>
        <v>Janie &amp; JackRetailUSA41</v>
      </c>
      <c r="AH96" s="1" t="s">
        <v>30</v>
      </c>
      <c r="AI96" s="1" t="s">
        <v>5</v>
      </c>
      <c r="AJ96" s="1" t="s">
        <v>274</v>
      </c>
      <c r="AK96" s="1">
        <v>41</v>
      </c>
      <c r="AL96" s="19">
        <v>0.65</v>
      </c>
      <c r="AN96" s="109" t="str">
        <f t="shared" si="12"/>
        <v>Janie &amp; JackUSAWebJJ 18 MAY 4TH OF JULY</v>
      </c>
      <c r="AO96" s="1" t="s">
        <v>30</v>
      </c>
      <c r="AP96" s="1" t="s">
        <v>14</v>
      </c>
      <c r="AQ96" s="1" t="s">
        <v>274</v>
      </c>
      <c r="AR96" s="1">
        <v>2018</v>
      </c>
      <c r="AS96" s="1" t="s">
        <v>17</v>
      </c>
      <c r="AT96" s="1" t="s">
        <v>193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194</v>
      </c>
    </row>
    <row r="97" spans="17:53" x14ac:dyDescent="0.25">
      <c r="Q97" s="109" t="str">
        <f t="shared" si="8"/>
        <v>Janie &amp; JackJJ 18 FAL SO REFRESH</v>
      </c>
      <c r="R97" s="27" t="str">
        <f t="shared" si="9"/>
        <v>2018Janie &amp; JackSeasonal Basics</v>
      </c>
      <c r="S97" s="393">
        <v>2018</v>
      </c>
      <c r="T97" s="394" t="s">
        <v>30</v>
      </c>
      <c r="U97" s="394" t="s">
        <v>65</v>
      </c>
      <c r="V97" s="394" t="s">
        <v>427</v>
      </c>
      <c r="W97" s="394"/>
      <c r="X97" s="343">
        <f t="shared" si="10"/>
        <v>6</v>
      </c>
      <c r="Y97" s="22"/>
      <c r="AG97" s="27" t="str">
        <f t="shared" si="11"/>
        <v>Janie &amp; JackRetailUSA42</v>
      </c>
      <c r="AH97" s="1" t="s">
        <v>30</v>
      </c>
      <c r="AI97" s="1" t="s">
        <v>5</v>
      </c>
      <c r="AJ97" s="1" t="s">
        <v>274</v>
      </c>
      <c r="AK97" s="1">
        <v>42</v>
      </c>
      <c r="AL97" s="19">
        <v>0.65</v>
      </c>
      <c r="AN97" s="109" t="str">
        <f t="shared" si="12"/>
        <v>Janie &amp; JackUSAWebJJ 18 MAY TRANS GIFT LAY</v>
      </c>
      <c r="AO97" s="1" t="s">
        <v>30</v>
      </c>
      <c r="AP97" s="1" t="s">
        <v>14</v>
      </c>
      <c r="AQ97" s="1" t="s">
        <v>274</v>
      </c>
      <c r="AR97" s="1">
        <v>2018</v>
      </c>
      <c r="AS97" s="1" t="s">
        <v>17</v>
      </c>
      <c r="AT97" s="1" t="s">
        <v>202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203</v>
      </c>
    </row>
    <row r="98" spans="17:53" x14ac:dyDescent="0.25">
      <c r="Q98" s="109" t="str">
        <f t="shared" ref="Q98:Q129" si="13">T98&amp;V98</f>
        <v>Janie &amp; JackJJ 18 JAN SO SB1</v>
      </c>
      <c r="R98" s="27" t="str">
        <f t="shared" ref="R98:R129" si="14">S98&amp;T98&amp;U98</f>
        <v>2018Janie &amp; JackSeasonal Basics</v>
      </c>
      <c r="S98" s="393">
        <v>2018</v>
      </c>
      <c r="T98" s="394" t="s">
        <v>30</v>
      </c>
      <c r="U98" s="394" t="s">
        <v>65</v>
      </c>
      <c r="V98" s="394" t="s">
        <v>153</v>
      </c>
      <c r="W98" s="394"/>
      <c r="X98" s="343">
        <f t="shared" ref="X98:X129" si="15">MATCH(U98,ListSeason,0)</f>
        <v>6</v>
      </c>
      <c r="Y98" s="22"/>
      <c r="AG98" s="27" t="str">
        <f t="shared" si="11"/>
        <v>Janie &amp; JackRetailUSA43</v>
      </c>
      <c r="AH98" s="1" t="s">
        <v>30</v>
      </c>
      <c r="AI98" s="1" t="s">
        <v>5</v>
      </c>
      <c r="AJ98" s="1" t="s">
        <v>274</v>
      </c>
      <c r="AK98" s="1">
        <v>43</v>
      </c>
      <c r="AL98" s="19">
        <v>0.65</v>
      </c>
      <c r="AN98" s="109" t="str">
        <f t="shared" si="12"/>
        <v>Janie &amp; JackUSAWebJJ 18 MAY SUMMER 3</v>
      </c>
      <c r="AO98" s="1" t="s">
        <v>30</v>
      </c>
      <c r="AP98" s="1" t="s">
        <v>14</v>
      </c>
      <c r="AQ98" s="1" t="s">
        <v>274</v>
      </c>
      <c r="AR98" s="1">
        <v>2018</v>
      </c>
      <c r="AS98" s="1" t="s">
        <v>17</v>
      </c>
      <c r="AT98" s="1" t="s">
        <v>195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196</v>
      </c>
    </row>
    <row r="99" spans="17:53" x14ac:dyDescent="0.25">
      <c r="Q99" s="109" t="str">
        <f t="shared" si="13"/>
        <v>Janie &amp; JackJJ 18 JULY SB2</v>
      </c>
      <c r="R99" s="27" t="str">
        <f t="shared" si="14"/>
        <v>2018Janie &amp; JackSeasonal Basics</v>
      </c>
      <c r="S99" s="393">
        <v>2018</v>
      </c>
      <c r="T99" s="394" t="s">
        <v>30</v>
      </c>
      <c r="U99" s="394" t="s">
        <v>65</v>
      </c>
      <c r="V99" s="394" t="s">
        <v>162</v>
      </c>
      <c r="W99" s="394"/>
      <c r="X99" s="343">
        <f t="shared" si="15"/>
        <v>6</v>
      </c>
      <c r="Y99" s="22"/>
      <c r="AG99" s="27" t="str">
        <f t="shared" si="11"/>
        <v>Janie &amp; JackRetailUSA44</v>
      </c>
      <c r="AH99" s="1" t="s">
        <v>30</v>
      </c>
      <c r="AI99" s="1" t="s">
        <v>5</v>
      </c>
      <c r="AJ99" s="1" t="s">
        <v>274</v>
      </c>
      <c r="AK99" s="1">
        <v>44</v>
      </c>
      <c r="AL99" s="19">
        <v>0.65</v>
      </c>
      <c r="AN99" s="109" t="str">
        <f t="shared" si="12"/>
        <v>Janie &amp; JackUSAWebJJ 18 MAY SPORT</v>
      </c>
      <c r="AO99" s="1" t="s">
        <v>30</v>
      </c>
      <c r="AP99" s="1" t="s">
        <v>14</v>
      </c>
      <c r="AQ99" s="1" t="s">
        <v>274</v>
      </c>
      <c r="AR99" s="1">
        <v>2018</v>
      </c>
      <c r="AS99" s="1" t="s">
        <v>17</v>
      </c>
      <c r="AT99" s="1" t="s">
        <v>312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324</v>
      </c>
    </row>
    <row r="100" spans="17:53" x14ac:dyDescent="0.25">
      <c r="Q100" s="109" t="str">
        <f t="shared" si="13"/>
        <v>Janie &amp; JackJJ 18 JULY SO SB 2</v>
      </c>
      <c r="R100" s="27" t="str">
        <f t="shared" si="14"/>
        <v>2018Janie &amp; JackSeasonal Basics</v>
      </c>
      <c r="S100" s="393">
        <v>2018</v>
      </c>
      <c r="T100" s="394" t="s">
        <v>30</v>
      </c>
      <c r="U100" s="394" t="s">
        <v>65</v>
      </c>
      <c r="V100" s="394" t="s">
        <v>164</v>
      </c>
      <c r="W100" s="394"/>
      <c r="X100" s="343">
        <f t="shared" si="15"/>
        <v>6</v>
      </c>
      <c r="Y100" s="22"/>
      <c r="AG100" s="27" t="str">
        <f t="shared" si="11"/>
        <v>Janie &amp; JackRetailUSA45</v>
      </c>
      <c r="AH100" s="1" t="s">
        <v>30</v>
      </c>
      <c r="AI100" s="1" t="s">
        <v>5</v>
      </c>
      <c r="AJ100" s="1" t="s">
        <v>274</v>
      </c>
      <c r="AK100" s="1">
        <v>45</v>
      </c>
      <c r="AL100" s="19">
        <v>0.65</v>
      </c>
      <c r="AN100" s="109" t="str">
        <f t="shared" si="12"/>
        <v>Janie &amp; JackUSAWebJJ 18 MAY SUMMER 4</v>
      </c>
      <c r="AO100" s="1" t="s">
        <v>30</v>
      </c>
      <c r="AP100" s="1" t="s">
        <v>14</v>
      </c>
      <c r="AQ100" s="1" t="s">
        <v>274</v>
      </c>
      <c r="AR100" s="1">
        <v>2018</v>
      </c>
      <c r="AS100" s="1" t="s">
        <v>17</v>
      </c>
      <c r="AT100" s="1" t="s">
        <v>197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198</v>
      </c>
    </row>
    <row r="101" spans="17:53" x14ac:dyDescent="0.25">
      <c r="Q101" s="109" t="str">
        <f t="shared" si="13"/>
        <v>Janie &amp; JackJJ 18 LAY HOL SB2</v>
      </c>
      <c r="R101" s="27" t="str">
        <f t="shared" si="14"/>
        <v>2018Janie &amp; JackSeasonal Basics</v>
      </c>
      <c r="S101" s="393">
        <v>2018</v>
      </c>
      <c r="T101" s="394" t="s">
        <v>30</v>
      </c>
      <c r="U101" s="394" t="s">
        <v>65</v>
      </c>
      <c r="V101" s="394" t="s">
        <v>428</v>
      </c>
      <c r="W101" s="394"/>
      <c r="X101" s="343">
        <f t="shared" si="15"/>
        <v>6</v>
      </c>
      <c r="Y101" s="22"/>
      <c r="AG101" s="27" t="str">
        <f t="shared" si="11"/>
        <v>Janie &amp; JackRetailUSA46</v>
      </c>
      <c r="AH101" s="1" t="s">
        <v>30</v>
      </c>
      <c r="AI101" s="1" t="s">
        <v>5</v>
      </c>
      <c r="AJ101" s="1" t="s">
        <v>274</v>
      </c>
      <c r="AK101" s="1">
        <v>46</v>
      </c>
      <c r="AL101" s="19">
        <v>0.65</v>
      </c>
      <c r="AN101" s="109" t="str">
        <f t="shared" si="12"/>
        <v>Janie &amp; JackUSAWebJJ 18 JUN TRANS 1</v>
      </c>
      <c r="AO101" s="1" t="s">
        <v>30</v>
      </c>
      <c r="AP101" s="1" t="s">
        <v>14</v>
      </c>
      <c r="AQ101" s="1" t="s">
        <v>274</v>
      </c>
      <c r="AR101" s="1">
        <v>2018</v>
      </c>
      <c r="AS101" s="1" t="s">
        <v>17</v>
      </c>
      <c r="AT101" s="1" t="s">
        <v>199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200</v>
      </c>
    </row>
    <row r="102" spans="17:53" x14ac:dyDescent="0.25">
      <c r="Q102" s="109" t="str">
        <f t="shared" si="13"/>
        <v>Janie &amp; JackJJ 18 LAY SIGNATURE 1</v>
      </c>
      <c r="R102" s="27" t="str">
        <f t="shared" si="14"/>
        <v>2018Janie &amp; JackSeasonal Basics</v>
      </c>
      <c r="S102" s="393">
        <v>2018</v>
      </c>
      <c r="T102" s="394" t="s">
        <v>30</v>
      </c>
      <c r="U102" s="394" t="s">
        <v>65</v>
      </c>
      <c r="V102" s="394" t="s">
        <v>159</v>
      </c>
      <c r="W102" s="394"/>
      <c r="X102" s="343">
        <f t="shared" si="15"/>
        <v>6</v>
      </c>
      <c r="Y102" s="22"/>
      <c r="AG102" s="27" t="str">
        <f t="shared" si="11"/>
        <v>Janie &amp; JackRetailUSA47</v>
      </c>
      <c r="AH102" s="1" t="s">
        <v>30</v>
      </c>
      <c r="AI102" s="1" t="s">
        <v>5</v>
      </c>
      <c r="AJ102" s="1" t="s">
        <v>274</v>
      </c>
      <c r="AK102" s="1">
        <v>47</v>
      </c>
      <c r="AL102" s="19">
        <v>0.65</v>
      </c>
      <c r="AN102" s="109" t="str">
        <f t="shared" si="12"/>
        <v>Janie &amp; JackUSAWebJJ 18 JULY TRANS 2</v>
      </c>
      <c r="AO102" s="1" t="s">
        <v>30</v>
      </c>
      <c r="AP102" s="1" t="s">
        <v>14</v>
      </c>
      <c r="AQ102" s="1" t="s">
        <v>274</v>
      </c>
      <c r="AR102" s="1">
        <v>2018</v>
      </c>
      <c r="AS102" s="1" t="s">
        <v>17</v>
      </c>
      <c r="AT102" s="1" t="s">
        <v>140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141</v>
      </c>
    </row>
    <row r="103" spans="17:53" x14ac:dyDescent="0.25">
      <c r="Q103" s="109" t="str">
        <f t="shared" si="13"/>
        <v>Janie &amp; JackJJ 18 LAY SIGNATURE 2</v>
      </c>
      <c r="R103" s="27" t="str">
        <f t="shared" si="14"/>
        <v>2018Janie &amp; JackSeasonal Basics</v>
      </c>
      <c r="S103" s="393">
        <v>2018</v>
      </c>
      <c r="T103" s="394" t="s">
        <v>30</v>
      </c>
      <c r="U103" s="394" t="s">
        <v>65</v>
      </c>
      <c r="V103" s="394" t="s">
        <v>166</v>
      </c>
      <c r="W103" s="394"/>
      <c r="X103" s="343">
        <f t="shared" si="15"/>
        <v>6</v>
      </c>
      <c r="Y103" s="22"/>
      <c r="AG103" s="27" t="str">
        <f t="shared" si="11"/>
        <v>Janie &amp; JackRetailUSA48</v>
      </c>
      <c r="AH103" s="1" t="s">
        <v>30</v>
      </c>
      <c r="AI103" s="1" t="s">
        <v>5</v>
      </c>
      <c r="AJ103" s="1" t="s">
        <v>274</v>
      </c>
      <c r="AK103" s="1">
        <v>48</v>
      </c>
      <c r="AL103" s="19">
        <v>0.65</v>
      </c>
      <c r="AN103" s="109" t="str">
        <f t="shared" si="12"/>
        <v>Janie &amp; JackUSAWebJJ 18 LAY SIGNATURE 2</v>
      </c>
      <c r="AO103" s="1" t="s">
        <v>30</v>
      </c>
      <c r="AP103" s="1" t="s">
        <v>14</v>
      </c>
      <c r="AQ103" s="1" t="s">
        <v>274</v>
      </c>
      <c r="AR103" s="1">
        <v>2018</v>
      </c>
      <c r="AS103" s="1" t="s">
        <v>17</v>
      </c>
      <c r="AT103" s="1" t="s">
        <v>166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324</v>
      </c>
    </row>
    <row r="104" spans="17:53" x14ac:dyDescent="0.25">
      <c r="Q104" s="109" t="str">
        <f t="shared" si="13"/>
        <v>Janie &amp; JackJJ 18 SB1</v>
      </c>
      <c r="R104" s="27" t="str">
        <f t="shared" si="14"/>
        <v>2018Janie &amp; JackSeasonal Basics</v>
      </c>
      <c r="S104" s="393">
        <v>2018</v>
      </c>
      <c r="T104" s="394" t="s">
        <v>30</v>
      </c>
      <c r="U104" s="394" t="s">
        <v>65</v>
      </c>
      <c r="V104" s="394" t="s">
        <v>149</v>
      </c>
      <c r="W104" s="394"/>
      <c r="X104" s="343">
        <f t="shared" si="15"/>
        <v>6</v>
      </c>
      <c r="Y104" s="22"/>
      <c r="AG104" s="27" t="str">
        <f t="shared" si="11"/>
        <v>Janie &amp; JackRetailUSA49</v>
      </c>
      <c r="AH104" s="1" t="s">
        <v>30</v>
      </c>
      <c r="AI104" s="1" t="s">
        <v>5</v>
      </c>
      <c r="AJ104" s="1" t="s">
        <v>274</v>
      </c>
      <c r="AK104" s="1">
        <v>49</v>
      </c>
      <c r="AL104" s="19">
        <v>0.65</v>
      </c>
      <c r="AN104" s="109" t="str">
        <f t="shared" si="12"/>
        <v>Janie &amp; JackUSAWebJJ 18 JULY SO SB 2</v>
      </c>
      <c r="AO104" s="1" t="s">
        <v>30</v>
      </c>
      <c r="AP104" s="1" t="s">
        <v>14</v>
      </c>
      <c r="AQ104" s="1" t="s">
        <v>274</v>
      </c>
      <c r="AR104" s="1">
        <v>2018</v>
      </c>
      <c r="AS104" s="1" t="s">
        <v>17</v>
      </c>
      <c r="AT104" s="1" t="s">
        <v>164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165</v>
      </c>
    </row>
    <row r="105" spans="17:53" x14ac:dyDescent="0.25">
      <c r="Q105" s="109" t="str">
        <f t="shared" si="13"/>
        <v>Janie &amp; JackJJ 18 SPR SO REFRESH</v>
      </c>
      <c r="R105" s="27" t="str">
        <f t="shared" si="14"/>
        <v>2018Janie &amp; JackSeasonal Basics</v>
      </c>
      <c r="S105" s="393">
        <v>2018</v>
      </c>
      <c r="T105" s="394" t="s">
        <v>30</v>
      </c>
      <c r="U105" s="394" t="s">
        <v>65</v>
      </c>
      <c r="V105" s="394" t="s">
        <v>155</v>
      </c>
      <c r="W105" s="394"/>
      <c r="X105" s="343">
        <f t="shared" si="15"/>
        <v>6</v>
      </c>
      <c r="Y105" s="22"/>
      <c r="AG105" s="27" t="str">
        <f t="shared" si="11"/>
        <v>Janie &amp; JackRetailUSA50</v>
      </c>
      <c r="AH105" s="1" t="s">
        <v>30</v>
      </c>
      <c r="AI105" s="1" t="s">
        <v>5</v>
      </c>
      <c r="AJ105" s="1" t="s">
        <v>274</v>
      </c>
      <c r="AK105" s="1">
        <v>50</v>
      </c>
      <c r="AL105" s="19">
        <v>0.65</v>
      </c>
      <c r="AN105" s="109" t="str">
        <f t="shared" si="12"/>
        <v>Janie &amp; JackUSAWebJJ 18 JULY TRANS 3</v>
      </c>
      <c r="AO105" s="1" t="s">
        <v>30</v>
      </c>
      <c r="AP105" s="1" t="s">
        <v>14</v>
      </c>
      <c r="AQ105" s="1" t="s">
        <v>274</v>
      </c>
      <c r="AR105" s="1">
        <v>2018</v>
      </c>
      <c r="AS105" s="1" t="s">
        <v>17</v>
      </c>
      <c r="AT105" s="1" t="s">
        <v>142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143</v>
      </c>
    </row>
    <row r="106" spans="17:53" x14ac:dyDescent="0.25">
      <c r="Q106" s="109" t="str">
        <f t="shared" si="13"/>
        <v>Janie &amp; JackJJ 19 JAN SO SB1</v>
      </c>
      <c r="R106" s="27" t="str">
        <f t="shared" si="14"/>
        <v>2018Janie &amp; JackSeasonal Basics</v>
      </c>
      <c r="S106" s="393">
        <v>2018</v>
      </c>
      <c r="T106" s="394" t="s">
        <v>30</v>
      </c>
      <c r="U106" s="394" t="s">
        <v>65</v>
      </c>
      <c r="V106" s="394" t="s">
        <v>429</v>
      </c>
      <c r="W106" s="394"/>
      <c r="X106" s="343">
        <f t="shared" si="15"/>
        <v>6</v>
      </c>
      <c r="Y106" s="22"/>
      <c r="AG106" s="27" t="str">
        <f t="shared" si="11"/>
        <v>Janie &amp; JackRetailUSA51</v>
      </c>
      <c r="AH106" s="1" t="s">
        <v>30</v>
      </c>
      <c r="AI106" s="1" t="s">
        <v>5</v>
      </c>
      <c r="AJ106" s="1" t="s">
        <v>274</v>
      </c>
      <c r="AK106" s="1">
        <v>51</v>
      </c>
      <c r="AL106" s="19">
        <v>0.65</v>
      </c>
      <c r="AN106" s="109" t="str">
        <f t="shared" si="12"/>
        <v>Janie &amp; JackUSAWebJJ 18 JUN JJ SPORT</v>
      </c>
      <c r="AO106" s="1" t="s">
        <v>30</v>
      </c>
      <c r="AP106" s="1" t="s">
        <v>14</v>
      </c>
      <c r="AQ106" s="1" t="s">
        <v>274</v>
      </c>
      <c r="AR106" s="1">
        <v>2018</v>
      </c>
      <c r="AS106" s="1" t="s">
        <v>17</v>
      </c>
      <c r="AT106" s="1" t="s">
        <v>201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324</v>
      </c>
    </row>
    <row r="107" spans="17:53" x14ac:dyDescent="0.25">
      <c r="Q107" s="109" t="str">
        <f t="shared" si="13"/>
        <v>Janie &amp; JackJJ 19 SB1</v>
      </c>
      <c r="R107" s="27" t="str">
        <f t="shared" si="14"/>
        <v>2018Janie &amp; JackSeasonal Basics</v>
      </c>
      <c r="S107" s="393">
        <v>2018</v>
      </c>
      <c r="T107" s="394" t="s">
        <v>30</v>
      </c>
      <c r="U107" s="394" t="s">
        <v>65</v>
      </c>
      <c r="V107" s="394" t="s">
        <v>430</v>
      </c>
      <c r="W107" s="394"/>
      <c r="X107" s="343">
        <f t="shared" si="15"/>
        <v>6</v>
      </c>
      <c r="Y107" s="22"/>
      <c r="AG107" s="27" t="str">
        <f t="shared" si="11"/>
        <v>Janie &amp; JackRetailUSA52</v>
      </c>
      <c r="AH107" s="1" t="s">
        <v>30</v>
      </c>
      <c r="AI107" s="1" t="s">
        <v>5</v>
      </c>
      <c r="AJ107" s="1" t="s">
        <v>274</v>
      </c>
      <c r="AK107" s="1">
        <v>52</v>
      </c>
      <c r="AL107" s="19">
        <v>0.65</v>
      </c>
      <c r="AN107" s="109" t="str">
        <f t="shared" si="12"/>
        <v>Janie &amp; JackUSAWebJJ 18 JULY FALL GIFT LAY</v>
      </c>
      <c r="AO107" s="1" t="s">
        <v>30</v>
      </c>
      <c r="AP107" s="1" t="s">
        <v>14</v>
      </c>
      <c r="AQ107" s="1" t="s">
        <v>274</v>
      </c>
      <c r="AR107" s="1">
        <v>2018</v>
      </c>
      <c r="AS107" s="1" t="s">
        <v>17</v>
      </c>
      <c r="AT107" s="1" t="s">
        <v>146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308</v>
      </c>
    </row>
    <row r="108" spans="17:53" x14ac:dyDescent="0.25">
      <c r="Q108" s="109" t="str">
        <f t="shared" si="13"/>
        <v>Janie &amp; JackJJ 19 SPR SO REFRESH</v>
      </c>
      <c r="R108" s="27" t="str">
        <f t="shared" si="14"/>
        <v>2018Janie &amp; JackSeasonal Basics</v>
      </c>
      <c r="S108" s="393">
        <v>2018</v>
      </c>
      <c r="T108" s="394" t="s">
        <v>30</v>
      </c>
      <c r="U108" s="394" t="s">
        <v>65</v>
      </c>
      <c r="V108" s="394" t="s">
        <v>431</v>
      </c>
      <c r="W108" s="394"/>
      <c r="X108" s="343">
        <f t="shared" si="15"/>
        <v>6</v>
      </c>
      <c r="Y108" s="22"/>
      <c r="AG108" s="27" t="str">
        <f t="shared" si="11"/>
        <v>Janie &amp; JackRetailUSA53</v>
      </c>
      <c r="AH108" s="1" t="s">
        <v>30</v>
      </c>
      <c r="AI108" s="1" t="s">
        <v>5</v>
      </c>
      <c r="AJ108" s="1" t="s">
        <v>274</v>
      </c>
      <c r="AK108" s="1">
        <v>53</v>
      </c>
      <c r="AL108" s="19">
        <v>0.65</v>
      </c>
      <c r="AN108" s="109" t="str">
        <f t="shared" si="12"/>
        <v>Janie &amp; JackUSAOutletJJ 3RD PARTY</v>
      </c>
      <c r="AO108" s="1" t="s">
        <v>30</v>
      </c>
      <c r="AP108" s="1" t="s">
        <v>16</v>
      </c>
      <c r="AQ108" s="1" t="s">
        <v>274</v>
      </c>
      <c r="AR108" s="1">
        <v>2018</v>
      </c>
      <c r="AS108" s="1" t="s">
        <v>33</v>
      </c>
      <c r="AT108" s="1" t="s">
        <v>270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270</v>
      </c>
    </row>
    <row r="109" spans="17:53" x14ac:dyDescent="0.25">
      <c r="Q109" s="109" t="str">
        <f t="shared" si="13"/>
        <v>Janie &amp; JackWinter 17</v>
      </c>
      <c r="R109" s="27" t="str">
        <f t="shared" si="14"/>
        <v>2018Janie &amp; JackWinter 17</v>
      </c>
      <c r="S109" s="393">
        <v>2018</v>
      </c>
      <c r="T109" s="394" t="s">
        <v>30</v>
      </c>
      <c r="U109" s="394" t="s">
        <v>480</v>
      </c>
      <c r="V109" s="394" t="s">
        <v>480</v>
      </c>
      <c r="W109" s="394"/>
      <c r="X109" s="343">
        <f t="shared" si="15"/>
        <v>7</v>
      </c>
      <c r="Y109" s="22"/>
      <c r="AG109" s="27" t="str">
        <f t="shared" si="11"/>
        <v>Janie &amp; JackWebUSA1</v>
      </c>
      <c r="AH109" s="1" t="s">
        <v>30</v>
      </c>
      <c r="AI109" s="1" t="s">
        <v>14</v>
      </c>
      <c r="AJ109" s="1" t="s">
        <v>274</v>
      </c>
      <c r="AK109" s="1">
        <v>1</v>
      </c>
      <c r="AL109" s="19">
        <v>0.3</v>
      </c>
      <c r="AN109" s="109" t="str">
        <f t="shared" si="12"/>
        <v>Janie &amp; JackUSAOutletJJ 18 JULY SB2</v>
      </c>
      <c r="AO109" s="1" t="s">
        <v>30</v>
      </c>
      <c r="AP109" s="1" t="s">
        <v>16</v>
      </c>
      <c r="AQ109" s="1" t="s">
        <v>274</v>
      </c>
      <c r="AR109" s="1">
        <v>2018</v>
      </c>
      <c r="AS109" s="1" t="s">
        <v>33</v>
      </c>
      <c r="AT109" s="1" t="s">
        <v>162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163</v>
      </c>
    </row>
    <row r="110" spans="17:53" x14ac:dyDescent="0.25">
      <c r="Q110" s="109" t="str">
        <f t="shared" si="13"/>
        <v>Janie &amp; JackSpring 18</v>
      </c>
      <c r="R110" s="27" t="str">
        <f t="shared" si="14"/>
        <v>2018Janie &amp; JackSpring 18</v>
      </c>
      <c r="S110" s="393">
        <v>2018</v>
      </c>
      <c r="T110" s="394" t="s">
        <v>30</v>
      </c>
      <c r="U110" s="394" t="s">
        <v>481</v>
      </c>
      <c r="V110" s="394" t="s">
        <v>481</v>
      </c>
      <c r="W110" s="394"/>
      <c r="X110" s="343">
        <f t="shared" si="15"/>
        <v>8</v>
      </c>
      <c r="Y110" s="22"/>
      <c r="AG110" s="27" t="str">
        <f t="shared" si="11"/>
        <v>Janie &amp; JackWebUSA2</v>
      </c>
      <c r="AH110" s="1" t="s">
        <v>30</v>
      </c>
      <c r="AI110" s="1" t="s">
        <v>14</v>
      </c>
      <c r="AJ110" s="1" t="s">
        <v>274</v>
      </c>
      <c r="AK110" s="1">
        <v>2</v>
      </c>
      <c r="AL110" s="19">
        <v>0.9</v>
      </c>
      <c r="AN110" s="109" t="str">
        <f t="shared" si="12"/>
        <v>Janie &amp; JackUSAOutletJJ 18 AUG FALL 0</v>
      </c>
      <c r="AO110" s="1" t="s">
        <v>30</v>
      </c>
      <c r="AP110" s="1" t="s">
        <v>16</v>
      </c>
      <c r="AQ110" s="1" t="s">
        <v>274</v>
      </c>
      <c r="AR110" s="1">
        <v>2018</v>
      </c>
      <c r="AS110" s="1" t="s">
        <v>31</v>
      </c>
      <c r="AT110" s="1" t="s">
        <v>144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145</v>
      </c>
    </row>
    <row r="111" spans="17:53" x14ac:dyDescent="0.25">
      <c r="Q111" s="109" t="str">
        <f t="shared" si="13"/>
        <v>Janie &amp; JackSummer 18</v>
      </c>
      <c r="R111" s="27" t="str">
        <f t="shared" si="14"/>
        <v>2018Janie &amp; JackSummer 18</v>
      </c>
      <c r="S111" s="393">
        <v>2018</v>
      </c>
      <c r="T111" s="394" t="s">
        <v>30</v>
      </c>
      <c r="U111" s="394" t="s">
        <v>482</v>
      </c>
      <c r="V111" s="394" t="s">
        <v>482</v>
      </c>
      <c r="W111" s="394"/>
      <c r="X111" s="343">
        <f t="shared" si="15"/>
        <v>9</v>
      </c>
      <c r="Y111" s="22"/>
      <c r="AG111" s="27" t="str">
        <f t="shared" si="11"/>
        <v>Janie &amp; JackWebUSA3</v>
      </c>
      <c r="AH111" s="1" t="s">
        <v>30</v>
      </c>
      <c r="AI111" s="1" t="s">
        <v>14</v>
      </c>
      <c r="AJ111" s="1" t="s">
        <v>274</v>
      </c>
      <c r="AK111" s="1">
        <v>3</v>
      </c>
      <c r="AL111" s="19">
        <v>0.13</v>
      </c>
      <c r="AN111" s="109" t="str">
        <f t="shared" si="12"/>
        <v>Janie &amp; JackUSAOutletJJ 18 LAY SIGNATURE 1</v>
      </c>
      <c r="AO111" s="1" t="s">
        <v>30</v>
      </c>
      <c r="AP111" s="1" t="s">
        <v>16</v>
      </c>
      <c r="AQ111" s="1" t="s">
        <v>274</v>
      </c>
      <c r="AR111" s="1">
        <v>2018</v>
      </c>
      <c r="AS111" s="1" t="s">
        <v>15</v>
      </c>
      <c r="AT111" s="1" t="s">
        <v>159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324</v>
      </c>
    </row>
    <row r="112" spans="17:53" x14ac:dyDescent="0.25">
      <c r="Q112" s="109" t="str">
        <f t="shared" si="13"/>
        <v>Janie &amp; JackOld</v>
      </c>
      <c r="R112" s="27" t="str">
        <f t="shared" si="14"/>
        <v>2018Janie &amp; JackOld</v>
      </c>
      <c r="S112" s="393">
        <v>2018</v>
      </c>
      <c r="T112" s="394" t="s">
        <v>30</v>
      </c>
      <c r="U112" s="394" t="s">
        <v>483</v>
      </c>
      <c r="V112" s="394" t="s">
        <v>483</v>
      </c>
      <c r="W112" s="394"/>
      <c r="X112" s="343">
        <f t="shared" si="15"/>
        <v>10</v>
      </c>
      <c r="Y112" s="22"/>
      <c r="AG112" s="27" t="str">
        <f t="shared" si="11"/>
        <v>Janie &amp; JackWebUSA4</v>
      </c>
      <c r="AH112" s="1" t="s">
        <v>30</v>
      </c>
      <c r="AI112" s="1" t="s">
        <v>14</v>
      </c>
      <c r="AJ112" s="1" t="s">
        <v>274</v>
      </c>
      <c r="AK112" s="1">
        <v>4</v>
      </c>
      <c r="AL112" s="19">
        <v>0.16</v>
      </c>
      <c r="AN112" s="109" t="str">
        <f t="shared" si="12"/>
        <v>Janie &amp; JackUSAOutletJJ 18 DEC SWIM</v>
      </c>
      <c r="AO112" s="1" t="s">
        <v>30</v>
      </c>
      <c r="AP112" s="1" t="s">
        <v>16</v>
      </c>
      <c r="AQ112" s="1" t="s">
        <v>274</v>
      </c>
      <c r="AR112" s="1">
        <v>2018</v>
      </c>
      <c r="AS112" s="1" t="s">
        <v>15</v>
      </c>
      <c r="AT112" s="1" t="s">
        <v>147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148</v>
      </c>
    </row>
    <row r="113" spans="17:53" x14ac:dyDescent="0.25">
      <c r="Q113" s="109" t="str">
        <f t="shared" si="13"/>
        <v>OutletGY 19 OUTLET VDAY</v>
      </c>
      <c r="R113" s="27" t="str">
        <f t="shared" si="14"/>
        <v>2018OutletSpring</v>
      </c>
      <c r="S113" s="393">
        <v>2018</v>
      </c>
      <c r="T113" s="394" t="s">
        <v>16</v>
      </c>
      <c r="U113" s="394" t="s">
        <v>15</v>
      </c>
      <c r="V113" s="394" t="s">
        <v>460</v>
      </c>
      <c r="W113" s="394"/>
      <c r="X113" s="343">
        <f t="shared" si="15"/>
        <v>1</v>
      </c>
      <c r="Y113" s="22"/>
      <c r="AG113" s="27" t="str">
        <f t="shared" si="11"/>
        <v>Janie &amp; JackWebUSA5</v>
      </c>
      <c r="AH113" s="1" t="s">
        <v>30</v>
      </c>
      <c r="AI113" s="1" t="s">
        <v>14</v>
      </c>
      <c r="AJ113" s="1" t="s">
        <v>274</v>
      </c>
      <c r="AK113" s="1">
        <v>5</v>
      </c>
      <c r="AL113" s="19">
        <v>0.24</v>
      </c>
      <c r="AN113" s="109" t="str">
        <f t="shared" si="12"/>
        <v>Janie &amp; JackUSAOutletJJ 18 DEC VDAY</v>
      </c>
      <c r="AO113" s="1" t="s">
        <v>30</v>
      </c>
      <c r="AP113" s="1" t="s">
        <v>16</v>
      </c>
      <c r="AQ113" s="1" t="s">
        <v>274</v>
      </c>
      <c r="AR113" s="1">
        <v>2018</v>
      </c>
      <c r="AS113" s="1" t="s">
        <v>15</v>
      </c>
      <c r="AT113" s="1" t="s">
        <v>169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170</v>
      </c>
    </row>
    <row r="114" spans="17:53" x14ac:dyDescent="0.25">
      <c r="Q114" s="109" t="str">
        <f t="shared" si="13"/>
        <v>OutletGY 18 OUTLET BNB FAL</v>
      </c>
      <c r="R114" s="27" t="str">
        <f t="shared" si="14"/>
        <v>2018OutletFall</v>
      </c>
      <c r="S114" s="393">
        <v>2018</v>
      </c>
      <c r="T114" s="394" t="s">
        <v>16</v>
      </c>
      <c r="U114" s="394" t="s">
        <v>31</v>
      </c>
      <c r="V114" s="394" t="s">
        <v>210</v>
      </c>
      <c r="W114" s="394"/>
      <c r="X114" s="343">
        <f t="shared" si="15"/>
        <v>3</v>
      </c>
      <c r="Y114" s="22"/>
      <c r="AG114" s="27" t="str">
        <f t="shared" si="11"/>
        <v>Janie &amp; JackWebUSA6</v>
      </c>
      <c r="AH114" s="1" t="s">
        <v>30</v>
      </c>
      <c r="AI114" s="1" t="s">
        <v>14</v>
      </c>
      <c r="AJ114" s="1" t="s">
        <v>274</v>
      </c>
      <c r="AK114" s="1">
        <v>6</v>
      </c>
      <c r="AL114" s="19">
        <v>0.25</v>
      </c>
      <c r="AN114" s="109" t="str">
        <f t="shared" si="12"/>
        <v>Janie &amp; JackUSAOutletJJ 18 DEC RESORT 2</v>
      </c>
      <c r="AO114" s="1" t="s">
        <v>30</v>
      </c>
      <c r="AP114" s="1" t="s">
        <v>16</v>
      </c>
      <c r="AQ114" s="1" t="s">
        <v>274</v>
      </c>
      <c r="AR114" s="1">
        <v>2018</v>
      </c>
      <c r="AS114" s="1" t="s">
        <v>15</v>
      </c>
      <c r="AT114" s="1" t="s">
        <v>171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172</v>
      </c>
    </row>
    <row r="115" spans="17:53" x14ac:dyDescent="0.25">
      <c r="Q115" s="109" t="str">
        <f t="shared" si="13"/>
        <v>OutletGY 18 OUTLET BTS 1</v>
      </c>
      <c r="R115" s="27" t="str">
        <f t="shared" si="14"/>
        <v>2018OutletFall</v>
      </c>
      <c r="S115" s="393">
        <v>2018</v>
      </c>
      <c r="T115" s="394" t="s">
        <v>16</v>
      </c>
      <c r="U115" s="394" t="s">
        <v>31</v>
      </c>
      <c r="V115" s="394" t="s">
        <v>206</v>
      </c>
      <c r="W115" s="394"/>
      <c r="X115" s="343">
        <f t="shared" si="15"/>
        <v>3</v>
      </c>
      <c r="Y115" s="22"/>
      <c r="AG115" s="27" t="str">
        <f t="shared" si="11"/>
        <v>Janie &amp; JackWebUSA7</v>
      </c>
      <c r="AH115" s="1" t="s">
        <v>30</v>
      </c>
      <c r="AI115" s="1" t="s">
        <v>14</v>
      </c>
      <c r="AJ115" s="1" t="s">
        <v>274</v>
      </c>
      <c r="AK115" s="1">
        <v>7</v>
      </c>
      <c r="AL115" s="19">
        <v>0.28999999999999998</v>
      </c>
      <c r="AN115" s="109" t="str">
        <f t="shared" si="12"/>
        <v>Janie &amp; JackUSAOutletJJ 18 JAN SPRING TRANS</v>
      </c>
      <c r="AO115" s="1" t="s">
        <v>30</v>
      </c>
      <c r="AP115" s="1" t="s">
        <v>16</v>
      </c>
      <c r="AQ115" s="1" t="s">
        <v>274</v>
      </c>
      <c r="AR115" s="1">
        <v>2018</v>
      </c>
      <c r="AS115" s="1" t="s">
        <v>15</v>
      </c>
      <c r="AT115" s="1" t="s">
        <v>177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178</v>
      </c>
    </row>
    <row r="116" spans="17:53" x14ac:dyDescent="0.25">
      <c r="Q116" s="109" t="str">
        <f t="shared" si="13"/>
        <v>OutletGY 18 OUTLET BTS 2</v>
      </c>
      <c r="R116" s="27" t="str">
        <f t="shared" si="14"/>
        <v>2018OutletFall</v>
      </c>
      <c r="S116" s="393">
        <v>2018</v>
      </c>
      <c r="T116" s="394" t="s">
        <v>16</v>
      </c>
      <c r="U116" s="394" t="s">
        <v>31</v>
      </c>
      <c r="V116" s="394" t="s">
        <v>208</v>
      </c>
      <c r="W116" s="394"/>
      <c r="X116" s="343">
        <f t="shared" si="15"/>
        <v>3</v>
      </c>
      <c r="Y116" s="22"/>
      <c r="AG116" s="27" t="str">
        <f t="shared" si="11"/>
        <v>Janie &amp; JackWebUSA8</v>
      </c>
      <c r="AH116" s="1" t="s">
        <v>30</v>
      </c>
      <c r="AI116" s="1" t="s">
        <v>14</v>
      </c>
      <c r="AJ116" s="1" t="s">
        <v>274</v>
      </c>
      <c r="AK116" s="1">
        <v>8</v>
      </c>
      <c r="AL116" s="19">
        <v>0.32</v>
      </c>
      <c r="AN116" s="109" t="str">
        <f t="shared" si="12"/>
        <v>Janie &amp; JackUSAOutletJJ 18 SB1</v>
      </c>
      <c r="AO116" s="1" t="s">
        <v>30</v>
      </c>
      <c r="AP116" s="1" t="s">
        <v>16</v>
      </c>
      <c r="AQ116" s="1" t="s">
        <v>274</v>
      </c>
      <c r="AR116" s="1">
        <v>2018</v>
      </c>
      <c r="AS116" s="1" t="s">
        <v>15</v>
      </c>
      <c r="AT116" s="1" t="s">
        <v>149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150</v>
      </c>
    </row>
    <row r="117" spans="17:53" x14ac:dyDescent="0.25">
      <c r="Q117" s="109" t="str">
        <f t="shared" si="13"/>
        <v>OutletGY 18 OUTLET FAL</v>
      </c>
      <c r="R117" s="27" t="str">
        <f t="shared" si="14"/>
        <v>2018OutletFall</v>
      </c>
      <c r="S117" s="393">
        <v>2018</v>
      </c>
      <c r="T117" s="394" t="s">
        <v>16</v>
      </c>
      <c r="U117" s="394" t="s">
        <v>31</v>
      </c>
      <c r="V117" s="394" t="s">
        <v>204</v>
      </c>
      <c r="W117" s="394"/>
      <c r="X117" s="343">
        <f t="shared" si="15"/>
        <v>3</v>
      </c>
      <c r="Y117" s="22"/>
      <c r="AG117" s="27" t="str">
        <f t="shared" si="11"/>
        <v>Janie &amp; JackWebUSA9</v>
      </c>
      <c r="AH117" s="1" t="s">
        <v>30</v>
      </c>
      <c r="AI117" s="1" t="s">
        <v>14</v>
      </c>
      <c r="AJ117" s="1" t="s">
        <v>274</v>
      </c>
      <c r="AK117" s="1">
        <v>9</v>
      </c>
      <c r="AL117" s="19">
        <v>0.41</v>
      </c>
      <c r="AN117" s="109" t="str">
        <f t="shared" si="12"/>
        <v>Janie &amp; JackUSAOutletJJ 18 SWIM 2</v>
      </c>
      <c r="AO117" s="1" t="s">
        <v>30</v>
      </c>
      <c r="AP117" s="1" t="s">
        <v>16</v>
      </c>
      <c r="AQ117" s="1" t="s">
        <v>274</v>
      </c>
      <c r="AR117" s="1">
        <v>2018</v>
      </c>
      <c r="AS117" s="1" t="s">
        <v>15</v>
      </c>
      <c r="AT117" s="1" t="s">
        <v>151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152</v>
      </c>
    </row>
    <row r="118" spans="17:53" x14ac:dyDescent="0.25">
      <c r="Q118" s="109" t="str">
        <f t="shared" si="13"/>
        <v>OutletGY 18 OUTLET FALL 1</v>
      </c>
      <c r="R118" s="27" t="str">
        <f t="shared" si="14"/>
        <v>2018OutletFall</v>
      </c>
      <c r="S118" s="393">
        <v>2018</v>
      </c>
      <c r="T118" s="394" t="s">
        <v>16</v>
      </c>
      <c r="U118" s="394" t="s">
        <v>31</v>
      </c>
      <c r="V118" s="394" t="s">
        <v>212</v>
      </c>
      <c r="W118" s="394"/>
      <c r="X118" s="343">
        <f t="shared" si="15"/>
        <v>3</v>
      </c>
      <c r="Y118" s="22"/>
      <c r="AG118" s="27" t="str">
        <f t="shared" si="11"/>
        <v>Janie &amp; JackWebUSA10</v>
      </c>
      <c r="AH118" s="1" t="s">
        <v>30</v>
      </c>
      <c r="AI118" s="1" t="s">
        <v>14</v>
      </c>
      <c r="AJ118" s="1" t="s">
        <v>274</v>
      </c>
      <c r="AK118" s="1">
        <v>10</v>
      </c>
      <c r="AL118" s="19">
        <v>0.41</v>
      </c>
      <c r="AN118" s="109" t="str">
        <f t="shared" si="12"/>
        <v>Janie &amp; JackUSAOutletJJ 18 JAN SPR GIFTING LAY</v>
      </c>
      <c r="AO118" s="1" t="s">
        <v>30</v>
      </c>
      <c r="AP118" s="1" t="s">
        <v>16</v>
      </c>
      <c r="AQ118" s="1" t="s">
        <v>274</v>
      </c>
      <c r="AR118" s="1">
        <v>2018</v>
      </c>
      <c r="AS118" s="1" t="s">
        <v>15</v>
      </c>
      <c r="AT118" s="1" t="s">
        <v>181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182</v>
      </c>
    </row>
    <row r="119" spans="17:53" x14ac:dyDescent="0.25">
      <c r="Q119" s="109" t="str">
        <f t="shared" si="13"/>
        <v>OutletGY 18 OUTLET FALL 2</v>
      </c>
      <c r="R119" s="27" t="str">
        <f t="shared" si="14"/>
        <v>2018OutletFall</v>
      </c>
      <c r="S119" s="393">
        <v>2018</v>
      </c>
      <c r="T119" s="394" t="s">
        <v>16</v>
      </c>
      <c r="U119" s="394" t="s">
        <v>31</v>
      </c>
      <c r="V119" s="394" t="s">
        <v>215</v>
      </c>
      <c r="W119" s="394"/>
      <c r="X119" s="343">
        <f t="shared" si="15"/>
        <v>3</v>
      </c>
      <c r="Y119" s="22"/>
      <c r="AG119" s="27" t="str">
        <f t="shared" si="11"/>
        <v>Janie &amp; JackWebUSA11</v>
      </c>
      <c r="AH119" s="1" t="s">
        <v>30</v>
      </c>
      <c r="AI119" s="1" t="s">
        <v>14</v>
      </c>
      <c r="AJ119" s="1" t="s">
        <v>274</v>
      </c>
      <c r="AK119" s="1">
        <v>11</v>
      </c>
      <c r="AL119" s="19">
        <v>0.47</v>
      </c>
      <c r="AN119" s="109" t="str">
        <f t="shared" si="12"/>
        <v>Janie &amp; JackUSAOutletJJ 18 JAN SPRING 1</v>
      </c>
      <c r="AO119" s="1" t="s">
        <v>30</v>
      </c>
      <c r="AP119" s="1" t="s">
        <v>16</v>
      </c>
      <c r="AQ119" s="1" t="s">
        <v>274</v>
      </c>
      <c r="AR119" s="1">
        <v>2018</v>
      </c>
      <c r="AS119" s="1" t="s">
        <v>15</v>
      </c>
      <c r="AT119" s="1" t="s">
        <v>167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168</v>
      </c>
    </row>
    <row r="120" spans="17:53" x14ac:dyDescent="0.25">
      <c r="Q120" s="109" t="str">
        <f t="shared" si="13"/>
        <v>OutletGY 18 OUTLET HARVEST</v>
      </c>
      <c r="R120" s="27" t="str">
        <f t="shared" si="14"/>
        <v>2018OutletFall</v>
      </c>
      <c r="S120" s="393">
        <v>2018</v>
      </c>
      <c r="T120" s="394" t="s">
        <v>16</v>
      </c>
      <c r="U120" s="394" t="s">
        <v>31</v>
      </c>
      <c r="V120" s="394" t="s">
        <v>214</v>
      </c>
      <c r="W120" s="394"/>
      <c r="X120" s="343">
        <f t="shared" si="15"/>
        <v>3</v>
      </c>
      <c r="Y120" s="22"/>
      <c r="AG120" s="27" t="str">
        <f t="shared" si="11"/>
        <v>Janie &amp; JackWebUSA12</v>
      </c>
      <c r="AH120" s="1" t="s">
        <v>30</v>
      </c>
      <c r="AI120" s="1" t="s">
        <v>14</v>
      </c>
      <c r="AJ120" s="1" t="s">
        <v>274</v>
      </c>
      <c r="AK120" s="1">
        <v>12</v>
      </c>
      <c r="AL120" s="19">
        <v>0.53</v>
      </c>
      <c r="AN120" s="109" t="str">
        <f t="shared" si="12"/>
        <v>Janie &amp; JackUSAOutletJJ 18 JAN SO SB1</v>
      </c>
      <c r="AO120" s="1" t="s">
        <v>30</v>
      </c>
      <c r="AP120" s="1" t="s">
        <v>16</v>
      </c>
      <c r="AQ120" s="1" t="s">
        <v>274</v>
      </c>
      <c r="AR120" s="1">
        <v>2018</v>
      </c>
      <c r="AS120" s="1" t="s">
        <v>15</v>
      </c>
      <c r="AT120" s="1" t="s">
        <v>153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154</v>
      </c>
    </row>
    <row r="121" spans="17:53" x14ac:dyDescent="0.25">
      <c r="Q121" s="109" t="str">
        <f t="shared" si="13"/>
        <v>OutletGY 18 OUTLET HOLIDAY DRESSY</v>
      </c>
      <c r="R121" s="27" t="str">
        <f t="shared" si="14"/>
        <v>2018OutletFall</v>
      </c>
      <c r="S121" s="393">
        <v>2018</v>
      </c>
      <c r="T121" s="394" t="s">
        <v>16</v>
      </c>
      <c r="U121" s="394" t="s">
        <v>31</v>
      </c>
      <c r="V121" s="394" t="s">
        <v>217</v>
      </c>
      <c r="W121" s="394"/>
      <c r="X121" s="343">
        <f t="shared" si="15"/>
        <v>3</v>
      </c>
      <c r="Y121" s="22"/>
      <c r="AG121" s="27" t="str">
        <f t="shared" si="11"/>
        <v>Janie &amp; JackWebUSA13</v>
      </c>
      <c r="AH121" s="1" t="s">
        <v>30</v>
      </c>
      <c r="AI121" s="1" t="s">
        <v>14</v>
      </c>
      <c r="AJ121" s="1" t="s">
        <v>274</v>
      </c>
      <c r="AK121" s="1">
        <v>13</v>
      </c>
      <c r="AL121" s="19">
        <v>0.51</v>
      </c>
      <c r="AN121" s="109" t="str">
        <f t="shared" si="12"/>
        <v>Janie &amp; JackUSAOutletJJ 18 FEB EASTER 1</v>
      </c>
      <c r="AO121" s="1" t="s">
        <v>30</v>
      </c>
      <c r="AP121" s="1" t="s">
        <v>16</v>
      </c>
      <c r="AQ121" s="1" t="s">
        <v>274</v>
      </c>
      <c r="AR121" s="1">
        <v>2018</v>
      </c>
      <c r="AS121" s="1" t="s">
        <v>15</v>
      </c>
      <c r="AT121" s="1" t="s">
        <v>173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174</v>
      </c>
    </row>
    <row r="122" spans="17:53" x14ac:dyDescent="0.25">
      <c r="Q122" s="109" t="str">
        <f t="shared" si="13"/>
        <v>OutletGY 18 OUTLET BNB WINTER</v>
      </c>
      <c r="R122" s="27" t="str">
        <f t="shared" si="14"/>
        <v>2018OutletWinter</v>
      </c>
      <c r="S122" s="393">
        <v>2018</v>
      </c>
      <c r="T122" s="394" t="s">
        <v>16</v>
      </c>
      <c r="U122" s="394" t="s">
        <v>32</v>
      </c>
      <c r="V122" s="394" t="s">
        <v>258</v>
      </c>
      <c r="W122" s="394"/>
      <c r="X122" s="343">
        <f t="shared" si="15"/>
        <v>4</v>
      </c>
      <c r="Y122" s="22"/>
      <c r="AG122" s="27" t="str">
        <f t="shared" si="11"/>
        <v>Janie &amp; JackWebUSA14</v>
      </c>
      <c r="AH122" s="1" t="s">
        <v>30</v>
      </c>
      <c r="AI122" s="1" t="s">
        <v>14</v>
      </c>
      <c r="AJ122" s="1" t="s">
        <v>274</v>
      </c>
      <c r="AK122" s="1">
        <v>14</v>
      </c>
      <c r="AL122" s="19">
        <v>0.43</v>
      </c>
      <c r="AN122" s="109" t="str">
        <f t="shared" si="12"/>
        <v>Janie &amp; JackUSAOutletJJ 18 FEB EASTER GIFT LAY</v>
      </c>
      <c r="AO122" s="1" t="s">
        <v>30</v>
      </c>
      <c r="AP122" s="1" t="s">
        <v>16</v>
      </c>
      <c r="AQ122" s="1" t="s">
        <v>274</v>
      </c>
      <c r="AR122" s="1">
        <v>2018</v>
      </c>
      <c r="AS122" s="1" t="s">
        <v>15</v>
      </c>
      <c r="AT122" s="1" t="s">
        <v>175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176</v>
      </c>
    </row>
    <row r="123" spans="17:53" x14ac:dyDescent="0.25">
      <c r="Q123" s="109" t="str">
        <f t="shared" si="13"/>
        <v>OutletGY 18 OUTLET POLAR FLEECE</v>
      </c>
      <c r="R123" s="27" t="str">
        <f t="shared" si="14"/>
        <v>2018OutletWinter</v>
      </c>
      <c r="S123" s="393">
        <v>2018</v>
      </c>
      <c r="T123" s="394" t="s">
        <v>16</v>
      </c>
      <c r="U123" s="394" t="s">
        <v>32</v>
      </c>
      <c r="V123" s="394" t="s">
        <v>259</v>
      </c>
      <c r="W123" s="394"/>
      <c r="X123" s="343">
        <f t="shared" si="15"/>
        <v>4</v>
      </c>
      <c r="Y123" s="22"/>
      <c r="AG123" s="27" t="str">
        <f t="shared" si="11"/>
        <v>Janie &amp; JackWebUSA15</v>
      </c>
      <c r="AH123" s="1" t="s">
        <v>30</v>
      </c>
      <c r="AI123" s="1" t="s">
        <v>14</v>
      </c>
      <c r="AJ123" s="1" t="s">
        <v>274</v>
      </c>
      <c r="AK123" s="1">
        <v>15</v>
      </c>
      <c r="AL123" s="19">
        <v>0.45</v>
      </c>
      <c r="AN123" s="109" t="str">
        <f t="shared" si="12"/>
        <v>Janie &amp; JackUSAOutletJJ 18 MAR EASTER 2</v>
      </c>
      <c r="AO123" s="1" t="s">
        <v>30</v>
      </c>
      <c r="AP123" s="1" t="s">
        <v>16</v>
      </c>
      <c r="AQ123" s="1" t="s">
        <v>274</v>
      </c>
      <c r="AR123" s="1">
        <v>2018</v>
      </c>
      <c r="AS123" s="1" t="s">
        <v>15</v>
      </c>
      <c r="AT123" s="1" t="s">
        <v>179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180</v>
      </c>
    </row>
    <row r="124" spans="17:53" x14ac:dyDescent="0.25">
      <c r="Q124" s="109" t="str">
        <f t="shared" si="13"/>
        <v>OutletGY 18 OUTLET SPRING TRANS</v>
      </c>
      <c r="R124" s="27" t="str">
        <f t="shared" si="14"/>
        <v>2018OutletWinter</v>
      </c>
      <c r="S124" s="393">
        <v>2018</v>
      </c>
      <c r="T124" s="394" t="s">
        <v>16</v>
      </c>
      <c r="U124" s="394" t="s">
        <v>32</v>
      </c>
      <c r="V124" s="394" t="s">
        <v>261</v>
      </c>
      <c r="W124" s="394"/>
      <c r="X124" s="343">
        <f t="shared" si="15"/>
        <v>4</v>
      </c>
      <c r="Y124" s="22"/>
      <c r="AG124" s="27" t="str">
        <f t="shared" si="11"/>
        <v>Janie &amp; JackWebUSA16</v>
      </c>
      <c r="AH124" s="1" t="s">
        <v>30</v>
      </c>
      <c r="AI124" s="1" t="s">
        <v>14</v>
      </c>
      <c r="AJ124" s="1" t="s">
        <v>274</v>
      </c>
      <c r="AK124" s="1">
        <v>16</v>
      </c>
      <c r="AL124" s="19">
        <v>0.5</v>
      </c>
      <c r="AN124" s="109" t="str">
        <f t="shared" si="12"/>
        <v>Janie &amp; JackUSAOutletJJ 18 SPR SO REFRESH</v>
      </c>
      <c r="AO124" s="1" t="s">
        <v>30</v>
      </c>
      <c r="AP124" s="1" t="s">
        <v>16</v>
      </c>
      <c r="AQ124" s="1" t="s">
        <v>274</v>
      </c>
      <c r="AR124" s="1">
        <v>2018</v>
      </c>
      <c r="AS124" s="1" t="s">
        <v>15</v>
      </c>
      <c r="AT124" s="1" t="s">
        <v>155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156</v>
      </c>
    </row>
    <row r="125" spans="17:53" x14ac:dyDescent="0.25">
      <c r="Q125" s="109" t="str">
        <f t="shared" si="13"/>
        <v>OutletGY 18 OUTLET WINTER 1</v>
      </c>
      <c r="R125" s="27" t="str">
        <f t="shared" si="14"/>
        <v>2018OutletWinter</v>
      </c>
      <c r="S125" s="393">
        <v>2018</v>
      </c>
      <c r="T125" s="394" t="s">
        <v>16</v>
      </c>
      <c r="U125" s="394" t="s">
        <v>32</v>
      </c>
      <c r="V125" s="394" t="s">
        <v>255</v>
      </c>
      <c r="W125" s="394"/>
      <c r="X125" s="343">
        <f t="shared" si="15"/>
        <v>4</v>
      </c>
      <c r="Y125" s="22"/>
      <c r="AG125" s="27" t="str">
        <f t="shared" si="11"/>
        <v>Janie &amp; JackWebUSA17</v>
      </c>
      <c r="AH125" s="1" t="s">
        <v>30</v>
      </c>
      <c r="AI125" s="1" t="s">
        <v>14</v>
      </c>
      <c r="AJ125" s="1" t="s">
        <v>274</v>
      </c>
      <c r="AK125" s="1">
        <v>17</v>
      </c>
      <c r="AL125" s="19">
        <v>0.51</v>
      </c>
      <c r="AN125" s="109" t="str">
        <f t="shared" si="12"/>
        <v>Janie &amp; JackUSAOutletJJ 18 MAR SPR 2</v>
      </c>
      <c r="AO125" s="1" t="s">
        <v>30</v>
      </c>
      <c r="AP125" s="1" t="s">
        <v>16</v>
      </c>
      <c r="AQ125" s="1" t="s">
        <v>274</v>
      </c>
      <c r="AR125" s="1">
        <v>2018</v>
      </c>
      <c r="AS125" s="1" t="s">
        <v>15</v>
      </c>
      <c r="AT125" s="1" t="s">
        <v>183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184</v>
      </c>
    </row>
    <row r="126" spans="17:53" x14ac:dyDescent="0.25">
      <c r="Q126" s="109" t="str">
        <f t="shared" si="13"/>
        <v>OutletGY 18 OUTLET WINTER 2</v>
      </c>
      <c r="R126" s="27" t="str">
        <f t="shared" si="14"/>
        <v>2018OutletWinter</v>
      </c>
      <c r="S126" s="393">
        <v>2018</v>
      </c>
      <c r="T126" s="394" t="s">
        <v>16</v>
      </c>
      <c r="U126" s="394" t="s">
        <v>32</v>
      </c>
      <c r="V126" s="394" t="s">
        <v>257</v>
      </c>
      <c r="W126" s="394"/>
      <c r="X126" s="343">
        <f t="shared" si="15"/>
        <v>4</v>
      </c>
      <c r="Y126" s="22"/>
      <c r="AG126" s="27" t="str">
        <f t="shared" si="11"/>
        <v>Janie &amp; JackWebUSA18</v>
      </c>
      <c r="AH126" s="1" t="s">
        <v>30</v>
      </c>
      <c r="AI126" s="1" t="s">
        <v>14</v>
      </c>
      <c r="AJ126" s="1" t="s">
        <v>274</v>
      </c>
      <c r="AK126" s="1">
        <v>18</v>
      </c>
      <c r="AL126" s="19">
        <v>0.49</v>
      </c>
      <c r="AN126" s="109" t="str">
        <f t="shared" si="12"/>
        <v>Janie &amp; JackUSAOutletJJ 18 MAR LAY SWIM</v>
      </c>
      <c r="AO126" s="1" t="s">
        <v>30</v>
      </c>
      <c r="AP126" s="1" t="s">
        <v>16</v>
      </c>
      <c r="AQ126" s="1" t="s">
        <v>274</v>
      </c>
      <c r="AR126" s="1">
        <v>2018</v>
      </c>
      <c r="AS126" s="1" t="s">
        <v>15</v>
      </c>
      <c r="AT126" s="1" t="s">
        <v>160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161</v>
      </c>
    </row>
    <row r="127" spans="17:53" x14ac:dyDescent="0.25">
      <c r="Q127" s="109" t="str">
        <f t="shared" si="13"/>
        <v>OutletGY 18 OUTLET WINTER 3</v>
      </c>
      <c r="R127" s="27" t="str">
        <f t="shared" si="14"/>
        <v>2018OutletWinter</v>
      </c>
      <c r="S127" s="393">
        <v>2018</v>
      </c>
      <c r="T127" s="394" t="s">
        <v>16</v>
      </c>
      <c r="U127" s="394" t="s">
        <v>32</v>
      </c>
      <c r="V127" s="394" t="s">
        <v>260</v>
      </c>
      <c r="W127" s="394"/>
      <c r="X127" s="343">
        <f t="shared" si="15"/>
        <v>4</v>
      </c>
      <c r="Y127" s="22"/>
      <c r="AG127" s="27" t="str">
        <f t="shared" si="11"/>
        <v>Janie &amp; JackWebUSA19</v>
      </c>
      <c r="AH127" s="1" t="s">
        <v>30</v>
      </c>
      <c r="AI127" s="1" t="s">
        <v>14</v>
      </c>
      <c r="AJ127" s="1" t="s">
        <v>274</v>
      </c>
      <c r="AK127" s="1">
        <v>19</v>
      </c>
      <c r="AL127" s="19">
        <v>0.4</v>
      </c>
      <c r="AN127" s="109" t="str">
        <f t="shared" si="12"/>
        <v>Janie &amp; JackUSAOutletJJ 18 FEB SPRING LIMITED EDITION</v>
      </c>
      <c r="AO127" s="1" t="s">
        <v>30</v>
      </c>
      <c r="AP127" s="1" t="s">
        <v>16</v>
      </c>
      <c r="AQ127" s="1" t="s">
        <v>274</v>
      </c>
      <c r="AR127" s="1">
        <v>2018</v>
      </c>
      <c r="AS127" s="1" t="s">
        <v>15</v>
      </c>
      <c r="AT127" s="1" t="s">
        <v>185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324</v>
      </c>
    </row>
    <row r="128" spans="17:53" x14ac:dyDescent="0.25">
      <c r="Q128" s="109" t="str">
        <f t="shared" si="13"/>
        <v>OutletGY 18 OUTLET WTR</v>
      </c>
      <c r="R128" s="27" t="str">
        <f t="shared" si="14"/>
        <v>2018OutletWinter</v>
      </c>
      <c r="S128" s="393">
        <v>2018</v>
      </c>
      <c r="T128" s="394" t="s">
        <v>16</v>
      </c>
      <c r="U128" s="394" t="s">
        <v>32</v>
      </c>
      <c r="V128" s="394" t="s">
        <v>256</v>
      </c>
      <c r="W128" s="394"/>
      <c r="X128" s="343">
        <f t="shared" si="15"/>
        <v>4</v>
      </c>
      <c r="Y128" s="22"/>
      <c r="AG128" s="27" t="str">
        <f t="shared" si="11"/>
        <v>Janie &amp; JackWebUSA20</v>
      </c>
      <c r="AH128" s="1" t="s">
        <v>30</v>
      </c>
      <c r="AI128" s="1" t="s">
        <v>14</v>
      </c>
      <c r="AJ128" s="1" t="s">
        <v>274</v>
      </c>
      <c r="AK128" s="1">
        <v>20</v>
      </c>
      <c r="AL128" s="19">
        <v>0.5</v>
      </c>
      <c r="AN128" s="109" t="str">
        <f t="shared" si="12"/>
        <v>Janie &amp; JackUSAOutletJJ 18 MAR SUMMER 0</v>
      </c>
      <c r="AO128" s="1" t="s">
        <v>30</v>
      </c>
      <c r="AP128" s="1" t="s">
        <v>16</v>
      </c>
      <c r="AQ128" s="1" t="s">
        <v>274</v>
      </c>
      <c r="AR128" s="1">
        <v>2018</v>
      </c>
      <c r="AS128" s="1" t="s">
        <v>17</v>
      </c>
      <c r="AT128" s="1" t="s">
        <v>187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188</v>
      </c>
    </row>
    <row r="129" spans="17:53" x14ac:dyDescent="0.25">
      <c r="Q129" s="109" t="str">
        <f t="shared" si="13"/>
        <v>OutletGY OUTLET YRLY BSCS</v>
      </c>
      <c r="R129" s="27" t="str">
        <f t="shared" si="14"/>
        <v>2018OutletBasics</v>
      </c>
      <c r="S129" s="393">
        <v>2018</v>
      </c>
      <c r="T129" s="394" t="s">
        <v>16</v>
      </c>
      <c r="U129" s="394" t="s">
        <v>33</v>
      </c>
      <c r="V129" s="394" t="s">
        <v>271</v>
      </c>
      <c r="W129" s="394"/>
      <c r="X129" s="343">
        <f t="shared" si="15"/>
        <v>5</v>
      </c>
      <c r="Y129" s="22"/>
      <c r="AG129" s="27" t="str">
        <f t="shared" si="11"/>
        <v>Janie &amp; JackWebUSA21</v>
      </c>
      <c r="AH129" s="1" t="s">
        <v>30</v>
      </c>
      <c r="AI129" s="1" t="s">
        <v>14</v>
      </c>
      <c r="AJ129" s="1" t="s">
        <v>274</v>
      </c>
      <c r="AK129" s="1">
        <v>21</v>
      </c>
      <c r="AL129" s="19">
        <v>0.55000000000000004</v>
      </c>
      <c r="AN129" s="109" t="str">
        <f t="shared" si="12"/>
        <v>Janie &amp; JackUSAOutletJJ 18 APR SMR 1</v>
      </c>
      <c r="AO129" s="1" t="s">
        <v>30</v>
      </c>
      <c r="AP129" s="1" t="s">
        <v>16</v>
      </c>
      <c r="AQ129" s="1" t="s">
        <v>274</v>
      </c>
      <c r="AR129" s="1">
        <v>2018</v>
      </c>
      <c r="AS129" s="1" t="s">
        <v>17</v>
      </c>
      <c r="AT129" s="1" t="s">
        <v>189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190</v>
      </c>
    </row>
    <row r="130" spans="17:53" x14ac:dyDescent="0.25">
      <c r="Q130" s="109" t="str">
        <f t="shared" ref="Q130:Q135" si="16">T130&amp;V130</f>
        <v>OutletGY 18 OUTLET SB1</v>
      </c>
      <c r="R130" s="27" t="str">
        <f t="shared" ref="R130:R161" si="17">S130&amp;T130&amp;U130</f>
        <v>2018OutletSeasonal Basics</v>
      </c>
      <c r="S130" s="393">
        <v>2018</v>
      </c>
      <c r="T130" s="394" t="s">
        <v>16</v>
      </c>
      <c r="U130" s="394" t="s">
        <v>65</v>
      </c>
      <c r="V130" s="394" t="s">
        <v>219</v>
      </c>
      <c r="W130" s="394"/>
      <c r="X130" s="343">
        <f t="shared" ref="X130:X135" si="18">MATCH(U130,ListSeason,0)</f>
        <v>6</v>
      </c>
      <c r="Y130" s="22"/>
      <c r="AG130" s="27" t="str">
        <f t="shared" si="11"/>
        <v>Janie &amp; JackWebUSA22</v>
      </c>
      <c r="AH130" s="1" t="s">
        <v>30</v>
      </c>
      <c r="AI130" s="1" t="s">
        <v>14</v>
      </c>
      <c r="AJ130" s="1" t="s">
        <v>274</v>
      </c>
      <c r="AK130" s="1">
        <v>22</v>
      </c>
      <c r="AL130" s="19">
        <v>0.55000000000000004</v>
      </c>
      <c r="AN130" s="109" t="str">
        <f t="shared" si="12"/>
        <v>Janie &amp; JackUSAOutletJJ 18 SMR BASICS</v>
      </c>
      <c r="AO130" s="1" t="s">
        <v>30</v>
      </c>
      <c r="AP130" s="1" t="s">
        <v>16</v>
      </c>
      <c r="AQ130" s="1" t="s">
        <v>274</v>
      </c>
      <c r="AR130" s="1">
        <v>2018</v>
      </c>
      <c r="AS130" s="1" t="s">
        <v>17</v>
      </c>
      <c r="AT130" s="1" t="s">
        <v>157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158</v>
      </c>
    </row>
    <row r="131" spans="17:53" x14ac:dyDescent="0.25">
      <c r="Q131" s="109" t="str">
        <f t="shared" si="16"/>
        <v>OutletGY 18 OUTLET SB2</v>
      </c>
      <c r="R131" s="27" t="str">
        <f t="shared" si="17"/>
        <v>2018OutletSeasonal Basics</v>
      </c>
      <c r="S131" s="393">
        <v>2018</v>
      </c>
      <c r="T131" s="394" t="s">
        <v>16</v>
      </c>
      <c r="U131" s="394" t="s">
        <v>65</v>
      </c>
      <c r="V131" s="394" t="s">
        <v>221</v>
      </c>
      <c r="W131" s="394"/>
      <c r="X131" s="343">
        <f t="shared" si="18"/>
        <v>6</v>
      </c>
      <c r="Y131" s="22"/>
      <c r="AG131" s="27" t="str">
        <f t="shared" si="11"/>
        <v>Janie &amp; JackWebUSA23</v>
      </c>
      <c r="AH131" s="1" t="s">
        <v>30</v>
      </c>
      <c r="AI131" s="1" t="s">
        <v>14</v>
      </c>
      <c r="AJ131" s="1" t="s">
        <v>274</v>
      </c>
      <c r="AK131" s="1">
        <v>23</v>
      </c>
      <c r="AL131" s="19">
        <v>0.55000000000000004</v>
      </c>
      <c r="AN131" s="109" t="str">
        <f t="shared" si="12"/>
        <v>Janie &amp; JackUSAOutletJJ 18 MAR JJ SPORT</v>
      </c>
      <c r="AO131" s="1" t="s">
        <v>30</v>
      </c>
      <c r="AP131" s="1" t="s">
        <v>16</v>
      </c>
      <c r="AQ131" s="1" t="s">
        <v>274</v>
      </c>
      <c r="AR131" s="1">
        <v>2018</v>
      </c>
      <c r="AS131" s="1" t="s">
        <v>17</v>
      </c>
      <c r="AT131" s="1" t="s">
        <v>186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324</v>
      </c>
    </row>
    <row r="132" spans="17:53" x14ac:dyDescent="0.25">
      <c r="Q132" s="109" t="str">
        <f t="shared" si="16"/>
        <v>OutletWinter 17</v>
      </c>
      <c r="R132" s="27" t="str">
        <f t="shared" si="17"/>
        <v>2018OutletWinter 17</v>
      </c>
      <c r="S132" s="393">
        <v>2018</v>
      </c>
      <c r="T132" s="394" t="s">
        <v>16</v>
      </c>
      <c r="U132" s="394" t="s">
        <v>480</v>
      </c>
      <c r="V132" s="394" t="s">
        <v>480</v>
      </c>
      <c r="W132" s="394"/>
      <c r="X132" s="343">
        <f t="shared" si="18"/>
        <v>7</v>
      </c>
      <c r="Y132" s="22"/>
      <c r="AG132" s="27" t="str">
        <f t="shared" ref="AG132:AG195" si="19">AH132&amp;AI132&amp;AJ132&amp;AK132</f>
        <v>Janie &amp; JackWebUSA24</v>
      </c>
      <c r="AH132" s="1" t="s">
        <v>30</v>
      </c>
      <c r="AI132" s="1" t="s">
        <v>14</v>
      </c>
      <c r="AJ132" s="1" t="s">
        <v>274</v>
      </c>
      <c r="AK132" s="1">
        <v>24</v>
      </c>
      <c r="AL132" s="19">
        <v>0.56000000000000005</v>
      </c>
      <c r="AN132" s="109" t="str">
        <f t="shared" ref="AN132:AN195" si="20">AO132&amp;AQ132&amp;AP132&amp;AT132</f>
        <v>Janie &amp; JackUSAOutletJJ 18 MAY SUMMER 2</v>
      </c>
      <c r="AO132" s="1" t="s">
        <v>30</v>
      </c>
      <c r="AP132" s="1" t="s">
        <v>16</v>
      </c>
      <c r="AQ132" s="1" t="s">
        <v>274</v>
      </c>
      <c r="AR132" s="1">
        <v>2018</v>
      </c>
      <c r="AS132" s="1" t="s">
        <v>17</v>
      </c>
      <c r="AT132" s="1" t="s">
        <v>191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192</v>
      </c>
    </row>
    <row r="133" spans="17:53" x14ac:dyDescent="0.25">
      <c r="Q133" s="109" t="str">
        <f t="shared" si="16"/>
        <v>OutletSpring 18</v>
      </c>
      <c r="R133" s="27" t="str">
        <f t="shared" si="17"/>
        <v>2018OutletSpring 18</v>
      </c>
      <c r="S133" s="393">
        <v>2018</v>
      </c>
      <c r="T133" s="394" t="s">
        <v>16</v>
      </c>
      <c r="U133" s="394" t="s">
        <v>481</v>
      </c>
      <c r="V133" s="394" t="s">
        <v>481</v>
      </c>
      <c r="W133" s="394"/>
      <c r="X133" s="343">
        <f t="shared" si="18"/>
        <v>8</v>
      </c>
      <c r="Y133" s="22"/>
      <c r="AG133" s="27" t="str">
        <f t="shared" si="19"/>
        <v>Janie &amp; JackWebUSA25</v>
      </c>
      <c r="AH133" s="1" t="s">
        <v>30</v>
      </c>
      <c r="AI133" s="1" t="s">
        <v>14</v>
      </c>
      <c r="AJ133" s="1" t="s">
        <v>274</v>
      </c>
      <c r="AK133" s="1">
        <v>25</v>
      </c>
      <c r="AL133" s="19">
        <v>0.6</v>
      </c>
      <c r="AN133" s="109" t="str">
        <f t="shared" si="20"/>
        <v>Janie &amp; JackUSAOutletJJ 18 MAY 4TH OF JULY</v>
      </c>
      <c r="AO133" s="1" t="s">
        <v>30</v>
      </c>
      <c r="AP133" s="1" t="s">
        <v>16</v>
      </c>
      <c r="AQ133" s="1" t="s">
        <v>274</v>
      </c>
      <c r="AR133" s="1">
        <v>2018</v>
      </c>
      <c r="AS133" s="1" t="s">
        <v>17</v>
      </c>
      <c r="AT133" s="1" t="s">
        <v>193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194</v>
      </c>
    </row>
    <row r="134" spans="17:53" x14ac:dyDescent="0.25">
      <c r="Q134" s="109" t="str">
        <f t="shared" si="16"/>
        <v>OutletSummer 18</v>
      </c>
      <c r="R134" s="27" t="str">
        <f t="shared" si="17"/>
        <v>2018OutletSummer 18</v>
      </c>
      <c r="S134" s="393">
        <v>2018</v>
      </c>
      <c r="T134" s="394" t="s">
        <v>16</v>
      </c>
      <c r="U134" s="394" t="s">
        <v>482</v>
      </c>
      <c r="V134" s="394" t="s">
        <v>482</v>
      </c>
      <c r="W134" s="394"/>
      <c r="X134" s="343">
        <f t="shared" si="18"/>
        <v>9</v>
      </c>
      <c r="Y134" s="22"/>
      <c r="AG134" s="27" t="str">
        <f t="shared" si="19"/>
        <v>Janie &amp; JackWebUSA26</v>
      </c>
      <c r="AH134" s="1" t="s">
        <v>30</v>
      </c>
      <c r="AI134" s="1" t="s">
        <v>14</v>
      </c>
      <c r="AJ134" s="1" t="s">
        <v>274</v>
      </c>
      <c r="AK134" s="1">
        <v>26</v>
      </c>
      <c r="AL134" s="19">
        <v>0.65</v>
      </c>
      <c r="AN134" s="109" t="str">
        <f t="shared" si="20"/>
        <v>Janie &amp; JackUSAOutletJJ 18 MAY TRANS GIFT LAY</v>
      </c>
      <c r="AO134" s="1" t="s">
        <v>30</v>
      </c>
      <c r="AP134" s="1" t="s">
        <v>16</v>
      </c>
      <c r="AQ134" s="1" t="s">
        <v>274</v>
      </c>
      <c r="AR134" s="1">
        <v>2018</v>
      </c>
      <c r="AS134" s="1" t="s">
        <v>17</v>
      </c>
      <c r="AT134" s="1" t="s">
        <v>202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203</v>
      </c>
    </row>
    <row r="135" spans="17:53" x14ac:dyDescent="0.25">
      <c r="Q135" s="109" t="str">
        <f t="shared" si="16"/>
        <v>OutletOld</v>
      </c>
      <c r="R135" s="27" t="str">
        <f t="shared" si="17"/>
        <v>2018OutletOld</v>
      </c>
      <c r="S135" s="393">
        <v>2018</v>
      </c>
      <c r="T135" s="394" t="s">
        <v>16</v>
      </c>
      <c r="U135" s="394" t="s">
        <v>483</v>
      </c>
      <c r="V135" s="394" t="s">
        <v>483</v>
      </c>
      <c r="W135" s="394"/>
      <c r="X135" s="343">
        <f t="shared" si="18"/>
        <v>10</v>
      </c>
      <c r="Y135" s="22"/>
      <c r="AG135" s="27" t="str">
        <f t="shared" si="19"/>
        <v>Janie &amp; JackWebUSA27</v>
      </c>
      <c r="AH135" s="1" t="s">
        <v>30</v>
      </c>
      <c r="AI135" s="1" t="s">
        <v>14</v>
      </c>
      <c r="AJ135" s="1" t="s">
        <v>274</v>
      </c>
      <c r="AK135" s="1">
        <v>27</v>
      </c>
      <c r="AL135" s="19">
        <v>0.65</v>
      </c>
      <c r="AN135" s="109" t="str">
        <f t="shared" si="20"/>
        <v>Janie &amp; JackUSAOutletJJ 18 MAY SUMMER 3</v>
      </c>
      <c r="AO135" s="1" t="s">
        <v>30</v>
      </c>
      <c r="AP135" s="1" t="s">
        <v>16</v>
      </c>
      <c r="AQ135" s="1" t="s">
        <v>274</v>
      </c>
      <c r="AR135" s="1">
        <v>2018</v>
      </c>
      <c r="AS135" s="1" t="s">
        <v>17</v>
      </c>
      <c r="AT135" s="1" t="s">
        <v>195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196</v>
      </c>
    </row>
    <row r="136" spans="17:53" x14ac:dyDescent="0.25">
      <c r="Q136" s="109" t="str">
        <f t="shared" ref="Q136:Q189" si="21">T136&amp;V136</f>
        <v/>
      </c>
      <c r="R136" s="27" t="str">
        <f t="shared" ref="R136:R189" si="22">S136&amp;T136&amp;U136</f>
        <v/>
      </c>
      <c r="S136" s="343"/>
      <c r="T136" s="344"/>
      <c r="U136" s="344"/>
      <c r="V136" s="344"/>
      <c r="W136" s="344"/>
      <c r="X136" s="343" t="e">
        <f t="shared" ref="X136:X157" si="23">MATCH(U136,ListSeason,0)</f>
        <v>#N/A</v>
      </c>
      <c r="Y136" s="22"/>
      <c r="AG136" s="27" t="str">
        <f t="shared" si="19"/>
        <v>Janie &amp; JackWebUSA28</v>
      </c>
      <c r="AH136" s="1" t="s">
        <v>30</v>
      </c>
      <c r="AI136" s="1" t="s">
        <v>14</v>
      </c>
      <c r="AJ136" s="1" t="s">
        <v>274</v>
      </c>
      <c r="AK136" s="1">
        <v>28</v>
      </c>
      <c r="AL136" s="19">
        <v>0.65</v>
      </c>
      <c r="AN136" s="109" t="str">
        <f t="shared" si="20"/>
        <v>Janie &amp; JackUSAOutletJJ 18 MAY SPORT</v>
      </c>
      <c r="AO136" s="1" t="s">
        <v>30</v>
      </c>
      <c r="AP136" s="1" t="s">
        <v>16</v>
      </c>
      <c r="AQ136" s="1" t="s">
        <v>274</v>
      </c>
      <c r="AR136" s="1">
        <v>2018</v>
      </c>
      <c r="AS136" s="1" t="s">
        <v>17</v>
      </c>
      <c r="AT136" s="1" t="s">
        <v>312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324</v>
      </c>
    </row>
    <row r="137" spans="17:53" x14ac:dyDescent="0.25">
      <c r="Q137" s="109" t="str">
        <f t="shared" si="21"/>
        <v/>
      </c>
      <c r="R137" s="27" t="str">
        <f t="shared" si="22"/>
        <v/>
      </c>
      <c r="S137" s="343"/>
      <c r="T137" s="344"/>
      <c r="U137" s="344"/>
      <c r="V137" s="344"/>
      <c r="W137" s="344"/>
      <c r="X137" s="343" t="e">
        <f t="shared" si="23"/>
        <v>#N/A</v>
      </c>
      <c r="Y137" s="22"/>
      <c r="AG137" s="27" t="str">
        <f t="shared" si="19"/>
        <v>Janie &amp; JackWebUSA29</v>
      </c>
      <c r="AH137" s="1" t="s">
        <v>30</v>
      </c>
      <c r="AI137" s="1" t="s">
        <v>14</v>
      </c>
      <c r="AJ137" s="1" t="s">
        <v>274</v>
      </c>
      <c r="AK137" s="1">
        <v>29</v>
      </c>
      <c r="AL137" s="19">
        <v>0.65</v>
      </c>
      <c r="AN137" s="109" t="str">
        <f t="shared" si="20"/>
        <v>Janie &amp; JackUSAOutletJJ 18 MAY SUMMER 4</v>
      </c>
      <c r="AO137" s="1" t="s">
        <v>30</v>
      </c>
      <c r="AP137" s="1" t="s">
        <v>16</v>
      </c>
      <c r="AQ137" s="1" t="s">
        <v>274</v>
      </c>
      <c r="AR137" s="1">
        <v>2018</v>
      </c>
      <c r="AS137" s="1" t="s">
        <v>17</v>
      </c>
      <c r="AT137" s="1" t="s">
        <v>197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198</v>
      </c>
    </row>
    <row r="138" spans="17:53" x14ac:dyDescent="0.25">
      <c r="Q138" s="109" t="str">
        <f t="shared" si="21"/>
        <v/>
      </c>
      <c r="R138" s="27" t="str">
        <f t="shared" si="22"/>
        <v/>
      </c>
      <c r="S138" s="343"/>
      <c r="T138" s="344"/>
      <c r="U138" s="344"/>
      <c r="V138" s="344"/>
      <c r="W138" s="344"/>
      <c r="X138" s="343" t="e">
        <f t="shared" si="23"/>
        <v>#N/A</v>
      </c>
      <c r="Y138" s="22"/>
      <c r="AG138" s="27" t="str">
        <f t="shared" si="19"/>
        <v>Janie &amp; JackWebUSA30</v>
      </c>
      <c r="AH138" s="1" t="s">
        <v>30</v>
      </c>
      <c r="AI138" s="1" t="s">
        <v>14</v>
      </c>
      <c r="AJ138" s="1" t="s">
        <v>274</v>
      </c>
      <c r="AK138" s="1">
        <v>30</v>
      </c>
      <c r="AL138" s="19">
        <v>0.65</v>
      </c>
      <c r="AN138" s="109" t="str">
        <f t="shared" si="20"/>
        <v>Janie &amp; JackUSAOutletJJ 18 JUN TRANS 1</v>
      </c>
      <c r="AO138" s="1" t="s">
        <v>30</v>
      </c>
      <c r="AP138" s="1" t="s">
        <v>16</v>
      </c>
      <c r="AQ138" s="1" t="s">
        <v>274</v>
      </c>
      <c r="AR138" s="1">
        <v>2018</v>
      </c>
      <c r="AS138" s="1" t="s">
        <v>17</v>
      </c>
      <c r="AT138" s="1" t="s">
        <v>199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200</v>
      </c>
    </row>
    <row r="139" spans="17:53" x14ac:dyDescent="0.25">
      <c r="Q139" s="109" t="str">
        <f t="shared" si="21"/>
        <v/>
      </c>
      <c r="R139" s="27" t="str">
        <f t="shared" si="22"/>
        <v/>
      </c>
      <c r="S139" s="343"/>
      <c r="T139" s="344"/>
      <c r="U139" s="344"/>
      <c r="V139" s="344"/>
      <c r="W139" s="344"/>
      <c r="X139" s="343" t="e">
        <f t="shared" si="23"/>
        <v>#N/A</v>
      </c>
      <c r="Y139" s="22"/>
      <c r="AG139" s="27" t="str">
        <f t="shared" si="19"/>
        <v>Janie &amp; JackWebUSA31</v>
      </c>
      <c r="AH139" s="1" t="s">
        <v>30</v>
      </c>
      <c r="AI139" s="1" t="s">
        <v>14</v>
      </c>
      <c r="AJ139" s="1" t="s">
        <v>274</v>
      </c>
      <c r="AK139" s="1">
        <v>31</v>
      </c>
      <c r="AL139" s="19">
        <v>0.65</v>
      </c>
      <c r="AN139" s="109" t="str">
        <f t="shared" si="20"/>
        <v>Janie &amp; JackUSAOutletJJ 18 JULY TRANS 2</v>
      </c>
      <c r="AO139" s="1" t="s">
        <v>30</v>
      </c>
      <c r="AP139" s="1" t="s">
        <v>16</v>
      </c>
      <c r="AQ139" s="1" t="s">
        <v>274</v>
      </c>
      <c r="AR139" s="1">
        <v>2018</v>
      </c>
      <c r="AS139" s="1" t="s">
        <v>17</v>
      </c>
      <c r="AT139" s="1" t="s">
        <v>140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141</v>
      </c>
    </row>
    <row r="140" spans="17:53" x14ac:dyDescent="0.25">
      <c r="Q140" s="109" t="str">
        <f t="shared" si="21"/>
        <v/>
      </c>
      <c r="R140" s="27" t="str">
        <f t="shared" si="22"/>
        <v/>
      </c>
      <c r="S140" s="343"/>
      <c r="T140" s="344"/>
      <c r="U140" s="344"/>
      <c r="V140" s="344"/>
      <c r="W140" s="344"/>
      <c r="X140" s="343" t="e">
        <f t="shared" si="23"/>
        <v>#N/A</v>
      </c>
      <c r="Y140" s="22"/>
      <c r="AG140" s="27" t="str">
        <f t="shared" si="19"/>
        <v>Janie &amp; JackWebUSA32</v>
      </c>
      <c r="AH140" s="1" t="s">
        <v>30</v>
      </c>
      <c r="AI140" s="1" t="s">
        <v>14</v>
      </c>
      <c r="AJ140" s="1" t="s">
        <v>274</v>
      </c>
      <c r="AK140" s="1">
        <v>32</v>
      </c>
      <c r="AL140" s="19">
        <v>0.65</v>
      </c>
      <c r="AN140" s="109" t="str">
        <f t="shared" si="20"/>
        <v>Janie &amp; JackUSAOutletJJ 18 LAY SIGNATURE 2</v>
      </c>
      <c r="AO140" s="1" t="s">
        <v>30</v>
      </c>
      <c r="AP140" s="1" t="s">
        <v>16</v>
      </c>
      <c r="AQ140" s="1" t="s">
        <v>274</v>
      </c>
      <c r="AR140" s="1">
        <v>2018</v>
      </c>
      <c r="AS140" s="1" t="s">
        <v>17</v>
      </c>
      <c r="AT140" s="1" t="s">
        <v>166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324</v>
      </c>
    </row>
    <row r="141" spans="17:53" x14ac:dyDescent="0.25">
      <c r="Q141" s="109" t="str">
        <f t="shared" si="21"/>
        <v/>
      </c>
      <c r="R141" s="27" t="str">
        <f t="shared" si="22"/>
        <v/>
      </c>
      <c r="S141" s="343"/>
      <c r="T141" s="344"/>
      <c r="U141" s="344"/>
      <c r="V141" s="344"/>
      <c r="W141" s="344"/>
      <c r="X141" s="343" t="e">
        <f t="shared" si="23"/>
        <v>#N/A</v>
      </c>
      <c r="Y141" s="22"/>
      <c r="AG141" s="27" t="str">
        <f t="shared" si="19"/>
        <v>Janie &amp; JackWebUSA33</v>
      </c>
      <c r="AH141" s="1" t="s">
        <v>30</v>
      </c>
      <c r="AI141" s="1" t="s">
        <v>14</v>
      </c>
      <c r="AJ141" s="1" t="s">
        <v>274</v>
      </c>
      <c r="AK141" s="1">
        <v>33</v>
      </c>
      <c r="AL141" s="19">
        <v>0.65</v>
      </c>
      <c r="AN141" s="109" t="str">
        <f t="shared" si="20"/>
        <v>Janie &amp; JackUSAOutletJJ 18 JULY SO SB 2</v>
      </c>
      <c r="AO141" s="1" t="s">
        <v>30</v>
      </c>
      <c r="AP141" s="1" t="s">
        <v>16</v>
      </c>
      <c r="AQ141" s="1" t="s">
        <v>274</v>
      </c>
      <c r="AR141" s="1">
        <v>2018</v>
      </c>
      <c r="AS141" s="1" t="s">
        <v>17</v>
      </c>
      <c r="AT141" s="1" t="s">
        <v>164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165</v>
      </c>
    </row>
    <row r="142" spans="17:53" x14ac:dyDescent="0.25">
      <c r="Q142" s="109" t="str">
        <f t="shared" si="21"/>
        <v/>
      </c>
      <c r="R142" s="27" t="str">
        <f t="shared" si="22"/>
        <v/>
      </c>
      <c r="S142" s="343"/>
      <c r="T142" s="344"/>
      <c r="U142" s="344"/>
      <c r="V142" s="344"/>
      <c r="W142" s="344"/>
      <c r="X142" s="343" t="e">
        <f t="shared" si="23"/>
        <v>#N/A</v>
      </c>
      <c r="Y142" s="22"/>
      <c r="AG142" s="27" t="str">
        <f t="shared" si="19"/>
        <v>Janie &amp; JackWebUSA34</v>
      </c>
      <c r="AH142" s="1" t="s">
        <v>30</v>
      </c>
      <c r="AI142" s="1" t="s">
        <v>14</v>
      </c>
      <c r="AJ142" s="1" t="s">
        <v>274</v>
      </c>
      <c r="AK142" s="1">
        <v>34</v>
      </c>
      <c r="AL142" s="19">
        <v>0.65</v>
      </c>
      <c r="AN142" s="109" t="str">
        <f t="shared" si="20"/>
        <v>Janie &amp; JackUSAOutletJJ 18 JULY TRANS 3</v>
      </c>
      <c r="AO142" s="1" t="s">
        <v>30</v>
      </c>
      <c r="AP142" s="1" t="s">
        <v>16</v>
      </c>
      <c r="AQ142" s="1" t="s">
        <v>274</v>
      </c>
      <c r="AR142" s="1">
        <v>2018</v>
      </c>
      <c r="AS142" s="1" t="s">
        <v>17</v>
      </c>
      <c r="AT142" s="1" t="s">
        <v>142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143</v>
      </c>
    </row>
    <row r="143" spans="17:53" x14ac:dyDescent="0.25">
      <c r="Q143" s="109" t="str">
        <f t="shared" si="21"/>
        <v/>
      </c>
      <c r="R143" s="27" t="str">
        <f t="shared" si="22"/>
        <v/>
      </c>
      <c r="S143" s="343"/>
      <c r="T143" s="344"/>
      <c r="U143" s="344"/>
      <c r="V143" s="344"/>
      <c r="W143" s="344"/>
      <c r="X143" s="343" t="e">
        <f t="shared" si="23"/>
        <v>#N/A</v>
      </c>
      <c r="Y143" s="22"/>
      <c r="AG143" s="27" t="str">
        <f t="shared" si="19"/>
        <v>Janie &amp; JackWebUSA35</v>
      </c>
      <c r="AH143" s="1" t="s">
        <v>30</v>
      </c>
      <c r="AI143" s="1" t="s">
        <v>14</v>
      </c>
      <c r="AJ143" s="1" t="s">
        <v>274</v>
      </c>
      <c r="AK143" s="1">
        <v>35</v>
      </c>
      <c r="AL143" s="19">
        <v>0.65</v>
      </c>
      <c r="AN143" s="109" t="str">
        <f t="shared" si="20"/>
        <v>Janie &amp; JackUSAOutletJJ 18 JUN JJ SPORT</v>
      </c>
      <c r="AO143" s="1" t="s">
        <v>30</v>
      </c>
      <c r="AP143" s="1" t="s">
        <v>16</v>
      </c>
      <c r="AQ143" s="1" t="s">
        <v>274</v>
      </c>
      <c r="AR143" s="1">
        <v>2018</v>
      </c>
      <c r="AS143" s="1" t="s">
        <v>17</v>
      </c>
      <c r="AT143" s="1" t="s">
        <v>201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324</v>
      </c>
    </row>
    <row r="144" spans="17:53" x14ac:dyDescent="0.25">
      <c r="Q144" s="109" t="str">
        <f t="shared" si="21"/>
        <v/>
      </c>
      <c r="R144" s="27" t="str">
        <f t="shared" si="22"/>
        <v/>
      </c>
      <c r="S144" s="343"/>
      <c r="T144" s="344"/>
      <c r="U144" s="344"/>
      <c r="V144" s="344"/>
      <c r="W144" s="344"/>
      <c r="X144" s="343" t="e">
        <f t="shared" si="23"/>
        <v>#N/A</v>
      </c>
      <c r="Y144" s="22"/>
      <c r="AG144" s="27" t="str">
        <f t="shared" si="19"/>
        <v>Janie &amp; JackWebUSA36</v>
      </c>
      <c r="AH144" s="1" t="s">
        <v>30</v>
      </c>
      <c r="AI144" s="1" t="s">
        <v>14</v>
      </c>
      <c r="AJ144" s="1" t="s">
        <v>274</v>
      </c>
      <c r="AK144" s="1">
        <v>36</v>
      </c>
      <c r="AL144" s="19">
        <v>0.65</v>
      </c>
      <c r="AN144" s="109" t="str">
        <f t="shared" si="20"/>
        <v>Janie &amp; JackUSAOutletJJ 18 JULY FALL GIFT LAY</v>
      </c>
      <c r="AO144" s="1" t="s">
        <v>30</v>
      </c>
      <c r="AP144" s="1" t="s">
        <v>16</v>
      </c>
      <c r="AQ144" s="1" t="s">
        <v>274</v>
      </c>
      <c r="AR144" s="1">
        <v>2018</v>
      </c>
      <c r="AS144" s="1" t="s">
        <v>17</v>
      </c>
      <c r="AT144" s="1" t="s">
        <v>146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308</v>
      </c>
    </row>
    <row r="145" spans="17:53" x14ac:dyDescent="0.25">
      <c r="Q145" s="109" t="str">
        <f t="shared" si="21"/>
        <v/>
      </c>
      <c r="R145" s="27" t="str">
        <f t="shared" si="22"/>
        <v/>
      </c>
      <c r="S145" s="343"/>
      <c r="T145" s="344"/>
      <c r="U145" s="344"/>
      <c r="V145" s="344"/>
      <c r="W145" s="344"/>
      <c r="X145" s="343" t="e">
        <f t="shared" si="23"/>
        <v>#N/A</v>
      </c>
      <c r="Y145" s="22"/>
      <c r="AG145" s="27" t="str">
        <f t="shared" si="19"/>
        <v>Janie &amp; JackWebUSA37</v>
      </c>
      <c r="AH145" s="1" t="s">
        <v>30</v>
      </c>
      <c r="AI145" s="1" t="s">
        <v>14</v>
      </c>
      <c r="AJ145" s="1" t="s">
        <v>274</v>
      </c>
      <c r="AK145" s="1">
        <v>37</v>
      </c>
      <c r="AL145" s="19">
        <v>0.65</v>
      </c>
      <c r="AN145" s="109" t="str">
        <f t="shared" si="20"/>
        <v>GymboreeUSARetailGY 18 VDAY</v>
      </c>
      <c r="AO145" s="1" t="s">
        <v>13</v>
      </c>
      <c r="AP145" s="1" t="s">
        <v>5</v>
      </c>
      <c r="AQ145" s="1" t="s">
        <v>274</v>
      </c>
      <c r="AR145" s="1">
        <v>2018</v>
      </c>
      <c r="AS145" s="1" t="s">
        <v>15</v>
      </c>
      <c r="AT145" s="1" t="s">
        <v>310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309</v>
      </c>
    </row>
    <row r="146" spans="17:53" x14ac:dyDescent="0.25">
      <c r="Q146" s="109" t="str">
        <f t="shared" si="21"/>
        <v/>
      </c>
      <c r="R146" s="27" t="str">
        <f t="shared" si="22"/>
        <v/>
      </c>
      <c r="S146" s="343"/>
      <c r="T146" s="344"/>
      <c r="U146" s="344"/>
      <c r="V146" s="344"/>
      <c r="W146" s="344"/>
      <c r="X146" s="343" t="e">
        <f t="shared" si="23"/>
        <v>#N/A</v>
      </c>
      <c r="Y146" s="22"/>
      <c r="AG146" s="27" t="str">
        <f t="shared" si="19"/>
        <v>Janie &amp; JackWebUSA38</v>
      </c>
      <c r="AH146" s="1" t="s">
        <v>30</v>
      </c>
      <c r="AI146" s="1" t="s">
        <v>14</v>
      </c>
      <c r="AJ146" s="1" t="s">
        <v>274</v>
      </c>
      <c r="AK146" s="1">
        <v>38</v>
      </c>
      <c r="AL146" s="19">
        <v>0.65</v>
      </c>
      <c r="AN146" s="109" t="str">
        <f t="shared" si="20"/>
        <v>GymboreeUSARetailGY 18 SPR</v>
      </c>
      <c r="AO146" s="1" t="s">
        <v>13</v>
      </c>
      <c r="AP146" s="1" t="s">
        <v>5</v>
      </c>
      <c r="AQ146" s="1" t="s">
        <v>274</v>
      </c>
      <c r="AR146" s="1">
        <v>2018</v>
      </c>
      <c r="AS146" s="1" t="s">
        <v>15</v>
      </c>
      <c r="AT146" s="1" t="s">
        <v>114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115</v>
      </c>
    </row>
    <row r="147" spans="17:53" x14ac:dyDescent="0.25">
      <c r="Q147" s="109" t="str">
        <f t="shared" si="21"/>
        <v/>
      </c>
      <c r="R147" s="27" t="str">
        <f t="shared" si="22"/>
        <v/>
      </c>
      <c r="S147" s="343"/>
      <c r="T147" s="344"/>
      <c r="U147" s="344"/>
      <c r="V147" s="344"/>
      <c r="W147" s="344"/>
      <c r="X147" s="343" t="e">
        <f t="shared" si="23"/>
        <v>#N/A</v>
      </c>
      <c r="Y147" s="22"/>
      <c r="AG147" s="27" t="str">
        <f t="shared" si="19"/>
        <v>Janie &amp; JackWebUSA39</v>
      </c>
      <c r="AH147" s="1" t="s">
        <v>30</v>
      </c>
      <c r="AI147" s="1" t="s">
        <v>14</v>
      </c>
      <c r="AJ147" s="1" t="s">
        <v>274</v>
      </c>
      <c r="AK147" s="1">
        <v>39</v>
      </c>
      <c r="AL147" s="19">
        <v>0.65</v>
      </c>
      <c r="AN147" s="109" t="str">
        <f t="shared" si="20"/>
        <v>GymboreeUSARetailGY 18 SPRING BASICS</v>
      </c>
      <c r="AO147" s="1" t="s">
        <v>13</v>
      </c>
      <c r="AP147" s="1" t="s">
        <v>5</v>
      </c>
      <c r="AQ147" s="1" t="s">
        <v>274</v>
      </c>
      <c r="AR147" s="1">
        <v>2018</v>
      </c>
      <c r="AS147" s="1" t="s">
        <v>15</v>
      </c>
      <c r="AT147" s="1" t="s">
        <v>112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113</v>
      </c>
    </row>
    <row r="148" spans="17:53" x14ac:dyDescent="0.25">
      <c r="Q148" s="109" t="str">
        <f t="shared" si="21"/>
        <v/>
      </c>
      <c r="R148" s="27" t="str">
        <f t="shared" si="22"/>
        <v/>
      </c>
      <c r="S148" s="343"/>
      <c r="T148" s="344"/>
      <c r="U148" s="344"/>
      <c r="V148" s="344"/>
      <c r="W148" s="344"/>
      <c r="X148" s="343" t="e">
        <f t="shared" si="23"/>
        <v>#N/A</v>
      </c>
      <c r="Y148" s="22"/>
      <c r="AG148" s="27" t="str">
        <f t="shared" si="19"/>
        <v>Janie &amp; JackWebUSA40</v>
      </c>
      <c r="AH148" s="1" t="s">
        <v>30</v>
      </c>
      <c r="AI148" s="1" t="s">
        <v>14</v>
      </c>
      <c r="AJ148" s="1" t="s">
        <v>274</v>
      </c>
      <c r="AK148" s="1">
        <v>40</v>
      </c>
      <c r="AL148" s="19">
        <v>0.65</v>
      </c>
      <c r="AN148" s="109" t="str">
        <f t="shared" si="20"/>
        <v>GymboreeUSARetailGY 18 SPR 1</v>
      </c>
      <c r="AO148" s="1" t="s">
        <v>13</v>
      </c>
      <c r="AP148" s="1" t="s">
        <v>5</v>
      </c>
      <c r="AQ148" s="1" t="s">
        <v>274</v>
      </c>
      <c r="AR148" s="1">
        <v>2018</v>
      </c>
      <c r="AS148" s="1" t="s">
        <v>15</v>
      </c>
      <c r="AT148" s="1" t="s">
        <v>116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117</v>
      </c>
    </row>
    <row r="149" spans="17:53" x14ac:dyDescent="0.25">
      <c r="Q149" s="109" t="str">
        <f t="shared" si="21"/>
        <v/>
      </c>
      <c r="R149" s="27" t="str">
        <f t="shared" si="22"/>
        <v/>
      </c>
      <c r="S149" s="343"/>
      <c r="T149" s="344"/>
      <c r="U149" s="344"/>
      <c r="V149" s="344"/>
      <c r="W149" s="344"/>
      <c r="X149" s="343" t="e">
        <f t="shared" si="23"/>
        <v>#N/A</v>
      </c>
      <c r="Y149" s="22"/>
      <c r="AG149" s="27" t="str">
        <f t="shared" si="19"/>
        <v>Janie &amp; JackWebUSA41</v>
      </c>
      <c r="AH149" s="1" t="s">
        <v>30</v>
      </c>
      <c r="AI149" s="1" t="s">
        <v>14</v>
      </c>
      <c r="AJ149" s="1" t="s">
        <v>274</v>
      </c>
      <c r="AK149" s="1">
        <v>41</v>
      </c>
      <c r="AL149" s="19">
        <v>0.65</v>
      </c>
      <c r="AN149" s="109" t="str">
        <f t="shared" si="20"/>
        <v>GymboreeUSARetailGY 18 SPR 2</v>
      </c>
      <c r="AO149" s="1" t="s">
        <v>13</v>
      </c>
      <c r="AP149" s="1" t="s">
        <v>5</v>
      </c>
      <c r="AQ149" s="1" t="s">
        <v>274</v>
      </c>
      <c r="AR149" s="1">
        <v>2018</v>
      </c>
      <c r="AS149" s="1" t="s">
        <v>15</v>
      </c>
      <c r="AT149" s="1" t="s">
        <v>46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47</v>
      </c>
    </row>
    <row r="150" spans="17:53" x14ac:dyDescent="0.25">
      <c r="Q150" s="109" t="str">
        <f t="shared" si="21"/>
        <v/>
      </c>
      <c r="R150" s="27" t="str">
        <f t="shared" si="22"/>
        <v/>
      </c>
      <c r="S150" s="343"/>
      <c r="T150" s="344"/>
      <c r="U150" s="344"/>
      <c r="V150" s="344"/>
      <c r="W150" s="344"/>
      <c r="X150" s="343" t="e">
        <f t="shared" si="23"/>
        <v>#N/A</v>
      </c>
      <c r="Y150" s="22"/>
      <c r="AG150" s="27" t="str">
        <f t="shared" si="19"/>
        <v>Janie &amp; JackWebUSA42</v>
      </c>
      <c r="AH150" s="1" t="s">
        <v>30</v>
      </c>
      <c r="AI150" s="1" t="s">
        <v>14</v>
      </c>
      <c r="AJ150" s="1" t="s">
        <v>274</v>
      </c>
      <c r="AK150" s="1">
        <v>42</v>
      </c>
      <c r="AL150" s="19">
        <v>0.65</v>
      </c>
      <c r="AN150" s="109" t="str">
        <f t="shared" si="20"/>
        <v>GymboreeUSARetailGY 18 SWIM 1</v>
      </c>
      <c r="AO150" s="1" t="s">
        <v>13</v>
      </c>
      <c r="AP150" s="1" t="s">
        <v>5</v>
      </c>
      <c r="AQ150" s="1" t="s">
        <v>274</v>
      </c>
      <c r="AR150" s="1">
        <v>2018</v>
      </c>
      <c r="AS150" s="1" t="s">
        <v>15</v>
      </c>
      <c r="AT150" s="1" t="s">
        <v>118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119</v>
      </c>
    </row>
    <row r="151" spans="17:53" x14ac:dyDescent="0.25">
      <c r="Q151" s="109" t="str">
        <f t="shared" si="21"/>
        <v/>
      </c>
      <c r="R151" s="27" t="str">
        <f t="shared" si="22"/>
        <v/>
      </c>
      <c r="S151" s="343"/>
      <c r="T151" s="344"/>
      <c r="U151" s="344"/>
      <c r="V151" s="344"/>
      <c r="W151" s="344"/>
      <c r="X151" s="343" t="e">
        <f t="shared" si="23"/>
        <v>#N/A</v>
      </c>
      <c r="Y151" s="22"/>
      <c r="AG151" s="27" t="str">
        <f t="shared" si="19"/>
        <v>Janie &amp; JackWebUSA43</v>
      </c>
      <c r="AH151" s="1" t="s">
        <v>30</v>
      </c>
      <c r="AI151" s="1" t="s">
        <v>14</v>
      </c>
      <c r="AJ151" s="1" t="s">
        <v>274</v>
      </c>
      <c r="AK151" s="1">
        <v>43</v>
      </c>
      <c r="AL151" s="19">
        <v>0.65</v>
      </c>
      <c r="AN151" s="109" t="str">
        <f t="shared" si="20"/>
        <v>GymboreeUSARetailGY 18 SPR VACA</v>
      </c>
      <c r="AO151" s="1" t="s">
        <v>13</v>
      </c>
      <c r="AP151" s="1" t="s">
        <v>5</v>
      </c>
      <c r="AQ151" s="1" t="s">
        <v>274</v>
      </c>
      <c r="AR151" s="1">
        <v>2018</v>
      </c>
      <c r="AS151" s="1" t="s">
        <v>15</v>
      </c>
      <c r="AT151" s="1" t="s">
        <v>122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123</v>
      </c>
    </row>
    <row r="152" spans="17:53" x14ac:dyDescent="0.25">
      <c r="Q152" s="109" t="str">
        <f t="shared" si="21"/>
        <v/>
      </c>
      <c r="R152" s="27" t="str">
        <f t="shared" si="22"/>
        <v/>
      </c>
      <c r="S152" s="343"/>
      <c r="T152" s="344"/>
      <c r="U152" s="344"/>
      <c r="V152" s="344"/>
      <c r="W152" s="344"/>
      <c r="X152" s="343" t="e">
        <f t="shared" si="23"/>
        <v>#N/A</v>
      </c>
      <c r="Y152" s="22"/>
      <c r="AG152" s="27" t="str">
        <f t="shared" si="19"/>
        <v>Janie &amp; JackWebUSA44</v>
      </c>
      <c r="AH152" s="1" t="s">
        <v>30</v>
      </c>
      <c r="AI152" s="1" t="s">
        <v>14</v>
      </c>
      <c r="AJ152" s="1" t="s">
        <v>274</v>
      </c>
      <c r="AK152" s="1">
        <v>44</v>
      </c>
      <c r="AL152" s="19">
        <v>0.65</v>
      </c>
      <c r="AN152" s="109" t="str">
        <f t="shared" si="20"/>
        <v>GymboreeUSARetailGY 18 SWIM 2</v>
      </c>
      <c r="AO152" s="1" t="s">
        <v>13</v>
      </c>
      <c r="AP152" s="1" t="s">
        <v>5</v>
      </c>
      <c r="AQ152" s="1" t="s">
        <v>274</v>
      </c>
      <c r="AR152" s="1">
        <v>2018</v>
      </c>
      <c r="AS152" s="1" t="s">
        <v>15</v>
      </c>
      <c r="AT152" s="1" t="s">
        <v>126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127</v>
      </c>
    </row>
    <row r="153" spans="17:53" x14ac:dyDescent="0.25">
      <c r="Q153" s="109" t="str">
        <f t="shared" si="21"/>
        <v/>
      </c>
      <c r="R153" s="27" t="str">
        <f t="shared" si="22"/>
        <v/>
      </c>
      <c r="S153" s="343"/>
      <c r="T153" s="344"/>
      <c r="U153" s="344"/>
      <c r="V153" s="344"/>
      <c r="W153" s="344"/>
      <c r="X153" s="343" t="e">
        <f t="shared" si="23"/>
        <v>#N/A</v>
      </c>
      <c r="Y153" s="22"/>
      <c r="AG153" s="27" t="str">
        <f t="shared" si="19"/>
        <v>Janie &amp; JackWebUSA45</v>
      </c>
      <c r="AH153" s="1" t="s">
        <v>30</v>
      </c>
      <c r="AI153" s="1" t="s">
        <v>14</v>
      </c>
      <c r="AJ153" s="1" t="s">
        <v>274</v>
      </c>
      <c r="AK153" s="1">
        <v>45</v>
      </c>
      <c r="AL153" s="19">
        <v>0.65</v>
      </c>
      <c r="AN153" s="109" t="str">
        <f t="shared" si="20"/>
        <v>GymboreeUSARetailGY 18 SUM 1</v>
      </c>
      <c r="AO153" s="1" t="s">
        <v>13</v>
      </c>
      <c r="AP153" s="1" t="s">
        <v>5</v>
      </c>
      <c r="AQ153" s="1" t="s">
        <v>274</v>
      </c>
      <c r="AR153" s="1">
        <v>2018</v>
      </c>
      <c r="AS153" s="1" t="s">
        <v>15</v>
      </c>
      <c r="AT153" s="1" t="s">
        <v>124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125</v>
      </c>
    </row>
    <row r="154" spans="17:53" x14ac:dyDescent="0.25">
      <c r="Q154" s="109" t="str">
        <f t="shared" si="21"/>
        <v/>
      </c>
      <c r="R154" s="27" t="str">
        <f t="shared" si="22"/>
        <v/>
      </c>
      <c r="S154" s="343"/>
      <c r="T154" s="344"/>
      <c r="U154" s="344"/>
      <c r="V154" s="344"/>
      <c r="W154" s="344"/>
      <c r="X154" s="343" t="e">
        <f t="shared" si="23"/>
        <v>#N/A</v>
      </c>
      <c r="Y154" s="22"/>
      <c r="AG154" s="27" t="str">
        <f t="shared" si="19"/>
        <v>Janie &amp; JackWebUSA46</v>
      </c>
      <c r="AH154" s="1" t="s">
        <v>30</v>
      </c>
      <c r="AI154" s="1" t="s">
        <v>14</v>
      </c>
      <c r="AJ154" s="1" t="s">
        <v>274</v>
      </c>
      <c r="AK154" s="1">
        <v>46</v>
      </c>
      <c r="AL154" s="19">
        <v>0.65</v>
      </c>
      <c r="AN154" s="109" t="str">
        <f t="shared" si="20"/>
        <v>GymboreeUSARetailGY 18 DRESSY</v>
      </c>
      <c r="AO154" s="1" t="s">
        <v>13</v>
      </c>
      <c r="AP154" s="1" t="s">
        <v>5</v>
      </c>
      <c r="AQ154" s="1" t="s">
        <v>274</v>
      </c>
      <c r="AR154" s="1">
        <v>2018</v>
      </c>
      <c r="AS154" s="1" t="s">
        <v>15</v>
      </c>
      <c r="AT154" s="1" t="s">
        <v>120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121</v>
      </c>
    </row>
    <row r="155" spans="17:53" x14ac:dyDescent="0.25">
      <c r="Q155" s="109" t="str">
        <f t="shared" si="21"/>
        <v/>
      </c>
      <c r="R155" s="27" t="str">
        <f t="shared" si="22"/>
        <v/>
      </c>
      <c r="S155" s="343"/>
      <c r="T155" s="344"/>
      <c r="U155" s="344"/>
      <c r="V155" s="344"/>
      <c r="W155" s="344"/>
      <c r="X155" s="343" t="e">
        <f t="shared" si="23"/>
        <v>#N/A</v>
      </c>
      <c r="Y155" s="22"/>
      <c r="AG155" s="27" t="str">
        <f t="shared" si="19"/>
        <v>Janie &amp; JackWebUSA47</v>
      </c>
      <c r="AH155" s="1" t="s">
        <v>30</v>
      </c>
      <c r="AI155" s="1" t="s">
        <v>14</v>
      </c>
      <c r="AJ155" s="1" t="s">
        <v>274</v>
      </c>
      <c r="AK155" s="1">
        <v>47</v>
      </c>
      <c r="AL155" s="19">
        <v>0.65</v>
      </c>
      <c r="AN155" s="109" t="str">
        <f t="shared" si="20"/>
        <v>GymboreeUSARetailGY 18 SMR</v>
      </c>
      <c r="AO155" s="1" t="s">
        <v>13</v>
      </c>
      <c r="AP155" s="1" t="s">
        <v>5</v>
      </c>
      <c r="AQ155" s="1" t="s">
        <v>274</v>
      </c>
      <c r="AR155" s="1">
        <v>2018</v>
      </c>
      <c r="AS155" s="1" t="s">
        <v>17</v>
      </c>
      <c r="AT155" s="1" t="s">
        <v>138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139</v>
      </c>
    </row>
    <row r="156" spans="17:53" x14ac:dyDescent="0.25">
      <c r="Q156" s="109" t="str">
        <f t="shared" si="21"/>
        <v/>
      </c>
      <c r="R156" s="27" t="str">
        <f t="shared" si="22"/>
        <v/>
      </c>
      <c r="S156" s="343"/>
      <c r="T156" s="344"/>
      <c r="U156" s="344"/>
      <c r="V156" s="344"/>
      <c r="W156" s="344"/>
      <c r="X156" s="343" t="e">
        <f t="shared" si="23"/>
        <v>#N/A</v>
      </c>
      <c r="Y156" s="22"/>
      <c r="AG156" s="27" t="str">
        <f t="shared" si="19"/>
        <v>Janie &amp; JackWebUSA48</v>
      </c>
      <c r="AH156" s="1" t="s">
        <v>30</v>
      </c>
      <c r="AI156" s="1" t="s">
        <v>14</v>
      </c>
      <c r="AJ156" s="1" t="s">
        <v>274</v>
      </c>
      <c r="AK156" s="1">
        <v>48</v>
      </c>
      <c r="AL156" s="19">
        <v>0.65</v>
      </c>
      <c r="AN156" s="109" t="str">
        <f t="shared" si="20"/>
        <v>GymboreeUSARetailGY 18 SM2</v>
      </c>
      <c r="AO156" s="1" t="s">
        <v>13</v>
      </c>
      <c r="AP156" s="1" t="s">
        <v>5</v>
      </c>
      <c r="AQ156" s="1" t="s">
        <v>274</v>
      </c>
      <c r="AR156" s="1">
        <v>2018</v>
      </c>
      <c r="AS156" s="1" t="s">
        <v>17</v>
      </c>
      <c r="AT156" s="1" t="s">
        <v>128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129</v>
      </c>
    </row>
    <row r="157" spans="17:53" x14ac:dyDescent="0.25">
      <c r="Q157" s="109" t="str">
        <f t="shared" si="21"/>
        <v/>
      </c>
      <c r="R157" s="27" t="str">
        <f t="shared" si="22"/>
        <v/>
      </c>
      <c r="S157" s="343"/>
      <c r="T157" s="344"/>
      <c r="U157" s="344"/>
      <c r="V157" s="344"/>
      <c r="W157" s="344"/>
      <c r="X157" s="343" t="e">
        <f t="shared" si="23"/>
        <v>#N/A</v>
      </c>
      <c r="Y157" s="22"/>
      <c r="AG157" s="27" t="str">
        <f t="shared" si="19"/>
        <v>Janie &amp; JackWebUSA49</v>
      </c>
      <c r="AH157" s="1" t="s">
        <v>30</v>
      </c>
      <c r="AI157" s="1" t="s">
        <v>14</v>
      </c>
      <c r="AJ157" s="1" t="s">
        <v>274</v>
      </c>
      <c r="AK157" s="1">
        <v>49</v>
      </c>
      <c r="AL157" s="19">
        <v>0.65</v>
      </c>
      <c r="AN157" s="109" t="str">
        <f t="shared" si="20"/>
        <v>GymboreeUSARetailGY 18 SWIM 3</v>
      </c>
      <c r="AO157" s="1" t="s">
        <v>13</v>
      </c>
      <c r="AP157" s="1" t="s">
        <v>5</v>
      </c>
      <c r="AQ157" s="1" t="s">
        <v>274</v>
      </c>
      <c r="AR157" s="1">
        <v>2018</v>
      </c>
      <c r="AS157" s="1" t="s">
        <v>17</v>
      </c>
      <c r="AT157" s="1" t="s">
        <v>132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133</v>
      </c>
    </row>
    <row r="158" spans="17:53" x14ac:dyDescent="0.25">
      <c r="Q158" s="109" t="str">
        <f t="shared" si="21"/>
        <v/>
      </c>
      <c r="R158" s="27" t="str">
        <f t="shared" si="22"/>
        <v/>
      </c>
      <c r="S158" s="343"/>
      <c r="T158" s="344"/>
      <c r="U158" s="344"/>
      <c r="V158" s="344"/>
      <c r="W158" s="344"/>
      <c r="X158" s="343" t="e">
        <f t="shared" ref="X158:X180" si="24">MATCH(U158,ListSeason,0)</f>
        <v>#N/A</v>
      </c>
      <c r="Y158" s="22"/>
      <c r="AG158" s="27" t="str">
        <f t="shared" si="19"/>
        <v>Janie &amp; JackWebUSA50</v>
      </c>
      <c r="AH158" s="1" t="s">
        <v>30</v>
      </c>
      <c r="AI158" s="1" t="s">
        <v>14</v>
      </c>
      <c r="AJ158" s="1" t="s">
        <v>274</v>
      </c>
      <c r="AK158" s="1">
        <v>50</v>
      </c>
      <c r="AL158" s="19">
        <v>0.65</v>
      </c>
      <c r="AN158" s="109" t="str">
        <f t="shared" si="20"/>
        <v>GymboreeUSARetailGY 18 SM3</v>
      </c>
      <c r="AO158" s="1" t="s">
        <v>13</v>
      </c>
      <c r="AP158" s="1" t="s">
        <v>5</v>
      </c>
      <c r="AQ158" s="1" t="s">
        <v>274</v>
      </c>
      <c r="AR158" s="1">
        <v>2018</v>
      </c>
      <c r="AS158" s="1" t="s">
        <v>17</v>
      </c>
      <c r="AT158" s="1" t="s">
        <v>130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131</v>
      </c>
    </row>
    <row r="159" spans="17:53" x14ac:dyDescent="0.25">
      <c r="Q159" s="109" t="str">
        <f t="shared" si="21"/>
        <v/>
      </c>
      <c r="R159" s="27" t="str">
        <f t="shared" si="22"/>
        <v/>
      </c>
      <c r="S159" s="343"/>
      <c r="T159" s="344"/>
      <c r="U159" s="344"/>
      <c r="V159" s="344"/>
      <c r="W159" s="344"/>
      <c r="X159" s="343" t="e">
        <f t="shared" si="24"/>
        <v>#N/A</v>
      </c>
      <c r="Y159" s="22"/>
      <c r="AG159" s="27" t="str">
        <f t="shared" si="19"/>
        <v>Janie &amp; JackWebUSA51</v>
      </c>
      <c r="AH159" s="1" t="s">
        <v>30</v>
      </c>
      <c r="AI159" s="1" t="s">
        <v>14</v>
      </c>
      <c r="AJ159" s="1" t="s">
        <v>274</v>
      </c>
      <c r="AK159" s="1">
        <v>51</v>
      </c>
      <c r="AL159" s="19">
        <v>0.65</v>
      </c>
      <c r="AN159" s="109" t="str">
        <f t="shared" si="20"/>
        <v>GymboreeUSARetailGY 18 SM4</v>
      </c>
      <c r="AO159" s="1" t="s">
        <v>13</v>
      </c>
      <c r="AP159" s="1" t="s">
        <v>5</v>
      </c>
      <c r="AQ159" s="1" t="s">
        <v>274</v>
      </c>
      <c r="AR159" s="1">
        <v>2018</v>
      </c>
      <c r="AS159" s="1" t="s">
        <v>17</v>
      </c>
      <c r="AT159" s="1" t="s">
        <v>134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135</v>
      </c>
    </row>
    <row r="160" spans="17:53" x14ac:dyDescent="0.25">
      <c r="Q160" s="109" t="str">
        <f t="shared" si="21"/>
        <v/>
      </c>
      <c r="R160" s="27" t="str">
        <f t="shared" si="22"/>
        <v/>
      </c>
      <c r="S160" s="343"/>
      <c r="T160" s="344"/>
      <c r="U160" s="344"/>
      <c r="V160" s="344"/>
      <c r="W160" s="344"/>
      <c r="X160" s="343" t="e">
        <f t="shared" si="24"/>
        <v>#N/A</v>
      </c>
      <c r="Y160" s="22"/>
      <c r="AG160" s="27" t="str">
        <f t="shared" si="19"/>
        <v>Janie &amp; JackWebUSA52</v>
      </c>
      <c r="AH160" s="1" t="s">
        <v>30</v>
      </c>
      <c r="AI160" s="1" t="s">
        <v>14</v>
      </c>
      <c r="AJ160" s="1" t="s">
        <v>274</v>
      </c>
      <c r="AK160" s="1">
        <v>52</v>
      </c>
      <c r="AL160" s="19">
        <v>0.65</v>
      </c>
      <c r="AN160" s="109" t="str">
        <f t="shared" si="20"/>
        <v>GymboreeUSARetailGY 18 SM5</v>
      </c>
      <c r="AO160" s="1" t="s">
        <v>13</v>
      </c>
      <c r="AP160" s="1" t="s">
        <v>5</v>
      </c>
      <c r="AQ160" s="1" t="s">
        <v>274</v>
      </c>
      <c r="AR160" s="1">
        <v>2018</v>
      </c>
      <c r="AS160" s="1" t="s">
        <v>17</v>
      </c>
      <c r="AT160" s="1" t="s">
        <v>136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137</v>
      </c>
    </row>
    <row r="161" spans="17:53" x14ac:dyDescent="0.25">
      <c r="Q161" s="109" t="str">
        <f t="shared" si="21"/>
        <v/>
      </c>
      <c r="R161" s="27" t="str">
        <f t="shared" si="22"/>
        <v/>
      </c>
      <c r="S161" s="343"/>
      <c r="T161" s="344"/>
      <c r="U161" s="344"/>
      <c r="V161" s="344"/>
      <c r="W161" s="344"/>
      <c r="X161" s="343" t="e">
        <f t="shared" si="24"/>
        <v>#N/A</v>
      </c>
      <c r="Y161" s="22"/>
      <c r="AG161" s="27" t="str">
        <f t="shared" si="19"/>
        <v>Janie &amp; JackWebUSA53</v>
      </c>
      <c r="AH161" s="1" t="s">
        <v>30</v>
      </c>
      <c r="AI161" s="1" t="s">
        <v>14</v>
      </c>
      <c r="AJ161" s="1" t="s">
        <v>274</v>
      </c>
      <c r="AK161" s="1">
        <v>53</v>
      </c>
      <c r="AL161" s="19">
        <v>0.65</v>
      </c>
      <c r="AN161" s="109" t="str">
        <f t="shared" si="20"/>
        <v>GymboreeUSAWebGY 18 VDAY</v>
      </c>
      <c r="AO161" s="1" t="s">
        <v>13</v>
      </c>
      <c r="AP161" s="1" t="s">
        <v>14</v>
      </c>
      <c r="AQ161" s="1" t="s">
        <v>274</v>
      </c>
      <c r="AR161" s="1">
        <v>2018</v>
      </c>
      <c r="AS161" s="1" t="s">
        <v>15</v>
      </c>
      <c r="AT161" s="1" t="s">
        <v>310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309</v>
      </c>
    </row>
    <row r="162" spans="17:53" x14ac:dyDescent="0.25">
      <c r="Q162" s="109" t="str">
        <f t="shared" si="21"/>
        <v/>
      </c>
      <c r="R162" s="27" t="str">
        <f t="shared" si="22"/>
        <v/>
      </c>
      <c r="S162" s="343"/>
      <c r="T162" s="344"/>
      <c r="U162" s="344"/>
      <c r="V162" s="344"/>
      <c r="W162" s="344"/>
      <c r="X162" s="343" t="e">
        <f t="shared" si="24"/>
        <v>#N/A</v>
      </c>
      <c r="Y162" s="22"/>
      <c r="AG162" s="27" t="str">
        <f t="shared" si="19"/>
        <v>Janie &amp; JackOutletUSA1</v>
      </c>
      <c r="AH162" s="1" t="s">
        <v>30</v>
      </c>
      <c r="AI162" s="1" t="s">
        <v>16</v>
      </c>
      <c r="AJ162" s="1" t="s">
        <v>274</v>
      </c>
      <c r="AK162" s="1">
        <v>1</v>
      </c>
      <c r="AL162" s="19">
        <v>0.14000000000000001</v>
      </c>
      <c r="AN162" s="109" t="str">
        <f t="shared" si="20"/>
        <v>GymboreeUSAWebGY 18 SPR</v>
      </c>
      <c r="AO162" s="1" t="s">
        <v>13</v>
      </c>
      <c r="AP162" s="1" t="s">
        <v>14</v>
      </c>
      <c r="AQ162" s="1" t="s">
        <v>274</v>
      </c>
      <c r="AR162" s="1">
        <v>2018</v>
      </c>
      <c r="AS162" s="1" t="s">
        <v>15</v>
      </c>
      <c r="AT162" s="1" t="s">
        <v>114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115</v>
      </c>
    </row>
    <row r="163" spans="17:53" x14ac:dyDescent="0.25">
      <c r="Q163" s="109" t="str">
        <f t="shared" si="21"/>
        <v/>
      </c>
      <c r="R163" s="27" t="str">
        <f t="shared" si="22"/>
        <v/>
      </c>
      <c r="S163" s="343"/>
      <c r="T163" s="344"/>
      <c r="U163" s="344"/>
      <c r="V163" s="344"/>
      <c r="W163" s="344"/>
      <c r="X163" s="343" t="e">
        <f t="shared" si="24"/>
        <v>#N/A</v>
      </c>
      <c r="Y163" s="22"/>
      <c r="AG163" s="27" t="str">
        <f t="shared" si="19"/>
        <v>Janie &amp; JackOutletUSA2</v>
      </c>
      <c r="AH163" s="1" t="s">
        <v>30</v>
      </c>
      <c r="AI163" s="1" t="s">
        <v>16</v>
      </c>
      <c r="AJ163" s="1" t="s">
        <v>274</v>
      </c>
      <c r="AK163" s="1">
        <v>2</v>
      </c>
      <c r="AL163" s="19">
        <v>0.23</v>
      </c>
      <c r="AN163" s="109" t="str">
        <f t="shared" si="20"/>
        <v>GymboreeUSAWebGY 18 SPRING BASICS</v>
      </c>
      <c r="AO163" s="1" t="s">
        <v>13</v>
      </c>
      <c r="AP163" s="1" t="s">
        <v>14</v>
      </c>
      <c r="AQ163" s="1" t="s">
        <v>274</v>
      </c>
      <c r="AR163" s="1">
        <v>2018</v>
      </c>
      <c r="AS163" s="1" t="s">
        <v>15</v>
      </c>
      <c r="AT163" s="1" t="s">
        <v>112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113</v>
      </c>
    </row>
    <row r="164" spans="17:53" x14ac:dyDescent="0.25">
      <c r="Q164" s="109" t="str">
        <f t="shared" si="21"/>
        <v/>
      </c>
      <c r="R164" s="27" t="str">
        <f t="shared" si="22"/>
        <v/>
      </c>
      <c r="S164" s="343"/>
      <c r="T164" s="344"/>
      <c r="U164" s="344"/>
      <c r="V164" s="344"/>
      <c r="W164" s="344"/>
      <c r="X164" s="343" t="e">
        <f t="shared" si="24"/>
        <v>#N/A</v>
      </c>
      <c r="Y164" s="22"/>
      <c r="AG164" s="27" t="str">
        <f t="shared" si="19"/>
        <v>Janie &amp; JackOutletUSA3</v>
      </c>
      <c r="AH164" s="1" t="s">
        <v>30</v>
      </c>
      <c r="AI164" s="1" t="s">
        <v>16</v>
      </c>
      <c r="AJ164" s="1" t="s">
        <v>274</v>
      </c>
      <c r="AK164" s="1">
        <v>3</v>
      </c>
      <c r="AL164" s="19">
        <v>0.22</v>
      </c>
      <c r="AN164" s="109" t="str">
        <f t="shared" si="20"/>
        <v>GymboreeUSAWebGY 18 SPR 1</v>
      </c>
      <c r="AO164" s="1" t="s">
        <v>13</v>
      </c>
      <c r="AP164" s="1" t="s">
        <v>14</v>
      </c>
      <c r="AQ164" s="1" t="s">
        <v>274</v>
      </c>
      <c r="AR164" s="1">
        <v>2018</v>
      </c>
      <c r="AS164" s="1" t="s">
        <v>15</v>
      </c>
      <c r="AT164" s="1" t="s">
        <v>116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117</v>
      </c>
    </row>
    <row r="165" spans="17:53" x14ac:dyDescent="0.25">
      <c r="Q165" s="109" t="str">
        <f t="shared" si="21"/>
        <v/>
      </c>
      <c r="R165" s="27" t="str">
        <f t="shared" si="22"/>
        <v/>
      </c>
      <c r="S165" s="343"/>
      <c r="T165" s="344"/>
      <c r="U165" s="344"/>
      <c r="V165" s="344"/>
      <c r="W165" s="344"/>
      <c r="X165" s="343" t="e">
        <f t="shared" si="24"/>
        <v>#N/A</v>
      </c>
      <c r="Y165" s="22"/>
      <c r="AG165" s="27" t="str">
        <f t="shared" si="19"/>
        <v>Janie &amp; JackOutletUSA4</v>
      </c>
      <c r="AH165" s="1" t="s">
        <v>30</v>
      </c>
      <c r="AI165" s="1" t="s">
        <v>16</v>
      </c>
      <c r="AJ165" s="1" t="s">
        <v>274</v>
      </c>
      <c r="AK165" s="1">
        <v>4</v>
      </c>
      <c r="AL165" s="19">
        <v>0.27</v>
      </c>
      <c r="AN165" s="109" t="str">
        <f t="shared" si="20"/>
        <v>GymboreeUSAWebGY 18 SPR 2</v>
      </c>
      <c r="AO165" s="1" t="s">
        <v>13</v>
      </c>
      <c r="AP165" s="1" t="s">
        <v>14</v>
      </c>
      <c r="AQ165" s="1" t="s">
        <v>274</v>
      </c>
      <c r="AR165" s="1">
        <v>2018</v>
      </c>
      <c r="AS165" s="1" t="s">
        <v>15</v>
      </c>
      <c r="AT165" s="1" t="s">
        <v>46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47</v>
      </c>
    </row>
    <row r="166" spans="17:53" x14ac:dyDescent="0.25">
      <c r="Q166" s="109" t="str">
        <f t="shared" si="21"/>
        <v/>
      </c>
      <c r="R166" s="27" t="str">
        <f t="shared" si="22"/>
        <v/>
      </c>
      <c r="S166" s="343"/>
      <c r="T166" s="344"/>
      <c r="U166" s="344"/>
      <c r="V166" s="344"/>
      <c r="W166" s="344"/>
      <c r="X166" s="343" t="e">
        <f t="shared" si="24"/>
        <v>#N/A</v>
      </c>
      <c r="Y166" s="22"/>
      <c r="AG166" s="27" t="str">
        <f t="shared" si="19"/>
        <v>Janie &amp; JackOutletUSA5</v>
      </c>
      <c r="AH166" s="1" t="s">
        <v>30</v>
      </c>
      <c r="AI166" s="1" t="s">
        <v>16</v>
      </c>
      <c r="AJ166" s="1" t="s">
        <v>274</v>
      </c>
      <c r="AK166" s="1">
        <v>5</v>
      </c>
      <c r="AL166" s="19">
        <v>0.27</v>
      </c>
      <c r="AN166" s="109" t="str">
        <f t="shared" si="20"/>
        <v>GymboreeUSAWebGY 18 SWIM 1</v>
      </c>
      <c r="AO166" s="1" t="s">
        <v>13</v>
      </c>
      <c r="AP166" s="1" t="s">
        <v>14</v>
      </c>
      <c r="AQ166" s="1" t="s">
        <v>274</v>
      </c>
      <c r="AR166" s="1">
        <v>2018</v>
      </c>
      <c r="AS166" s="1" t="s">
        <v>15</v>
      </c>
      <c r="AT166" s="1" t="s">
        <v>118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119</v>
      </c>
    </row>
    <row r="167" spans="17:53" x14ac:dyDescent="0.25">
      <c r="Q167" s="109" t="str">
        <f t="shared" si="21"/>
        <v/>
      </c>
      <c r="R167" s="27" t="str">
        <f t="shared" si="22"/>
        <v/>
      </c>
      <c r="S167" s="343"/>
      <c r="T167" s="344"/>
      <c r="U167" s="344"/>
      <c r="V167" s="344"/>
      <c r="W167" s="344"/>
      <c r="X167" s="343" t="e">
        <f t="shared" si="24"/>
        <v>#N/A</v>
      </c>
      <c r="Y167" s="22"/>
      <c r="AG167" s="27" t="str">
        <f t="shared" si="19"/>
        <v>Janie &amp; JackOutletUSA6</v>
      </c>
      <c r="AH167" s="1" t="s">
        <v>30</v>
      </c>
      <c r="AI167" s="1" t="s">
        <v>16</v>
      </c>
      <c r="AJ167" s="1" t="s">
        <v>274</v>
      </c>
      <c r="AK167" s="1">
        <v>6</v>
      </c>
      <c r="AL167" s="19">
        <v>0.28000000000000003</v>
      </c>
      <c r="AN167" s="109" t="str">
        <f t="shared" si="20"/>
        <v>GymboreeUSAWebGY 18 SPR VACA</v>
      </c>
      <c r="AO167" s="1" t="s">
        <v>13</v>
      </c>
      <c r="AP167" s="1" t="s">
        <v>14</v>
      </c>
      <c r="AQ167" s="1" t="s">
        <v>274</v>
      </c>
      <c r="AR167" s="1">
        <v>2018</v>
      </c>
      <c r="AS167" s="1" t="s">
        <v>15</v>
      </c>
      <c r="AT167" s="1" t="s">
        <v>122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123</v>
      </c>
    </row>
    <row r="168" spans="17:53" x14ac:dyDescent="0.25">
      <c r="Q168" s="109" t="str">
        <f t="shared" si="21"/>
        <v/>
      </c>
      <c r="R168" s="27" t="str">
        <f t="shared" si="22"/>
        <v/>
      </c>
      <c r="S168" s="343"/>
      <c r="T168" s="344"/>
      <c r="U168" s="344"/>
      <c r="V168" s="344"/>
      <c r="W168" s="344"/>
      <c r="X168" s="343" t="e">
        <f t="shared" si="24"/>
        <v>#N/A</v>
      </c>
      <c r="Y168" s="22"/>
      <c r="AG168" s="27" t="str">
        <f t="shared" si="19"/>
        <v>Janie &amp; JackOutletUSA7</v>
      </c>
      <c r="AH168" s="1" t="s">
        <v>30</v>
      </c>
      <c r="AI168" s="1" t="s">
        <v>16</v>
      </c>
      <c r="AJ168" s="1" t="s">
        <v>274</v>
      </c>
      <c r="AK168" s="1">
        <v>7</v>
      </c>
      <c r="AL168" s="19">
        <v>0.33</v>
      </c>
      <c r="AN168" s="109" t="str">
        <f t="shared" si="20"/>
        <v>GymboreeUSAWebGY 18 SWIM 2</v>
      </c>
      <c r="AO168" s="1" t="s">
        <v>13</v>
      </c>
      <c r="AP168" s="1" t="s">
        <v>14</v>
      </c>
      <c r="AQ168" s="1" t="s">
        <v>274</v>
      </c>
      <c r="AR168" s="1">
        <v>2018</v>
      </c>
      <c r="AS168" s="1" t="s">
        <v>15</v>
      </c>
      <c r="AT168" s="1" t="s">
        <v>126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127</v>
      </c>
    </row>
    <row r="169" spans="17:53" x14ac:dyDescent="0.25">
      <c r="Q169" s="109" t="str">
        <f t="shared" si="21"/>
        <v/>
      </c>
      <c r="R169" s="27" t="str">
        <f t="shared" si="22"/>
        <v/>
      </c>
      <c r="S169" s="343"/>
      <c r="T169" s="345"/>
      <c r="U169" s="345"/>
      <c r="V169" s="345"/>
      <c r="W169" s="345"/>
      <c r="X169" s="343" t="e">
        <f t="shared" si="24"/>
        <v>#N/A</v>
      </c>
      <c r="Y169" s="22"/>
      <c r="AG169" s="27" t="str">
        <f t="shared" si="19"/>
        <v>Janie &amp; JackOutletUSA8</v>
      </c>
      <c r="AH169" s="1" t="s">
        <v>30</v>
      </c>
      <c r="AI169" s="1" t="s">
        <v>16</v>
      </c>
      <c r="AJ169" s="1" t="s">
        <v>274</v>
      </c>
      <c r="AK169" s="1">
        <v>8</v>
      </c>
      <c r="AL169" s="19">
        <v>0.38</v>
      </c>
      <c r="AN169" s="109" t="str">
        <f t="shared" si="20"/>
        <v>GymboreeUSAWebGY 18 SUM 1</v>
      </c>
      <c r="AO169" s="1" t="s">
        <v>13</v>
      </c>
      <c r="AP169" s="1" t="s">
        <v>14</v>
      </c>
      <c r="AQ169" s="1" t="s">
        <v>274</v>
      </c>
      <c r="AR169" s="1">
        <v>2018</v>
      </c>
      <c r="AS169" s="1" t="s">
        <v>15</v>
      </c>
      <c r="AT169" s="1" t="s">
        <v>124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125</v>
      </c>
    </row>
    <row r="170" spans="17:53" x14ac:dyDescent="0.25">
      <c r="Q170" s="109" t="str">
        <f t="shared" si="21"/>
        <v/>
      </c>
      <c r="R170" s="27" t="str">
        <f t="shared" si="22"/>
        <v/>
      </c>
      <c r="S170" s="343"/>
      <c r="T170" s="345"/>
      <c r="U170" s="345"/>
      <c r="V170" s="345"/>
      <c r="W170" s="345"/>
      <c r="X170" s="343" t="e">
        <f t="shared" si="24"/>
        <v>#N/A</v>
      </c>
      <c r="Y170" s="22"/>
      <c r="AG170" s="27" t="str">
        <f t="shared" si="19"/>
        <v>Janie &amp; JackOutletUSA9</v>
      </c>
      <c r="AH170" s="1" t="s">
        <v>30</v>
      </c>
      <c r="AI170" s="1" t="s">
        <v>16</v>
      </c>
      <c r="AJ170" s="1" t="s">
        <v>274</v>
      </c>
      <c r="AK170" s="1">
        <v>9</v>
      </c>
      <c r="AL170" s="19">
        <v>0.39</v>
      </c>
      <c r="AN170" s="109" t="str">
        <f t="shared" si="20"/>
        <v>GymboreeUSAWebGY 18 DRESSY</v>
      </c>
      <c r="AO170" s="1" t="s">
        <v>13</v>
      </c>
      <c r="AP170" s="1" t="s">
        <v>14</v>
      </c>
      <c r="AQ170" s="1" t="s">
        <v>274</v>
      </c>
      <c r="AR170" s="1">
        <v>2018</v>
      </c>
      <c r="AS170" s="1" t="s">
        <v>15</v>
      </c>
      <c r="AT170" s="1" t="s">
        <v>120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121</v>
      </c>
    </row>
    <row r="171" spans="17:53" x14ac:dyDescent="0.25">
      <c r="Q171" s="109" t="str">
        <f t="shared" si="21"/>
        <v/>
      </c>
      <c r="R171" s="27" t="str">
        <f t="shared" si="22"/>
        <v/>
      </c>
      <c r="S171" s="343"/>
      <c r="T171" s="345"/>
      <c r="U171" s="345"/>
      <c r="V171" s="345"/>
      <c r="W171" s="345"/>
      <c r="X171" s="343" t="e">
        <f t="shared" si="24"/>
        <v>#N/A</v>
      </c>
      <c r="Y171" s="22"/>
      <c r="AG171" s="27" t="str">
        <f t="shared" si="19"/>
        <v>Janie &amp; JackOutletUSA10</v>
      </c>
      <c r="AH171" s="1" t="s">
        <v>30</v>
      </c>
      <c r="AI171" s="1" t="s">
        <v>16</v>
      </c>
      <c r="AJ171" s="1" t="s">
        <v>274</v>
      </c>
      <c r="AK171" s="1">
        <v>10</v>
      </c>
      <c r="AL171" s="19">
        <v>0.4</v>
      </c>
      <c r="AN171" s="109" t="str">
        <f t="shared" si="20"/>
        <v>GymboreeUSAWebGY 18 SMR</v>
      </c>
      <c r="AO171" s="1" t="s">
        <v>13</v>
      </c>
      <c r="AP171" s="1" t="s">
        <v>14</v>
      </c>
      <c r="AQ171" s="1" t="s">
        <v>274</v>
      </c>
      <c r="AR171" s="1">
        <v>2018</v>
      </c>
      <c r="AS171" s="1" t="s">
        <v>17</v>
      </c>
      <c r="AT171" s="1" t="s">
        <v>138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139</v>
      </c>
    </row>
    <row r="172" spans="17:53" x14ac:dyDescent="0.25">
      <c r="Q172" s="109" t="str">
        <f t="shared" si="21"/>
        <v/>
      </c>
      <c r="R172" s="27" t="str">
        <f t="shared" si="22"/>
        <v/>
      </c>
      <c r="S172" s="343"/>
      <c r="T172" s="345"/>
      <c r="U172" s="345"/>
      <c r="V172" s="345"/>
      <c r="W172" s="345"/>
      <c r="X172" s="343" t="e">
        <f t="shared" si="24"/>
        <v>#N/A</v>
      </c>
      <c r="Y172" s="22"/>
      <c r="AG172" s="27" t="str">
        <f t="shared" si="19"/>
        <v>Janie &amp; JackOutletUSA11</v>
      </c>
      <c r="AH172" s="1" t="s">
        <v>30</v>
      </c>
      <c r="AI172" s="1" t="s">
        <v>16</v>
      </c>
      <c r="AJ172" s="1" t="s">
        <v>274</v>
      </c>
      <c r="AK172" s="1">
        <v>11</v>
      </c>
      <c r="AL172" s="19">
        <v>0.41</v>
      </c>
      <c r="AN172" s="109" t="str">
        <f t="shared" si="20"/>
        <v>GymboreeUSAWebGY 18 SM2</v>
      </c>
      <c r="AO172" s="1" t="s">
        <v>13</v>
      </c>
      <c r="AP172" s="1" t="s">
        <v>14</v>
      </c>
      <c r="AQ172" s="1" t="s">
        <v>274</v>
      </c>
      <c r="AR172" s="1">
        <v>2018</v>
      </c>
      <c r="AS172" s="1" t="s">
        <v>17</v>
      </c>
      <c r="AT172" s="1" t="s">
        <v>128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129</v>
      </c>
    </row>
    <row r="173" spans="17:53" x14ac:dyDescent="0.25">
      <c r="Q173" s="109" t="str">
        <f t="shared" si="21"/>
        <v/>
      </c>
      <c r="R173" s="27" t="str">
        <f t="shared" si="22"/>
        <v/>
      </c>
      <c r="S173" s="343"/>
      <c r="T173" s="345"/>
      <c r="U173" s="345"/>
      <c r="V173" s="345"/>
      <c r="W173" s="345"/>
      <c r="X173" s="343" t="e">
        <f t="shared" si="24"/>
        <v>#N/A</v>
      </c>
      <c r="Y173" s="22"/>
      <c r="AG173" s="27" t="str">
        <f t="shared" si="19"/>
        <v>Janie &amp; JackOutletUSA12</v>
      </c>
      <c r="AH173" s="1" t="s">
        <v>30</v>
      </c>
      <c r="AI173" s="1" t="s">
        <v>16</v>
      </c>
      <c r="AJ173" s="1" t="s">
        <v>274</v>
      </c>
      <c r="AK173" s="1">
        <v>12</v>
      </c>
      <c r="AL173" s="19">
        <v>0.41</v>
      </c>
      <c r="AN173" s="109" t="str">
        <f t="shared" si="20"/>
        <v>GymboreeUSAWebGY 18 SWIM 3</v>
      </c>
      <c r="AO173" s="1" t="s">
        <v>13</v>
      </c>
      <c r="AP173" s="1" t="s">
        <v>14</v>
      </c>
      <c r="AQ173" s="1" t="s">
        <v>274</v>
      </c>
      <c r="AR173" s="1">
        <v>2018</v>
      </c>
      <c r="AS173" s="1" t="s">
        <v>17</v>
      </c>
      <c r="AT173" s="1" t="s">
        <v>132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133</v>
      </c>
    </row>
    <row r="174" spans="17:53" x14ac:dyDescent="0.25">
      <c r="Q174" s="109" t="str">
        <f t="shared" si="21"/>
        <v/>
      </c>
      <c r="R174" s="27" t="str">
        <f t="shared" si="22"/>
        <v/>
      </c>
      <c r="S174" s="343"/>
      <c r="T174" s="345"/>
      <c r="U174" s="345"/>
      <c r="V174" s="345"/>
      <c r="W174" s="345"/>
      <c r="X174" s="343" t="e">
        <f t="shared" si="24"/>
        <v>#N/A</v>
      </c>
      <c r="Y174" s="22"/>
      <c r="AG174" s="27" t="str">
        <f t="shared" si="19"/>
        <v>Janie &amp; JackOutletUSA13</v>
      </c>
      <c r="AH174" s="1" t="s">
        <v>30</v>
      </c>
      <c r="AI174" s="1" t="s">
        <v>16</v>
      </c>
      <c r="AJ174" s="1" t="s">
        <v>274</v>
      </c>
      <c r="AK174" s="1">
        <v>13</v>
      </c>
      <c r="AL174" s="19">
        <v>0.44</v>
      </c>
      <c r="AN174" s="109" t="str">
        <f t="shared" si="20"/>
        <v>GymboreeUSAWebGY 18 SM3</v>
      </c>
      <c r="AO174" s="1" t="s">
        <v>13</v>
      </c>
      <c r="AP174" s="1" t="s">
        <v>14</v>
      </c>
      <c r="AQ174" s="1" t="s">
        <v>274</v>
      </c>
      <c r="AR174" s="1">
        <v>2018</v>
      </c>
      <c r="AS174" s="1" t="s">
        <v>17</v>
      </c>
      <c r="AT174" s="1" t="s">
        <v>130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131</v>
      </c>
    </row>
    <row r="175" spans="17:53" x14ac:dyDescent="0.25">
      <c r="Q175" s="109" t="str">
        <f t="shared" si="21"/>
        <v/>
      </c>
      <c r="R175" s="27" t="str">
        <f t="shared" si="22"/>
        <v/>
      </c>
      <c r="S175" s="343"/>
      <c r="T175" s="345"/>
      <c r="U175" s="345"/>
      <c r="V175" s="345"/>
      <c r="W175" s="345"/>
      <c r="X175" s="343" t="e">
        <f t="shared" si="24"/>
        <v>#N/A</v>
      </c>
      <c r="Y175" s="22"/>
      <c r="AG175" s="27" t="str">
        <f t="shared" si="19"/>
        <v>Janie &amp; JackOutletUSA14</v>
      </c>
      <c r="AH175" s="1" t="s">
        <v>30</v>
      </c>
      <c r="AI175" s="1" t="s">
        <v>16</v>
      </c>
      <c r="AJ175" s="1" t="s">
        <v>274</v>
      </c>
      <c r="AK175" s="1">
        <v>14</v>
      </c>
      <c r="AL175" s="19">
        <v>0.43</v>
      </c>
      <c r="AN175" s="109" t="str">
        <f t="shared" si="20"/>
        <v>GymboreeUSAWebGY 18 SM4</v>
      </c>
      <c r="AO175" s="1" t="s">
        <v>13</v>
      </c>
      <c r="AP175" s="1" t="s">
        <v>14</v>
      </c>
      <c r="AQ175" s="1" t="s">
        <v>274</v>
      </c>
      <c r="AR175" s="1">
        <v>2018</v>
      </c>
      <c r="AS175" s="1" t="s">
        <v>17</v>
      </c>
      <c r="AT175" s="1" t="s">
        <v>134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135</v>
      </c>
    </row>
    <row r="176" spans="17:53" x14ac:dyDescent="0.25">
      <c r="Q176" s="109" t="str">
        <f t="shared" si="21"/>
        <v/>
      </c>
      <c r="R176" s="27" t="str">
        <f t="shared" si="22"/>
        <v/>
      </c>
      <c r="S176" s="343"/>
      <c r="T176" s="345"/>
      <c r="U176" s="345"/>
      <c r="V176" s="345"/>
      <c r="W176" s="345"/>
      <c r="X176" s="343" t="e">
        <f t="shared" si="24"/>
        <v>#N/A</v>
      </c>
      <c r="Y176" s="22"/>
      <c r="AG176" s="27" t="str">
        <f t="shared" si="19"/>
        <v>Janie &amp; JackOutletUSA15</v>
      </c>
      <c r="AH176" s="1" t="s">
        <v>30</v>
      </c>
      <c r="AI176" s="1" t="s">
        <v>16</v>
      </c>
      <c r="AJ176" s="1" t="s">
        <v>274</v>
      </c>
      <c r="AK176" s="1">
        <v>15</v>
      </c>
      <c r="AL176" s="19">
        <v>0.44</v>
      </c>
      <c r="AN176" s="109" t="str">
        <f t="shared" si="20"/>
        <v>GymboreeUSAWebGY 18 SM5</v>
      </c>
      <c r="AO176" s="1" t="s">
        <v>13</v>
      </c>
      <c r="AP176" s="1" t="s">
        <v>14</v>
      </c>
      <c r="AQ176" s="1" t="s">
        <v>274</v>
      </c>
      <c r="AR176" s="1">
        <v>2018</v>
      </c>
      <c r="AS176" s="1" t="s">
        <v>17</v>
      </c>
      <c r="AT176" s="1" t="s">
        <v>136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137</v>
      </c>
    </row>
    <row r="177" spans="17:53" x14ac:dyDescent="0.25">
      <c r="Q177" s="109" t="str">
        <f t="shared" si="21"/>
        <v/>
      </c>
      <c r="R177" s="27" t="str">
        <f t="shared" si="22"/>
        <v/>
      </c>
      <c r="S177" s="343"/>
      <c r="T177" s="345"/>
      <c r="U177" s="345"/>
      <c r="V177" s="345"/>
      <c r="W177" s="345"/>
      <c r="X177" s="343" t="e">
        <f t="shared" si="24"/>
        <v>#N/A</v>
      </c>
      <c r="Y177" s="22"/>
      <c r="AG177" s="27" t="str">
        <f t="shared" si="19"/>
        <v>Janie &amp; JackOutletUSA16</v>
      </c>
      <c r="AH177" s="1" t="s">
        <v>30</v>
      </c>
      <c r="AI177" s="1" t="s">
        <v>16</v>
      </c>
      <c r="AJ177" s="1" t="s">
        <v>274</v>
      </c>
      <c r="AK177" s="1">
        <v>16</v>
      </c>
      <c r="AL177" s="19">
        <v>0.48</v>
      </c>
      <c r="AN177" s="109" t="str">
        <f t="shared" si="20"/>
        <v>GymboreeCanadaRetailGY 18 VDAY</v>
      </c>
      <c r="AO177" s="1" t="s">
        <v>13</v>
      </c>
      <c r="AP177" s="1" t="s">
        <v>5</v>
      </c>
      <c r="AQ177" s="1" t="s">
        <v>275</v>
      </c>
      <c r="AR177" s="1">
        <v>2018</v>
      </c>
      <c r="AS177" s="1" t="s">
        <v>15</v>
      </c>
      <c r="AT177" s="1" t="s">
        <v>310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309</v>
      </c>
    </row>
    <row r="178" spans="17:53" x14ac:dyDescent="0.25">
      <c r="Q178" s="109" t="str">
        <f t="shared" si="21"/>
        <v/>
      </c>
      <c r="R178" s="27" t="str">
        <f t="shared" si="22"/>
        <v/>
      </c>
      <c r="S178" s="343"/>
      <c r="T178" s="345"/>
      <c r="U178" s="345"/>
      <c r="V178" s="345"/>
      <c r="W178" s="344"/>
      <c r="X178" s="343" t="e">
        <f t="shared" si="24"/>
        <v>#N/A</v>
      </c>
      <c r="Y178" s="22"/>
      <c r="AG178" s="27" t="str">
        <f t="shared" si="19"/>
        <v>Janie &amp; JackOutletUSA17</v>
      </c>
      <c r="AH178" s="1" t="s">
        <v>30</v>
      </c>
      <c r="AI178" s="1" t="s">
        <v>16</v>
      </c>
      <c r="AJ178" s="1" t="s">
        <v>274</v>
      </c>
      <c r="AK178" s="1">
        <v>17</v>
      </c>
      <c r="AL178" s="19">
        <v>0.49</v>
      </c>
      <c r="AN178" s="109" t="str">
        <f t="shared" si="20"/>
        <v>GymboreeCanadaRetailGY 18 SPR</v>
      </c>
      <c r="AO178" s="1" t="s">
        <v>13</v>
      </c>
      <c r="AP178" s="1" t="s">
        <v>5</v>
      </c>
      <c r="AQ178" s="1" t="s">
        <v>275</v>
      </c>
      <c r="AR178" s="1">
        <v>2018</v>
      </c>
      <c r="AS178" s="1" t="s">
        <v>15</v>
      </c>
      <c r="AT178" s="1" t="s">
        <v>114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115</v>
      </c>
    </row>
    <row r="179" spans="17:53" x14ac:dyDescent="0.25">
      <c r="Q179" s="109" t="str">
        <f t="shared" si="21"/>
        <v/>
      </c>
      <c r="R179" s="27" t="str">
        <f t="shared" si="22"/>
        <v/>
      </c>
      <c r="S179" s="343"/>
      <c r="T179" s="345"/>
      <c r="U179" s="345"/>
      <c r="V179" s="345"/>
      <c r="W179" s="344"/>
      <c r="X179" s="343" t="e">
        <f t="shared" si="24"/>
        <v>#N/A</v>
      </c>
      <c r="Y179" s="22"/>
      <c r="AG179" s="27" t="str">
        <f t="shared" si="19"/>
        <v>Janie &amp; JackOutletUSA18</v>
      </c>
      <c r="AH179" s="1" t="s">
        <v>30</v>
      </c>
      <c r="AI179" s="1" t="s">
        <v>16</v>
      </c>
      <c r="AJ179" s="1" t="s">
        <v>274</v>
      </c>
      <c r="AK179" s="1">
        <v>18</v>
      </c>
      <c r="AL179" s="19">
        <v>0.5</v>
      </c>
      <c r="AN179" s="109" t="str">
        <f t="shared" si="20"/>
        <v>GymboreeCanadaRetailGY 18 SPRING BASICS</v>
      </c>
      <c r="AO179" s="1" t="s">
        <v>13</v>
      </c>
      <c r="AP179" s="1" t="s">
        <v>5</v>
      </c>
      <c r="AQ179" s="1" t="s">
        <v>275</v>
      </c>
      <c r="AR179" s="1">
        <v>2018</v>
      </c>
      <c r="AS179" s="1" t="s">
        <v>15</v>
      </c>
      <c r="AT179" s="1" t="s">
        <v>112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113</v>
      </c>
    </row>
    <row r="180" spans="17:53" x14ac:dyDescent="0.25">
      <c r="Q180" s="109" t="str">
        <f t="shared" si="21"/>
        <v/>
      </c>
      <c r="R180" s="27" t="str">
        <f t="shared" si="22"/>
        <v/>
      </c>
      <c r="S180" s="343"/>
      <c r="T180" s="345"/>
      <c r="U180" s="345"/>
      <c r="V180" s="345"/>
      <c r="W180" s="344"/>
      <c r="X180" s="343" t="e">
        <f t="shared" si="24"/>
        <v>#N/A</v>
      </c>
      <c r="Y180" s="22"/>
      <c r="AG180" s="27" t="str">
        <f t="shared" si="19"/>
        <v>Janie &amp; JackOutletUSA19</v>
      </c>
      <c r="AH180" s="1" t="s">
        <v>30</v>
      </c>
      <c r="AI180" s="1" t="s">
        <v>16</v>
      </c>
      <c r="AJ180" s="1" t="s">
        <v>274</v>
      </c>
      <c r="AK180" s="1">
        <v>19</v>
      </c>
      <c r="AL180" s="19">
        <v>0.52</v>
      </c>
      <c r="AN180" s="109" t="str">
        <f t="shared" si="20"/>
        <v>GymboreeCanadaRetailGY 18 SPR 1</v>
      </c>
      <c r="AO180" s="1" t="s">
        <v>13</v>
      </c>
      <c r="AP180" s="1" t="s">
        <v>5</v>
      </c>
      <c r="AQ180" s="1" t="s">
        <v>275</v>
      </c>
      <c r="AR180" s="1">
        <v>2018</v>
      </c>
      <c r="AS180" s="1" t="s">
        <v>15</v>
      </c>
      <c r="AT180" s="1" t="s">
        <v>116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117</v>
      </c>
    </row>
    <row r="181" spans="17:53" x14ac:dyDescent="0.25">
      <c r="Q181" s="109" t="str">
        <f t="shared" si="21"/>
        <v/>
      </c>
      <c r="R181" s="27" t="str">
        <f t="shared" si="22"/>
        <v/>
      </c>
      <c r="S181" s="395"/>
      <c r="T181" s="395"/>
      <c r="U181" s="395"/>
      <c r="V181" s="395"/>
      <c r="W181" s="395"/>
      <c r="X181" s="395"/>
      <c r="Y181" s="22"/>
      <c r="AG181" s="27" t="str">
        <f t="shared" si="19"/>
        <v>Janie &amp; JackOutletUSA20</v>
      </c>
      <c r="AH181" s="1" t="s">
        <v>30</v>
      </c>
      <c r="AI181" s="1" t="s">
        <v>16</v>
      </c>
      <c r="AJ181" s="1" t="s">
        <v>274</v>
      </c>
      <c r="AK181" s="1">
        <v>20</v>
      </c>
      <c r="AL181" s="19">
        <v>0.52</v>
      </c>
      <c r="AN181" s="109" t="str">
        <f t="shared" si="20"/>
        <v>GymboreeCanadaRetailGY 18 SPR 2</v>
      </c>
      <c r="AO181" s="1" t="s">
        <v>13</v>
      </c>
      <c r="AP181" s="1" t="s">
        <v>5</v>
      </c>
      <c r="AQ181" s="1" t="s">
        <v>275</v>
      </c>
      <c r="AR181" s="1">
        <v>2018</v>
      </c>
      <c r="AS181" s="1" t="s">
        <v>15</v>
      </c>
      <c r="AT181" s="1" t="s">
        <v>46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47</v>
      </c>
    </row>
    <row r="182" spans="17:53" x14ac:dyDescent="0.25">
      <c r="Q182" s="109" t="str">
        <f t="shared" si="21"/>
        <v/>
      </c>
      <c r="R182" s="27" t="str">
        <f t="shared" si="22"/>
        <v/>
      </c>
      <c r="S182" s="395"/>
      <c r="T182" s="395"/>
      <c r="U182" s="395"/>
      <c r="V182" s="395"/>
      <c r="W182" s="395"/>
      <c r="X182" s="395"/>
      <c r="Y182" s="22"/>
      <c r="AG182" s="27" t="str">
        <f t="shared" si="19"/>
        <v>Janie &amp; JackOutletUSA21</v>
      </c>
      <c r="AH182" s="1" t="s">
        <v>30</v>
      </c>
      <c r="AI182" s="1" t="s">
        <v>16</v>
      </c>
      <c r="AJ182" s="1" t="s">
        <v>274</v>
      </c>
      <c r="AK182" s="1">
        <v>21</v>
      </c>
      <c r="AL182" s="19">
        <v>0.53</v>
      </c>
      <c r="AN182" s="109" t="str">
        <f t="shared" si="20"/>
        <v>GymboreeCanadaRetailGY 18 SWIM 1</v>
      </c>
      <c r="AO182" s="1" t="s">
        <v>13</v>
      </c>
      <c r="AP182" s="1" t="s">
        <v>5</v>
      </c>
      <c r="AQ182" s="1" t="s">
        <v>275</v>
      </c>
      <c r="AR182" s="1">
        <v>2018</v>
      </c>
      <c r="AS182" s="1" t="s">
        <v>15</v>
      </c>
      <c r="AT182" s="1" t="s">
        <v>118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119</v>
      </c>
    </row>
    <row r="183" spans="17:53" x14ac:dyDescent="0.25">
      <c r="Q183" s="109" t="str">
        <f t="shared" si="21"/>
        <v/>
      </c>
      <c r="R183" s="27" t="str">
        <f t="shared" si="22"/>
        <v/>
      </c>
      <c r="S183" s="395"/>
      <c r="T183" s="395"/>
      <c r="U183" s="395"/>
      <c r="V183" s="395"/>
      <c r="W183" s="395"/>
      <c r="X183" s="395"/>
      <c r="Y183" s="22"/>
      <c r="AG183" s="27" t="str">
        <f t="shared" si="19"/>
        <v>Janie &amp; JackOutletUSA22</v>
      </c>
      <c r="AH183" s="1" t="s">
        <v>30</v>
      </c>
      <c r="AI183" s="1" t="s">
        <v>16</v>
      </c>
      <c r="AJ183" s="1" t="s">
        <v>274</v>
      </c>
      <c r="AK183" s="1">
        <v>22</v>
      </c>
      <c r="AL183" s="19">
        <v>0.54</v>
      </c>
      <c r="AN183" s="109" t="str">
        <f t="shared" si="20"/>
        <v>GymboreeCanadaRetailGY 18 SPR VACA</v>
      </c>
      <c r="AO183" s="1" t="s">
        <v>13</v>
      </c>
      <c r="AP183" s="1" t="s">
        <v>5</v>
      </c>
      <c r="AQ183" s="1" t="s">
        <v>275</v>
      </c>
      <c r="AR183" s="1">
        <v>2018</v>
      </c>
      <c r="AS183" s="1" t="s">
        <v>15</v>
      </c>
      <c r="AT183" s="1" t="s">
        <v>122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123</v>
      </c>
    </row>
    <row r="184" spans="17:53" x14ac:dyDescent="0.25">
      <c r="Q184" s="109" t="str">
        <f t="shared" si="21"/>
        <v/>
      </c>
      <c r="R184" s="27" t="str">
        <f t="shared" si="22"/>
        <v/>
      </c>
      <c r="S184" s="395"/>
      <c r="T184" s="395"/>
      <c r="U184" s="395"/>
      <c r="V184" s="395"/>
      <c r="W184" s="395"/>
      <c r="X184" s="395"/>
      <c r="Y184" s="22"/>
      <c r="AG184" s="27" t="str">
        <f t="shared" si="19"/>
        <v>Janie &amp; JackOutletUSA23</v>
      </c>
      <c r="AH184" s="1" t="s">
        <v>30</v>
      </c>
      <c r="AI184" s="1" t="s">
        <v>16</v>
      </c>
      <c r="AJ184" s="1" t="s">
        <v>274</v>
      </c>
      <c r="AK184" s="1">
        <v>23</v>
      </c>
      <c r="AL184" s="19">
        <v>0.56000000000000005</v>
      </c>
      <c r="AN184" s="109" t="str">
        <f t="shared" si="20"/>
        <v>GymboreeCanadaRetailGY 18 SWIM 2</v>
      </c>
      <c r="AO184" s="1" t="s">
        <v>13</v>
      </c>
      <c r="AP184" s="1" t="s">
        <v>5</v>
      </c>
      <c r="AQ184" s="1" t="s">
        <v>275</v>
      </c>
      <c r="AR184" s="1">
        <v>2018</v>
      </c>
      <c r="AS184" s="1" t="s">
        <v>15</v>
      </c>
      <c r="AT184" s="1" t="s">
        <v>126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127</v>
      </c>
    </row>
    <row r="185" spans="17:53" x14ac:dyDescent="0.25">
      <c r="Q185" s="109" t="str">
        <f t="shared" si="21"/>
        <v/>
      </c>
      <c r="R185" s="27" t="str">
        <f t="shared" si="22"/>
        <v/>
      </c>
      <c r="S185" s="395"/>
      <c r="T185" s="395"/>
      <c r="U185" s="395"/>
      <c r="V185" s="395"/>
      <c r="W185" s="395"/>
      <c r="X185" s="395"/>
      <c r="Y185" s="22"/>
      <c r="AG185" s="27" t="str">
        <f t="shared" si="19"/>
        <v>Janie &amp; JackOutletUSA24</v>
      </c>
      <c r="AH185" s="1" t="s">
        <v>30</v>
      </c>
      <c r="AI185" s="1" t="s">
        <v>16</v>
      </c>
      <c r="AJ185" s="1" t="s">
        <v>274</v>
      </c>
      <c r="AK185" s="1">
        <v>24</v>
      </c>
      <c r="AL185" s="19">
        <v>0.55000000000000004</v>
      </c>
      <c r="AN185" s="109" t="str">
        <f t="shared" si="20"/>
        <v>GymboreeCanadaRetailGY 18 SUM 1</v>
      </c>
      <c r="AO185" s="1" t="s">
        <v>13</v>
      </c>
      <c r="AP185" s="1" t="s">
        <v>5</v>
      </c>
      <c r="AQ185" s="1" t="s">
        <v>275</v>
      </c>
      <c r="AR185" s="1">
        <v>2018</v>
      </c>
      <c r="AS185" s="1" t="s">
        <v>15</v>
      </c>
      <c r="AT185" s="1" t="s">
        <v>124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125</v>
      </c>
    </row>
    <row r="186" spans="17:53" x14ac:dyDescent="0.25">
      <c r="Q186" s="109" t="str">
        <f t="shared" si="21"/>
        <v/>
      </c>
      <c r="R186" s="27" t="str">
        <f t="shared" si="22"/>
        <v/>
      </c>
      <c r="S186" s="395"/>
      <c r="T186" s="395"/>
      <c r="U186" s="395"/>
      <c r="V186" s="395"/>
      <c r="W186" s="395"/>
      <c r="X186" s="395"/>
      <c r="Y186" s="22"/>
      <c r="AG186" s="27" t="str">
        <f t="shared" si="19"/>
        <v>Janie &amp; JackOutletUSA25</v>
      </c>
      <c r="AH186" s="1" t="s">
        <v>30</v>
      </c>
      <c r="AI186" s="1" t="s">
        <v>16</v>
      </c>
      <c r="AJ186" s="1" t="s">
        <v>274</v>
      </c>
      <c r="AK186" s="1">
        <v>25</v>
      </c>
      <c r="AL186" s="19">
        <v>0.6</v>
      </c>
      <c r="AN186" s="109" t="str">
        <f t="shared" si="20"/>
        <v>GymboreeCanadaRetailGY 18 DRESSY</v>
      </c>
      <c r="AO186" s="1" t="s">
        <v>13</v>
      </c>
      <c r="AP186" s="1" t="s">
        <v>5</v>
      </c>
      <c r="AQ186" s="1" t="s">
        <v>275</v>
      </c>
      <c r="AR186" s="1">
        <v>2018</v>
      </c>
      <c r="AS186" s="1" t="s">
        <v>15</v>
      </c>
      <c r="AT186" s="1" t="s">
        <v>120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121</v>
      </c>
    </row>
    <row r="187" spans="17:53" x14ac:dyDescent="0.25">
      <c r="Q187" s="109" t="str">
        <f t="shared" si="21"/>
        <v/>
      </c>
      <c r="R187" s="27" t="str">
        <f t="shared" si="22"/>
        <v/>
      </c>
      <c r="S187" s="395"/>
      <c r="T187" s="395"/>
      <c r="U187" s="395"/>
      <c r="V187" s="395"/>
      <c r="W187" s="395"/>
      <c r="X187" s="395"/>
      <c r="Y187" s="22"/>
      <c r="AG187" s="27" t="str">
        <f t="shared" si="19"/>
        <v>Janie &amp; JackOutletUSA26</v>
      </c>
      <c r="AH187" s="1" t="s">
        <v>30</v>
      </c>
      <c r="AI187" s="1" t="s">
        <v>16</v>
      </c>
      <c r="AJ187" s="1" t="s">
        <v>274</v>
      </c>
      <c r="AK187" s="1">
        <v>26</v>
      </c>
      <c r="AL187" s="19">
        <v>0.6</v>
      </c>
      <c r="AN187" s="109" t="str">
        <f t="shared" si="20"/>
        <v>GymboreeCanadaRetailGY 18 SMR</v>
      </c>
      <c r="AO187" s="1" t="s">
        <v>13</v>
      </c>
      <c r="AP187" s="1" t="s">
        <v>5</v>
      </c>
      <c r="AQ187" s="1" t="s">
        <v>275</v>
      </c>
      <c r="AR187" s="1">
        <v>2018</v>
      </c>
      <c r="AS187" s="1" t="s">
        <v>17</v>
      </c>
      <c r="AT187" s="1" t="s">
        <v>138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139</v>
      </c>
    </row>
    <row r="188" spans="17:53" x14ac:dyDescent="0.25">
      <c r="Q188" s="109" t="str">
        <f t="shared" si="21"/>
        <v/>
      </c>
      <c r="R188" s="27" t="str">
        <f t="shared" si="22"/>
        <v/>
      </c>
      <c r="S188" s="395"/>
      <c r="T188" s="395"/>
      <c r="U188" s="395"/>
      <c r="V188" s="395"/>
      <c r="W188" s="395"/>
      <c r="X188" s="395"/>
      <c r="Y188" s="22"/>
      <c r="AG188" s="27" t="str">
        <f t="shared" si="19"/>
        <v>Janie &amp; JackOutletUSA27</v>
      </c>
      <c r="AH188" s="1" t="s">
        <v>30</v>
      </c>
      <c r="AI188" s="1" t="s">
        <v>16</v>
      </c>
      <c r="AJ188" s="1" t="s">
        <v>274</v>
      </c>
      <c r="AK188" s="1">
        <v>27</v>
      </c>
      <c r="AL188" s="19">
        <v>0.65</v>
      </c>
      <c r="AN188" s="109" t="str">
        <f t="shared" si="20"/>
        <v>GymboreeCanadaRetailGY 18 SM2</v>
      </c>
      <c r="AO188" s="1" t="s">
        <v>13</v>
      </c>
      <c r="AP188" s="1" t="s">
        <v>5</v>
      </c>
      <c r="AQ188" s="1" t="s">
        <v>275</v>
      </c>
      <c r="AR188" s="1">
        <v>2018</v>
      </c>
      <c r="AS188" s="1" t="s">
        <v>17</v>
      </c>
      <c r="AT188" s="1" t="s">
        <v>128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129</v>
      </c>
    </row>
    <row r="189" spans="17:53" x14ac:dyDescent="0.25">
      <c r="Q189" s="109" t="str">
        <f t="shared" si="21"/>
        <v/>
      </c>
      <c r="R189" s="27" t="str">
        <f t="shared" si="22"/>
        <v/>
      </c>
      <c r="S189" s="395"/>
      <c r="T189" s="395"/>
      <c r="U189" s="395"/>
      <c r="V189" s="395"/>
      <c r="W189" s="395"/>
      <c r="X189" s="395"/>
      <c r="Y189" s="22"/>
      <c r="AG189" s="27" t="str">
        <f t="shared" si="19"/>
        <v>Janie &amp; JackOutletUSA28</v>
      </c>
      <c r="AH189" s="1" t="s">
        <v>30</v>
      </c>
      <c r="AI189" s="1" t="s">
        <v>16</v>
      </c>
      <c r="AJ189" s="1" t="s">
        <v>274</v>
      </c>
      <c r="AK189" s="1">
        <v>28</v>
      </c>
      <c r="AL189" s="19">
        <v>0.65</v>
      </c>
      <c r="AN189" s="109" t="str">
        <f t="shared" si="20"/>
        <v>GymboreeCanadaRetailGY 18 SWIM 3</v>
      </c>
      <c r="AO189" s="1" t="s">
        <v>13</v>
      </c>
      <c r="AP189" s="1" t="s">
        <v>5</v>
      </c>
      <c r="AQ189" s="1" t="s">
        <v>275</v>
      </c>
      <c r="AR189" s="1">
        <v>2018</v>
      </c>
      <c r="AS189" s="1" t="s">
        <v>17</v>
      </c>
      <c r="AT189" s="1" t="s">
        <v>132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133</v>
      </c>
    </row>
    <row r="190" spans="17:53" x14ac:dyDescent="0.25">
      <c r="Q190" s="109" t="str">
        <f t="shared" ref="Q190:Q253" si="25">T190&amp;V190</f>
        <v/>
      </c>
      <c r="R190" s="27" t="str">
        <f t="shared" ref="R190:R253" si="26">S190&amp;T190&amp;U190</f>
        <v/>
      </c>
      <c r="S190" s="395"/>
      <c r="T190" s="395"/>
      <c r="U190" s="395"/>
      <c r="V190" s="395"/>
      <c r="W190" s="395"/>
      <c r="X190" s="395"/>
      <c r="Y190" s="22"/>
      <c r="AG190" s="27" t="str">
        <f t="shared" si="19"/>
        <v>Janie &amp; JackOutletUSA29</v>
      </c>
      <c r="AH190" s="1" t="s">
        <v>30</v>
      </c>
      <c r="AI190" s="1" t="s">
        <v>16</v>
      </c>
      <c r="AJ190" s="1" t="s">
        <v>274</v>
      </c>
      <c r="AK190" s="1">
        <v>29</v>
      </c>
      <c r="AL190" s="19">
        <v>0.65</v>
      </c>
      <c r="AN190" s="109" t="str">
        <f t="shared" si="20"/>
        <v>GymboreeCanadaRetailGY 18 SM3</v>
      </c>
      <c r="AO190" s="1" t="s">
        <v>13</v>
      </c>
      <c r="AP190" s="1" t="s">
        <v>5</v>
      </c>
      <c r="AQ190" s="1" t="s">
        <v>275</v>
      </c>
      <c r="AR190" s="1">
        <v>2018</v>
      </c>
      <c r="AS190" s="1" t="s">
        <v>17</v>
      </c>
      <c r="AT190" s="1" t="s">
        <v>130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131</v>
      </c>
    </row>
    <row r="191" spans="17:53" x14ac:dyDescent="0.25">
      <c r="Q191" s="109" t="str">
        <f t="shared" si="25"/>
        <v/>
      </c>
      <c r="R191" s="27" t="str">
        <f t="shared" si="26"/>
        <v/>
      </c>
      <c r="S191" s="395"/>
      <c r="T191" s="395"/>
      <c r="U191" s="395"/>
      <c r="V191" s="395"/>
      <c r="W191" s="395"/>
      <c r="X191" s="395"/>
      <c r="Y191" s="22"/>
      <c r="AG191" s="27" t="str">
        <f t="shared" si="19"/>
        <v>Janie &amp; JackOutletUSA30</v>
      </c>
      <c r="AH191" s="1" t="s">
        <v>30</v>
      </c>
      <c r="AI191" s="1" t="s">
        <v>16</v>
      </c>
      <c r="AJ191" s="1" t="s">
        <v>274</v>
      </c>
      <c r="AK191" s="1">
        <v>30</v>
      </c>
      <c r="AL191" s="19">
        <v>0.7</v>
      </c>
      <c r="AN191" s="109" t="str">
        <f t="shared" si="20"/>
        <v>GymboreeCanadaRetailGY 18 SM4</v>
      </c>
      <c r="AO191" s="1" t="s">
        <v>13</v>
      </c>
      <c r="AP191" s="1" t="s">
        <v>5</v>
      </c>
      <c r="AQ191" s="1" t="s">
        <v>275</v>
      </c>
      <c r="AR191" s="1">
        <v>2018</v>
      </c>
      <c r="AS191" s="1" t="s">
        <v>17</v>
      </c>
      <c r="AT191" s="1" t="s">
        <v>134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135</v>
      </c>
    </row>
    <row r="192" spans="17:53" x14ac:dyDescent="0.25">
      <c r="Q192" s="109" t="str">
        <f t="shared" si="25"/>
        <v/>
      </c>
      <c r="R192" s="27" t="str">
        <f t="shared" si="26"/>
        <v/>
      </c>
      <c r="S192" s="395"/>
      <c r="T192" s="395"/>
      <c r="U192" s="395"/>
      <c r="V192" s="395"/>
      <c r="W192" s="395"/>
      <c r="X192" s="395"/>
      <c r="Y192" s="22"/>
      <c r="AG192" s="27" t="str">
        <f t="shared" si="19"/>
        <v>Janie &amp; JackOutletUSA31</v>
      </c>
      <c r="AH192" s="1" t="s">
        <v>30</v>
      </c>
      <c r="AI192" s="1" t="s">
        <v>16</v>
      </c>
      <c r="AJ192" s="1" t="s">
        <v>274</v>
      </c>
      <c r="AK192" s="1">
        <v>31</v>
      </c>
      <c r="AL192" s="19">
        <v>0.7</v>
      </c>
      <c r="AN192" s="109" t="str">
        <f t="shared" si="20"/>
        <v>GymboreeCanadaRetailGY 18 SM5</v>
      </c>
      <c r="AO192" s="1" t="s">
        <v>13</v>
      </c>
      <c r="AP192" s="1" t="s">
        <v>5</v>
      </c>
      <c r="AQ192" s="1" t="s">
        <v>275</v>
      </c>
      <c r="AR192" s="1">
        <v>2018</v>
      </c>
      <c r="AS192" s="1" t="s">
        <v>17</v>
      </c>
      <c r="AT192" s="1" t="s">
        <v>136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137</v>
      </c>
    </row>
    <row r="193" spans="17:53" x14ac:dyDescent="0.25">
      <c r="Q193" s="109" t="str">
        <f t="shared" si="25"/>
        <v/>
      </c>
      <c r="R193" s="27" t="str">
        <f t="shared" si="26"/>
        <v/>
      </c>
      <c r="S193" s="395"/>
      <c r="T193" s="395"/>
      <c r="U193" s="395"/>
      <c r="V193" s="395"/>
      <c r="W193" s="395"/>
      <c r="X193" s="395"/>
      <c r="Y193" s="22"/>
      <c r="AG193" s="27" t="str">
        <f t="shared" si="19"/>
        <v>Janie &amp; JackOutletUSA32</v>
      </c>
      <c r="AH193" s="1" t="s">
        <v>30</v>
      </c>
      <c r="AI193" s="1" t="s">
        <v>16</v>
      </c>
      <c r="AJ193" s="1" t="s">
        <v>274</v>
      </c>
      <c r="AK193" s="1">
        <v>32</v>
      </c>
      <c r="AL193" s="19">
        <v>0.7</v>
      </c>
      <c r="AN193" s="109" t="str">
        <f t="shared" si="20"/>
        <v>Crazy 8USARetailGY C8 18 UNIFORM CAP</v>
      </c>
      <c r="AO193" s="1" t="s">
        <v>56</v>
      </c>
      <c r="AP193" s="1" t="s">
        <v>5</v>
      </c>
      <c r="AQ193" s="1" t="s">
        <v>274</v>
      </c>
      <c r="AR193" s="1">
        <v>2018</v>
      </c>
      <c r="AS193" s="1" t="s">
        <v>33</v>
      </c>
      <c r="AT193" s="1" t="s">
        <v>60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311</v>
      </c>
    </row>
    <row r="194" spans="17:53" x14ac:dyDescent="0.25">
      <c r="Q194" s="109" t="str">
        <f t="shared" si="25"/>
        <v/>
      </c>
      <c r="R194" s="27" t="str">
        <f t="shared" si="26"/>
        <v/>
      </c>
      <c r="S194" s="395"/>
      <c r="T194" s="395"/>
      <c r="U194" s="395"/>
      <c r="V194" s="395"/>
      <c r="W194" s="395"/>
      <c r="X194" s="395"/>
      <c r="Y194" s="22"/>
      <c r="AG194" s="27" t="str">
        <f t="shared" si="19"/>
        <v>Janie &amp; JackOutletUSA33</v>
      </c>
      <c r="AH194" s="1" t="s">
        <v>30</v>
      </c>
      <c r="AI194" s="1" t="s">
        <v>16</v>
      </c>
      <c r="AJ194" s="1" t="s">
        <v>274</v>
      </c>
      <c r="AK194" s="1">
        <v>33</v>
      </c>
      <c r="AL194" s="19">
        <v>0.7</v>
      </c>
      <c r="AN194" s="109" t="str">
        <f t="shared" si="20"/>
        <v>Crazy 8USARetailGY C8 18 FAL</v>
      </c>
      <c r="AO194" s="1" t="s">
        <v>56</v>
      </c>
      <c r="AP194" s="1" t="s">
        <v>5</v>
      </c>
      <c r="AQ194" s="1" t="s">
        <v>274</v>
      </c>
      <c r="AR194" s="1">
        <v>2018</v>
      </c>
      <c r="AS194" s="1" t="s">
        <v>31</v>
      </c>
      <c r="AT194" s="1" t="s">
        <v>62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63</v>
      </c>
    </row>
    <row r="195" spans="17:53" x14ac:dyDescent="0.25">
      <c r="Q195" s="109" t="str">
        <f t="shared" si="25"/>
        <v/>
      </c>
      <c r="R195" s="27" t="str">
        <f t="shared" si="26"/>
        <v/>
      </c>
      <c r="S195" s="395"/>
      <c r="T195" s="395"/>
      <c r="U195" s="395"/>
      <c r="V195" s="395"/>
      <c r="W195" s="395"/>
      <c r="X195" s="395"/>
      <c r="Y195" s="22"/>
      <c r="AG195" s="27" t="str">
        <f t="shared" si="19"/>
        <v>Janie &amp; JackOutletUSA34</v>
      </c>
      <c r="AH195" s="1" t="s">
        <v>30</v>
      </c>
      <c r="AI195" s="1" t="s">
        <v>16</v>
      </c>
      <c r="AJ195" s="1" t="s">
        <v>274</v>
      </c>
      <c r="AK195" s="1">
        <v>34</v>
      </c>
      <c r="AL195" s="19">
        <v>0.7</v>
      </c>
      <c r="AN195" s="109" t="str">
        <f t="shared" si="20"/>
        <v>Crazy 8USARetailGY C8 18 SB1</v>
      </c>
      <c r="AO195" s="1" t="s">
        <v>56</v>
      </c>
      <c r="AP195" s="1" t="s">
        <v>5</v>
      </c>
      <c r="AQ195" s="1" t="s">
        <v>274</v>
      </c>
      <c r="AR195" s="1">
        <v>2018</v>
      </c>
      <c r="AS195" s="1" t="s">
        <v>65</v>
      </c>
      <c r="AT195" s="1" t="s">
        <v>57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58</v>
      </c>
    </row>
    <row r="196" spans="17:53" x14ac:dyDescent="0.25">
      <c r="Q196" s="109" t="str">
        <f t="shared" si="25"/>
        <v/>
      </c>
      <c r="R196" s="27" t="str">
        <f t="shared" si="26"/>
        <v/>
      </c>
      <c r="S196" s="395"/>
      <c r="T196" s="395"/>
      <c r="U196" s="395"/>
      <c r="V196" s="395"/>
      <c r="W196" s="395"/>
      <c r="X196" s="395"/>
      <c r="Y196" s="22"/>
      <c r="AG196" s="27" t="str">
        <f t="shared" ref="AG196:AG259" si="27">AH196&amp;AI196&amp;AJ196&amp;AK196</f>
        <v>Janie &amp; JackOutletUSA35</v>
      </c>
      <c r="AH196" s="1" t="s">
        <v>30</v>
      </c>
      <c r="AI196" s="1" t="s">
        <v>16</v>
      </c>
      <c r="AJ196" s="1" t="s">
        <v>274</v>
      </c>
      <c r="AK196" s="1">
        <v>35</v>
      </c>
      <c r="AL196" s="19">
        <v>0.7</v>
      </c>
      <c r="AN196" s="109" t="str">
        <f t="shared" ref="AN196:AN259" si="28">AO196&amp;AQ196&amp;AP196&amp;AT196</f>
        <v>Crazy 8USARetailGY C8 18 VDAY CAP</v>
      </c>
      <c r="AO196" s="1" t="s">
        <v>56</v>
      </c>
      <c r="AP196" s="1" t="s">
        <v>5</v>
      </c>
      <c r="AQ196" s="1" t="s">
        <v>274</v>
      </c>
      <c r="AR196" s="1">
        <v>2018</v>
      </c>
      <c r="AS196" s="1" t="s">
        <v>15</v>
      </c>
      <c r="AT196" s="1" t="s">
        <v>73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74</v>
      </c>
    </row>
    <row r="197" spans="17:53" x14ac:dyDescent="0.25">
      <c r="Q197" s="109" t="str">
        <f t="shared" si="25"/>
        <v/>
      </c>
      <c r="R197" s="27" t="str">
        <f t="shared" si="26"/>
        <v/>
      </c>
      <c r="S197" s="395"/>
      <c r="T197" s="395"/>
      <c r="U197" s="395"/>
      <c r="V197" s="395"/>
      <c r="W197" s="395"/>
      <c r="X197" s="395"/>
      <c r="Y197" s="22"/>
      <c r="AG197" s="27" t="str">
        <f t="shared" si="27"/>
        <v>Janie &amp; JackOutletUSA36</v>
      </c>
      <c r="AH197" s="1" t="s">
        <v>30</v>
      </c>
      <c r="AI197" s="1" t="s">
        <v>16</v>
      </c>
      <c r="AJ197" s="1" t="s">
        <v>274</v>
      </c>
      <c r="AK197" s="1">
        <v>36</v>
      </c>
      <c r="AL197" s="19">
        <v>0.7</v>
      </c>
      <c r="AN197" s="109" t="str">
        <f t="shared" si="28"/>
        <v>Crazy 8USARetailGY C8 18 SPRING TRANS</v>
      </c>
      <c r="AO197" s="1" t="s">
        <v>56</v>
      </c>
      <c r="AP197" s="1" t="s">
        <v>5</v>
      </c>
      <c r="AQ197" s="1" t="s">
        <v>274</v>
      </c>
      <c r="AR197" s="1">
        <v>2018</v>
      </c>
      <c r="AS197" s="1" t="s">
        <v>15</v>
      </c>
      <c r="AT197" s="1" t="s">
        <v>75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76</v>
      </c>
    </row>
    <row r="198" spans="17:53" x14ac:dyDescent="0.25">
      <c r="Q198" s="109" t="str">
        <f t="shared" si="25"/>
        <v/>
      </c>
      <c r="R198" s="27" t="str">
        <f t="shared" si="26"/>
        <v/>
      </c>
      <c r="S198" s="395"/>
      <c r="T198" s="395"/>
      <c r="U198" s="395"/>
      <c r="V198" s="395"/>
      <c r="W198" s="395"/>
      <c r="X198" s="395"/>
      <c r="Y198" s="22"/>
      <c r="AG198" s="27" t="str">
        <f t="shared" si="27"/>
        <v>Janie &amp; JackOutletUSA37</v>
      </c>
      <c r="AH198" s="1" t="s">
        <v>30</v>
      </c>
      <c r="AI198" s="1" t="s">
        <v>16</v>
      </c>
      <c r="AJ198" s="1" t="s">
        <v>274</v>
      </c>
      <c r="AK198" s="1">
        <v>37</v>
      </c>
      <c r="AL198" s="19">
        <v>0.7</v>
      </c>
      <c r="AN198" s="109" t="str">
        <f t="shared" si="28"/>
        <v>Crazy 8USARetailGY C8 18 SPR</v>
      </c>
      <c r="AO198" s="1" t="s">
        <v>56</v>
      </c>
      <c r="AP198" s="1" t="s">
        <v>5</v>
      </c>
      <c r="AQ198" s="1" t="s">
        <v>274</v>
      </c>
      <c r="AR198" s="1">
        <v>2018</v>
      </c>
      <c r="AS198" s="1" t="s">
        <v>15</v>
      </c>
      <c r="AT198" s="1" t="s">
        <v>71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72</v>
      </c>
    </row>
    <row r="199" spans="17:53" x14ac:dyDescent="0.25">
      <c r="Q199" s="109" t="str">
        <f t="shared" si="25"/>
        <v/>
      </c>
      <c r="R199" s="27" t="str">
        <f t="shared" si="26"/>
        <v/>
      </c>
      <c r="S199" s="395"/>
      <c r="T199" s="395"/>
      <c r="U199" s="395"/>
      <c r="V199" s="395"/>
      <c r="W199" s="395"/>
      <c r="X199" s="395"/>
      <c r="Y199" s="22"/>
      <c r="AG199" s="27" t="str">
        <f t="shared" si="27"/>
        <v>Janie &amp; JackOutletUSA38</v>
      </c>
      <c r="AH199" s="1" t="s">
        <v>30</v>
      </c>
      <c r="AI199" s="1" t="s">
        <v>16</v>
      </c>
      <c r="AJ199" s="1" t="s">
        <v>274</v>
      </c>
      <c r="AK199" s="1">
        <v>38</v>
      </c>
      <c r="AL199" s="19">
        <v>0.7</v>
      </c>
      <c r="AN199" s="109" t="str">
        <f t="shared" si="28"/>
        <v>Crazy 8USARetailGY C8 18 SPRING</v>
      </c>
      <c r="AO199" s="1" t="s">
        <v>56</v>
      </c>
      <c r="AP199" s="1" t="s">
        <v>5</v>
      </c>
      <c r="AQ199" s="1" t="s">
        <v>274</v>
      </c>
      <c r="AR199" s="1">
        <v>2018</v>
      </c>
      <c r="AS199" s="1" t="s">
        <v>15</v>
      </c>
      <c r="AT199" s="1" t="s">
        <v>79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80</v>
      </c>
    </row>
    <row r="200" spans="17:53" x14ac:dyDescent="0.25">
      <c r="Q200" s="109" t="str">
        <f t="shared" si="25"/>
        <v/>
      </c>
      <c r="R200" s="27" t="str">
        <f t="shared" si="26"/>
        <v/>
      </c>
      <c r="S200" s="395"/>
      <c r="T200" s="395"/>
      <c r="U200" s="395"/>
      <c r="V200" s="395"/>
      <c r="W200" s="395"/>
      <c r="X200" s="395"/>
      <c r="Y200" s="22"/>
      <c r="AG200" s="27" t="str">
        <f t="shared" si="27"/>
        <v>Janie &amp; JackOutletUSA39</v>
      </c>
      <c r="AH200" s="1" t="s">
        <v>30</v>
      </c>
      <c r="AI200" s="1" t="s">
        <v>16</v>
      </c>
      <c r="AJ200" s="1" t="s">
        <v>274</v>
      </c>
      <c r="AK200" s="1">
        <v>39</v>
      </c>
      <c r="AL200" s="19">
        <v>0.7</v>
      </c>
      <c r="AN200" s="109" t="str">
        <f t="shared" si="28"/>
        <v>Crazy 8USARetailGY C8 18 SPR DOORBUSTER</v>
      </c>
      <c r="AO200" s="1" t="s">
        <v>56</v>
      </c>
      <c r="AP200" s="1" t="s">
        <v>5</v>
      </c>
      <c r="AQ200" s="1" t="s">
        <v>274</v>
      </c>
      <c r="AR200" s="1">
        <v>2018</v>
      </c>
      <c r="AS200" s="1" t="s">
        <v>15</v>
      </c>
      <c r="AT200" s="1" t="s">
        <v>77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78</v>
      </c>
    </row>
    <row r="201" spans="17:53" x14ac:dyDescent="0.25">
      <c r="Q201" s="109" t="str">
        <f t="shared" si="25"/>
        <v/>
      </c>
      <c r="R201" s="27" t="str">
        <f t="shared" si="26"/>
        <v/>
      </c>
      <c r="S201" s="395"/>
      <c r="T201" s="395"/>
      <c r="U201" s="395"/>
      <c r="V201" s="395"/>
      <c r="W201" s="395"/>
      <c r="X201" s="395"/>
      <c r="Y201" s="22"/>
      <c r="AG201" s="27" t="str">
        <f t="shared" si="27"/>
        <v>Janie &amp; JackOutletUSA40</v>
      </c>
      <c r="AH201" s="1" t="s">
        <v>30</v>
      </c>
      <c r="AI201" s="1" t="s">
        <v>16</v>
      </c>
      <c r="AJ201" s="1" t="s">
        <v>274</v>
      </c>
      <c r="AK201" s="1">
        <v>40</v>
      </c>
      <c r="AL201" s="19">
        <v>0.7</v>
      </c>
      <c r="AN201" s="109" t="str">
        <f t="shared" si="28"/>
        <v>Crazy 8USARetailGY C8 18 SWIM 1</v>
      </c>
      <c r="AO201" s="1" t="s">
        <v>56</v>
      </c>
      <c r="AP201" s="1" t="s">
        <v>5</v>
      </c>
      <c r="AQ201" s="1" t="s">
        <v>274</v>
      </c>
      <c r="AR201" s="1">
        <v>2018</v>
      </c>
      <c r="AS201" s="1" t="s">
        <v>15</v>
      </c>
      <c r="AT201" s="1" t="s">
        <v>81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82</v>
      </c>
    </row>
    <row r="202" spans="17:53" x14ac:dyDescent="0.25">
      <c r="Q202" s="109" t="str">
        <f t="shared" si="25"/>
        <v/>
      </c>
      <c r="R202" s="27" t="str">
        <f t="shared" si="26"/>
        <v/>
      </c>
      <c r="S202" s="395"/>
      <c r="T202" s="395"/>
      <c r="U202" s="395"/>
      <c r="V202" s="395"/>
      <c r="W202" s="395"/>
      <c r="X202" s="395"/>
      <c r="Y202" s="22"/>
      <c r="AG202" s="27" t="str">
        <f t="shared" si="27"/>
        <v>Janie &amp; JackOutletUSA41</v>
      </c>
      <c r="AH202" s="1" t="s">
        <v>30</v>
      </c>
      <c r="AI202" s="1" t="s">
        <v>16</v>
      </c>
      <c r="AJ202" s="1" t="s">
        <v>274</v>
      </c>
      <c r="AK202" s="1">
        <v>41</v>
      </c>
      <c r="AL202" s="19">
        <v>0.7</v>
      </c>
      <c r="AN202" s="109" t="str">
        <f t="shared" si="28"/>
        <v>Crazy 8USARetailGY C8 18 EASTER CAP</v>
      </c>
      <c r="AO202" s="1" t="s">
        <v>56</v>
      </c>
      <c r="AP202" s="1" t="s">
        <v>5</v>
      </c>
      <c r="AQ202" s="1" t="s">
        <v>274</v>
      </c>
      <c r="AR202" s="1">
        <v>2018</v>
      </c>
      <c r="AS202" s="1" t="s">
        <v>15</v>
      </c>
      <c r="AT202" s="1" t="s">
        <v>83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84</v>
      </c>
    </row>
    <row r="203" spans="17:53" x14ac:dyDescent="0.25">
      <c r="Q203" s="109" t="str">
        <f t="shared" si="25"/>
        <v/>
      </c>
      <c r="R203" s="27" t="str">
        <f t="shared" si="26"/>
        <v/>
      </c>
      <c r="S203" s="395"/>
      <c r="T203" s="395"/>
      <c r="U203" s="395"/>
      <c r="V203" s="395"/>
      <c r="W203" s="395"/>
      <c r="X203" s="395"/>
      <c r="Y203" s="22"/>
      <c r="AG203" s="27" t="str">
        <f t="shared" si="27"/>
        <v>Janie &amp; JackOutletUSA42</v>
      </c>
      <c r="AH203" s="1" t="s">
        <v>30</v>
      </c>
      <c r="AI203" s="1" t="s">
        <v>16</v>
      </c>
      <c r="AJ203" s="1" t="s">
        <v>274</v>
      </c>
      <c r="AK203" s="1">
        <v>42</v>
      </c>
      <c r="AL203" s="19">
        <v>0.7</v>
      </c>
      <c r="AN203" s="109" t="str">
        <f t="shared" si="28"/>
        <v>Crazy 8USARetailGY C8 18 SPRING BREAK</v>
      </c>
      <c r="AO203" s="1" t="s">
        <v>56</v>
      </c>
      <c r="AP203" s="1" t="s">
        <v>5</v>
      </c>
      <c r="AQ203" s="1" t="s">
        <v>274</v>
      </c>
      <c r="AR203" s="1">
        <v>2018</v>
      </c>
      <c r="AS203" s="1" t="s">
        <v>15</v>
      </c>
      <c r="AT203" s="1" t="s">
        <v>85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86</v>
      </c>
    </row>
    <row r="204" spans="17:53" x14ac:dyDescent="0.25">
      <c r="Q204" s="109" t="str">
        <f t="shared" si="25"/>
        <v/>
      </c>
      <c r="R204" s="27" t="str">
        <f t="shared" si="26"/>
        <v/>
      </c>
      <c r="S204" s="395"/>
      <c r="T204" s="395"/>
      <c r="U204" s="395"/>
      <c r="V204" s="395"/>
      <c r="W204" s="395"/>
      <c r="X204" s="395"/>
      <c r="Y204" s="22"/>
      <c r="AG204" s="27" t="str">
        <f t="shared" si="27"/>
        <v>Janie &amp; JackOutletUSA43</v>
      </c>
      <c r="AH204" s="1" t="s">
        <v>30</v>
      </c>
      <c r="AI204" s="1" t="s">
        <v>16</v>
      </c>
      <c r="AJ204" s="1" t="s">
        <v>274</v>
      </c>
      <c r="AK204" s="1">
        <v>43</v>
      </c>
      <c r="AL204" s="19">
        <v>0.7</v>
      </c>
      <c r="AN204" s="109" t="str">
        <f t="shared" si="28"/>
        <v>Crazy 8USARetailGY C8 18 SWIM 2</v>
      </c>
      <c r="AO204" s="1" t="s">
        <v>56</v>
      </c>
      <c r="AP204" s="1" t="s">
        <v>5</v>
      </c>
      <c r="AQ204" s="1" t="s">
        <v>274</v>
      </c>
      <c r="AR204" s="1">
        <v>2018</v>
      </c>
      <c r="AS204" s="1" t="s">
        <v>15</v>
      </c>
      <c r="AT204" s="1" t="s">
        <v>87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88</v>
      </c>
    </row>
    <row r="205" spans="17:53" x14ac:dyDescent="0.25">
      <c r="Q205" s="109" t="str">
        <f t="shared" si="25"/>
        <v/>
      </c>
      <c r="R205" s="27" t="str">
        <f t="shared" si="26"/>
        <v/>
      </c>
      <c r="S205" s="395"/>
      <c r="T205" s="395"/>
      <c r="U205" s="395"/>
      <c r="V205" s="395"/>
      <c r="W205" s="395"/>
      <c r="X205" s="395"/>
      <c r="Y205" s="22"/>
      <c r="AG205" s="27" t="str">
        <f t="shared" si="27"/>
        <v>Janie &amp; JackOutletUSA44</v>
      </c>
      <c r="AH205" s="1" t="s">
        <v>30</v>
      </c>
      <c r="AI205" s="1" t="s">
        <v>16</v>
      </c>
      <c r="AJ205" s="1" t="s">
        <v>274</v>
      </c>
      <c r="AK205" s="1">
        <v>44</v>
      </c>
      <c r="AL205" s="19">
        <v>0.7</v>
      </c>
      <c r="AN205" s="109" t="str">
        <f t="shared" si="28"/>
        <v>Crazy 8USARetailGY C8 18 EASTER REFRESH</v>
      </c>
      <c r="AO205" s="1" t="s">
        <v>56</v>
      </c>
      <c r="AP205" s="1" t="s">
        <v>5</v>
      </c>
      <c r="AQ205" s="1" t="s">
        <v>274</v>
      </c>
      <c r="AR205" s="1">
        <v>2018</v>
      </c>
      <c r="AS205" s="1" t="s">
        <v>15</v>
      </c>
      <c r="AT205" s="1" t="s">
        <v>89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25"/>
        <v/>
      </c>
      <c r="R206" s="27" t="str">
        <f t="shared" si="26"/>
        <v/>
      </c>
      <c r="S206" s="395"/>
      <c r="T206" s="395"/>
      <c r="U206" s="395"/>
      <c r="V206" s="395"/>
      <c r="W206" s="395"/>
      <c r="X206" s="395"/>
      <c r="Y206" s="22"/>
      <c r="AG206" s="27" t="str">
        <f t="shared" si="27"/>
        <v>Janie &amp; JackOutletUSA45</v>
      </c>
      <c r="AH206" s="1" t="s">
        <v>30</v>
      </c>
      <c r="AI206" s="1" t="s">
        <v>16</v>
      </c>
      <c r="AJ206" s="1" t="s">
        <v>274</v>
      </c>
      <c r="AK206" s="1">
        <v>45</v>
      </c>
      <c r="AL206" s="19">
        <v>0.7</v>
      </c>
      <c r="AN206" s="109" t="str">
        <f t="shared" si="28"/>
        <v>Crazy 8USARetailGY C8 18 SWIM 3</v>
      </c>
      <c r="AO206" s="1" t="s">
        <v>56</v>
      </c>
      <c r="AP206" s="1" t="s">
        <v>5</v>
      </c>
      <c r="AQ206" s="1" t="s">
        <v>274</v>
      </c>
      <c r="AR206" s="1">
        <v>2018</v>
      </c>
      <c r="AS206" s="1" t="s">
        <v>15</v>
      </c>
      <c r="AT206" s="1" t="s">
        <v>92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93</v>
      </c>
    </row>
    <row r="207" spans="17:53" x14ac:dyDescent="0.25">
      <c r="Q207" s="109" t="str">
        <f t="shared" si="25"/>
        <v/>
      </c>
      <c r="R207" s="27" t="str">
        <f t="shared" si="26"/>
        <v/>
      </c>
      <c r="S207" s="395"/>
      <c r="T207" s="395"/>
      <c r="U207" s="395"/>
      <c r="V207" s="395"/>
      <c r="W207" s="395"/>
      <c r="X207" s="395"/>
      <c r="Y207" s="22"/>
      <c r="AG207" s="27" t="str">
        <f t="shared" si="27"/>
        <v>Janie &amp; JackOutletUSA46</v>
      </c>
      <c r="AH207" s="1" t="s">
        <v>30</v>
      </c>
      <c r="AI207" s="1" t="s">
        <v>16</v>
      </c>
      <c r="AJ207" s="1" t="s">
        <v>274</v>
      </c>
      <c r="AK207" s="1">
        <v>46</v>
      </c>
      <c r="AL207" s="19">
        <v>0.7</v>
      </c>
      <c r="AN207" s="109" t="str">
        <f t="shared" si="28"/>
        <v>Crazy 8USARetailGY C8 18 PRE SUMMER</v>
      </c>
      <c r="AO207" s="1" t="s">
        <v>56</v>
      </c>
      <c r="AP207" s="1" t="s">
        <v>5</v>
      </c>
      <c r="AQ207" s="1" t="s">
        <v>274</v>
      </c>
      <c r="AR207" s="1">
        <v>2018</v>
      </c>
      <c r="AS207" s="1" t="s">
        <v>15</v>
      </c>
      <c r="AT207" s="1" t="s">
        <v>90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91</v>
      </c>
    </row>
    <row r="208" spans="17:53" x14ac:dyDescent="0.25">
      <c r="Q208" s="109" t="str">
        <f t="shared" si="25"/>
        <v/>
      </c>
      <c r="R208" s="27" t="str">
        <f t="shared" si="26"/>
        <v/>
      </c>
      <c r="S208" s="395"/>
      <c r="T208" s="395"/>
      <c r="U208" s="395"/>
      <c r="V208" s="395"/>
      <c r="W208" s="395"/>
      <c r="X208" s="395"/>
      <c r="Y208" s="22"/>
      <c r="AG208" s="27" t="str">
        <f t="shared" si="27"/>
        <v>Janie &amp; JackOutletUSA47</v>
      </c>
      <c r="AH208" s="1" t="s">
        <v>30</v>
      </c>
      <c r="AI208" s="1" t="s">
        <v>16</v>
      </c>
      <c r="AJ208" s="1" t="s">
        <v>274</v>
      </c>
      <c r="AK208" s="1">
        <v>47</v>
      </c>
      <c r="AL208" s="19">
        <v>0.7</v>
      </c>
      <c r="AN208" s="109" t="str">
        <f t="shared" si="28"/>
        <v>Crazy 8USARetailGY C8 18 MARKET SPRING</v>
      </c>
      <c r="AO208" s="1" t="s">
        <v>56</v>
      </c>
      <c r="AP208" s="1" t="s">
        <v>5</v>
      </c>
      <c r="AQ208" s="1" t="s">
        <v>274</v>
      </c>
      <c r="AR208" s="1">
        <v>2018</v>
      </c>
      <c r="AS208" s="1" t="s">
        <v>15</v>
      </c>
      <c r="AT208" s="1" t="s">
        <v>333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5"/>
        <v/>
      </c>
      <c r="R209" s="27" t="str">
        <f t="shared" si="26"/>
        <v/>
      </c>
      <c r="S209" s="395"/>
      <c r="T209" s="395"/>
      <c r="U209" s="395"/>
      <c r="V209" s="395"/>
      <c r="W209" s="395"/>
      <c r="X209" s="395"/>
      <c r="Y209" s="22"/>
      <c r="AG209" s="27" t="str">
        <f t="shared" si="27"/>
        <v>Janie &amp; JackOutletUSA48</v>
      </c>
      <c r="AH209" s="1" t="s">
        <v>30</v>
      </c>
      <c r="AI209" s="1" t="s">
        <v>16</v>
      </c>
      <c r="AJ209" s="1" t="s">
        <v>274</v>
      </c>
      <c r="AK209" s="1">
        <v>48</v>
      </c>
      <c r="AL209" s="19">
        <v>0.7</v>
      </c>
      <c r="AN209" s="109" t="str">
        <f t="shared" si="28"/>
        <v>Crazy 8USARetailGY C8 18 SMR</v>
      </c>
      <c r="AO209" s="1" t="s">
        <v>56</v>
      </c>
      <c r="AP209" s="1" t="s">
        <v>5</v>
      </c>
      <c r="AQ209" s="1" t="s">
        <v>274</v>
      </c>
      <c r="AR209" s="1">
        <v>2018</v>
      </c>
      <c r="AS209" s="1" t="s">
        <v>17</v>
      </c>
      <c r="AT209" s="1" t="s">
        <v>96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97</v>
      </c>
    </row>
    <row r="210" spans="17:53" x14ac:dyDescent="0.25">
      <c r="Q210" s="109" t="str">
        <f t="shared" si="25"/>
        <v/>
      </c>
      <c r="R210" s="27" t="str">
        <f t="shared" si="26"/>
        <v/>
      </c>
      <c r="S210" s="395"/>
      <c r="T210" s="395"/>
      <c r="U210" s="395"/>
      <c r="V210" s="395"/>
      <c r="W210" s="395"/>
      <c r="X210" s="395"/>
      <c r="Y210" s="22"/>
      <c r="AG210" s="27" t="str">
        <f t="shared" si="27"/>
        <v>Janie &amp; JackOutletUSA49</v>
      </c>
      <c r="AH210" s="1" t="s">
        <v>30</v>
      </c>
      <c r="AI210" s="1" t="s">
        <v>16</v>
      </c>
      <c r="AJ210" s="1" t="s">
        <v>274</v>
      </c>
      <c r="AK210" s="1">
        <v>49</v>
      </c>
      <c r="AL210" s="19">
        <v>0.7</v>
      </c>
      <c r="AN210" s="109" t="str">
        <f t="shared" si="28"/>
        <v>Crazy 8USARetailGY C8 18 SUMMER CAP</v>
      </c>
      <c r="AO210" s="1" t="s">
        <v>56</v>
      </c>
      <c r="AP210" s="1" t="s">
        <v>5</v>
      </c>
      <c r="AQ210" s="1" t="s">
        <v>274</v>
      </c>
      <c r="AR210" s="1">
        <v>2018</v>
      </c>
      <c r="AS210" s="1" t="s">
        <v>17</v>
      </c>
      <c r="AT210" s="1" t="s">
        <v>94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95</v>
      </c>
    </row>
    <row r="211" spans="17:53" x14ac:dyDescent="0.25">
      <c r="Q211" s="109" t="str">
        <f t="shared" si="25"/>
        <v/>
      </c>
      <c r="R211" s="27" t="str">
        <f t="shared" si="26"/>
        <v/>
      </c>
      <c r="S211" s="395"/>
      <c r="T211" s="395"/>
      <c r="U211" s="395"/>
      <c r="V211" s="395"/>
      <c r="W211" s="395"/>
      <c r="X211" s="395"/>
      <c r="Y211" s="22"/>
      <c r="AG211" s="27" t="str">
        <f t="shared" si="27"/>
        <v>Janie &amp; JackOutletUSA50</v>
      </c>
      <c r="AH211" s="1" t="s">
        <v>30</v>
      </c>
      <c r="AI211" s="1" t="s">
        <v>16</v>
      </c>
      <c r="AJ211" s="1" t="s">
        <v>274</v>
      </c>
      <c r="AK211" s="1">
        <v>50</v>
      </c>
      <c r="AL211" s="19">
        <v>0.7</v>
      </c>
      <c r="AN211" s="109" t="str">
        <f t="shared" si="28"/>
        <v>Crazy 8USARetailGY C8 18 SUMMER</v>
      </c>
      <c r="AO211" s="1" t="s">
        <v>56</v>
      </c>
      <c r="AP211" s="1" t="s">
        <v>5</v>
      </c>
      <c r="AQ211" s="1" t="s">
        <v>274</v>
      </c>
      <c r="AR211" s="1">
        <v>2018</v>
      </c>
      <c r="AS211" s="1" t="s">
        <v>17</v>
      </c>
      <c r="AT211" s="1" t="s">
        <v>98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99</v>
      </c>
    </row>
    <row r="212" spans="17:53" x14ac:dyDescent="0.25">
      <c r="Q212" s="109" t="str">
        <f t="shared" si="25"/>
        <v/>
      </c>
      <c r="R212" s="27" t="str">
        <f t="shared" si="26"/>
        <v/>
      </c>
      <c r="S212" s="395"/>
      <c r="T212" s="395"/>
      <c r="U212" s="395"/>
      <c r="V212" s="395"/>
      <c r="W212" s="395"/>
      <c r="X212" s="395"/>
      <c r="Y212" s="22"/>
      <c r="AG212" s="27" t="str">
        <f t="shared" si="27"/>
        <v>Janie &amp; JackOutletUSA51</v>
      </c>
      <c r="AH212" s="1" t="s">
        <v>30</v>
      </c>
      <c r="AI212" s="1" t="s">
        <v>16</v>
      </c>
      <c r="AJ212" s="1" t="s">
        <v>274</v>
      </c>
      <c r="AK212" s="1">
        <v>51</v>
      </c>
      <c r="AL212" s="19">
        <v>0.7</v>
      </c>
      <c r="AN212" s="109" t="str">
        <f t="shared" si="28"/>
        <v>Crazy 8USARetailGY C8 18 SMR DOORBUSTER</v>
      </c>
      <c r="AO212" s="1" t="s">
        <v>56</v>
      </c>
      <c r="AP212" s="1" t="s">
        <v>5</v>
      </c>
      <c r="AQ212" s="1" t="s">
        <v>274</v>
      </c>
      <c r="AR212" s="1">
        <v>2018</v>
      </c>
      <c r="AS212" s="1" t="s">
        <v>17</v>
      </c>
      <c r="AT212" s="1" t="s">
        <v>104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105</v>
      </c>
    </row>
    <row r="213" spans="17:53" x14ac:dyDescent="0.25">
      <c r="Q213" s="109" t="str">
        <f t="shared" si="25"/>
        <v/>
      </c>
      <c r="R213" s="27" t="str">
        <f t="shared" si="26"/>
        <v/>
      </c>
      <c r="S213" s="395"/>
      <c r="T213" s="395"/>
      <c r="U213" s="395"/>
      <c r="V213" s="395"/>
      <c r="W213" s="395"/>
      <c r="X213" s="395"/>
      <c r="Y213" s="22"/>
      <c r="AG213" s="27" t="str">
        <f t="shared" si="27"/>
        <v>Janie &amp; JackOutletUSA52</v>
      </c>
      <c r="AH213" s="1" t="s">
        <v>30</v>
      </c>
      <c r="AI213" s="1" t="s">
        <v>16</v>
      </c>
      <c r="AJ213" s="1" t="s">
        <v>274</v>
      </c>
      <c r="AK213" s="1">
        <v>52</v>
      </c>
      <c r="AL213" s="19">
        <v>0.7</v>
      </c>
      <c r="AN213" s="109" t="str">
        <f t="shared" si="28"/>
        <v>Crazy 8USARetailGY C8 18 SWIM 4</v>
      </c>
      <c r="AO213" s="1" t="s">
        <v>56</v>
      </c>
      <c r="AP213" s="1" t="s">
        <v>5</v>
      </c>
      <c r="AQ213" s="1" t="s">
        <v>274</v>
      </c>
      <c r="AR213" s="1">
        <v>2018</v>
      </c>
      <c r="AS213" s="1" t="s">
        <v>17</v>
      </c>
      <c r="AT213" s="1" t="s">
        <v>100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101</v>
      </c>
    </row>
    <row r="214" spans="17:53" x14ac:dyDescent="0.25">
      <c r="Q214" s="109" t="str">
        <f t="shared" si="25"/>
        <v/>
      </c>
      <c r="R214" s="27" t="str">
        <f t="shared" si="26"/>
        <v/>
      </c>
      <c r="S214" s="395"/>
      <c r="T214" s="395"/>
      <c r="U214" s="395"/>
      <c r="V214" s="395"/>
      <c r="W214" s="395"/>
      <c r="X214" s="395"/>
      <c r="Y214" s="22"/>
      <c r="AG214" s="27" t="str">
        <f t="shared" si="27"/>
        <v>Janie &amp; JackOutletUSA53</v>
      </c>
      <c r="AH214" s="1" t="s">
        <v>30</v>
      </c>
      <c r="AI214" s="1" t="s">
        <v>16</v>
      </c>
      <c r="AJ214" s="1" t="s">
        <v>274</v>
      </c>
      <c r="AK214" s="1">
        <v>53</v>
      </c>
      <c r="AL214" s="19">
        <v>0.7</v>
      </c>
      <c r="AN214" s="109" t="str">
        <f t="shared" si="28"/>
        <v>Crazy 8USARetailGY C8 18 JULY 4TH CAP</v>
      </c>
      <c r="AO214" s="1" t="s">
        <v>56</v>
      </c>
      <c r="AP214" s="1" t="s">
        <v>5</v>
      </c>
      <c r="AQ214" s="1" t="s">
        <v>274</v>
      </c>
      <c r="AR214" s="1">
        <v>2018</v>
      </c>
      <c r="AS214" s="1" t="s">
        <v>17</v>
      </c>
      <c r="AT214" s="1" t="s">
        <v>102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103</v>
      </c>
    </row>
    <row r="215" spans="17:53" x14ac:dyDescent="0.25">
      <c r="Q215" s="109" t="str">
        <f t="shared" si="25"/>
        <v/>
      </c>
      <c r="R215" s="27" t="str">
        <f t="shared" si="26"/>
        <v/>
      </c>
      <c r="S215" s="395"/>
      <c r="T215" s="395"/>
      <c r="U215" s="395"/>
      <c r="V215" s="395"/>
      <c r="W215" s="395"/>
      <c r="X215" s="395"/>
      <c r="Y215" s="22"/>
      <c r="AG215" s="27" t="str">
        <f t="shared" si="27"/>
        <v>GymboreeRetailUSA1</v>
      </c>
      <c r="AH215" s="1" t="s">
        <v>13</v>
      </c>
      <c r="AI215" s="1" t="s">
        <v>5</v>
      </c>
      <c r="AJ215" s="1" t="s">
        <v>274</v>
      </c>
      <c r="AK215" s="1">
        <v>1</v>
      </c>
      <c r="AL215" s="19">
        <v>0.3</v>
      </c>
      <c r="AN215" s="109" t="str">
        <f t="shared" si="28"/>
        <v>Crazy 8USARetailGY C8 18 HIGH SUMMER</v>
      </c>
      <c r="AO215" s="1" t="s">
        <v>56</v>
      </c>
      <c r="AP215" s="1" t="s">
        <v>5</v>
      </c>
      <c r="AQ215" s="1" t="s">
        <v>274</v>
      </c>
      <c r="AR215" s="1">
        <v>2018</v>
      </c>
      <c r="AS215" s="1" t="s">
        <v>17</v>
      </c>
      <c r="AT215" s="1" t="s">
        <v>106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107</v>
      </c>
    </row>
    <row r="216" spans="17:53" x14ac:dyDescent="0.25">
      <c r="Q216" s="109" t="str">
        <f t="shared" si="25"/>
        <v/>
      </c>
      <c r="R216" s="27" t="str">
        <f t="shared" si="26"/>
        <v/>
      </c>
      <c r="S216" s="395"/>
      <c r="T216" s="395"/>
      <c r="U216" s="395"/>
      <c r="V216" s="395"/>
      <c r="W216" s="395"/>
      <c r="X216" s="396"/>
      <c r="Y216" s="22"/>
      <c r="AG216" s="27" t="str">
        <f t="shared" si="27"/>
        <v>GymboreeRetailUSA2</v>
      </c>
      <c r="AH216" s="1" t="s">
        <v>13</v>
      </c>
      <c r="AI216" s="1" t="s">
        <v>5</v>
      </c>
      <c r="AJ216" s="1" t="s">
        <v>274</v>
      </c>
      <c r="AK216" s="1">
        <v>2</v>
      </c>
      <c r="AL216" s="19">
        <v>0.3</v>
      </c>
      <c r="AN216" s="109" t="str">
        <f t="shared" si="28"/>
        <v>Crazy 8USARetailGY C8 18 SUMMER TRANS</v>
      </c>
      <c r="AO216" s="1" t="s">
        <v>56</v>
      </c>
      <c r="AP216" s="1" t="s">
        <v>5</v>
      </c>
      <c r="AQ216" s="1" t="s">
        <v>274</v>
      </c>
      <c r="AR216" s="1">
        <v>2018</v>
      </c>
      <c r="AS216" s="1" t="s">
        <v>17</v>
      </c>
      <c r="AT216" s="1" t="s">
        <v>108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109</v>
      </c>
    </row>
    <row r="217" spans="17:53" x14ac:dyDescent="0.25">
      <c r="Q217" s="109" t="str">
        <f t="shared" si="25"/>
        <v/>
      </c>
      <c r="R217" s="27" t="str">
        <f t="shared" si="26"/>
        <v/>
      </c>
      <c r="S217" s="395"/>
      <c r="T217" s="395"/>
      <c r="U217" s="395"/>
      <c r="V217" s="395"/>
      <c r="W217" s="395"/>
      <c r="X217" s="396"/>
      <c r="Y217" s="22"/>
      <c r="AG217" s="27" t="str">
        <f t="shared" si="27"/>
        <v>GymboreeRetailUSA3</v>
      </c>
      <c r="AH217" s="1" t="s">
        <v>13</v>
      </c>
      <c r="AI217" s="1" t="s">
        <v>5</v>
      </c>
      <c r="AJ217" s="1" t="s">
        <v>274</v>
      </c>
      <c r="AK217" s="1">
        <v>3</v>
      </c>
      <c r="AL217" s="19">
        <v>0.3</v>
      </c>
      <c r="AN217" s="109" t="str">
        <f t="shared" si="28"/>
        <v>Crazy 8USARetailGY C8 18 TRANS CAP</v>
      </c>
      <c r="AO217" s="1" t="s">
        <v>56</v>
      </c>
      <c r="AP217" s="1" t="s">
        <v>5</v>
      </c>
      <c r="AQ217" s="1" t="s">
        <v>274</v>
      </c>
      <c r="AR217" s="1">
        <v>2018</v>
      </c>
      <c r="AS217" s="1" t="s">
        <v>17</v>
      </c>
      <c r="AT217" s="1" t="s">
        <v>110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111</v>
      </c>
    </row>
    <row r="218" spans="17:53" x14ac:dyDescent="0.25">
      <c r="Q218" s="109" t="str">
        <f t="shared" si="25"/>
        <v/>
      </c>
      <c r="R218" s="27" t="str">
        <f t="shared" si="26"/>
        <v/>
      </c>
      <c r="S218" s="395"/>
      <c r="T218" s="395"/>
      <c r="U218" s="395"/>
      <c r="V218" s="395"/>
      <c r="W218" s="395"/>
      <c r="X218" s="396"/>
      <c r="Y218" s="22"/>
      <c r="AG218" s="27" t="str">
        <f t="shared" si="27"/>
        <v>GymboreeRetailUSA4</v>
      </c>
      <c r="AH218" s="1" t="s">
        <v>13</v>
      </c>
      <c r="AI218" s="1" t="s">
        <v>5</v>
      </c>
      <c r="AJ218" s="1" t="s">
        <v>274</v>
      </c>
      <c r="AK218" s="1">
        <v>4</v>
      </c>
      <c r="AL218" s="19">
        <v>0.3</v>
      </c>
      <c r="AN218" s="109" t="str">
        <f t="shared" si="28"/>
        <v>Crazy 8USAWebGY C8 18 UNIFORM CAP</v>
      </c>
      <c r="AO218" s="1" t="s">
        <v>56</v>
      </c>
      <c r="AP218" s="1" t="s">
        <v>14</v>
      </c>
      <c r="AQ218" s="1" t="s">
        <v>274</v>
      </c>
      <c r="AR218" s="1">
        <v>2018</v>
      </c>
      <c r="AS218" s="1" t="s">
        <v>33</v>
      </c>
      <c r="AT218" s="1" t="s">
        <v>60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311</v>
      </c>
    </row>
    <row r="219" spans="17:53" x14ac:dyDescent="0.25">
      <c r="Q219" s="109" t="str">
        <f t="shared" si="25"/>
        <v/>
      </c>
      <c r="R219" s="27" t="str">
        <f t="shared" si="26"/>
        <v/>
      </c>
      <c r="S219" s="395"/>
      <c r="T219" s="395"/>
      <c r="U219" s="395"/>
      <c r="V219" s="395"/>
      <c r="W219" s="395"/>
      <c r="X219" s="396"/>
      <c r="Y219" s="22"/>
      <c r="AG219" s="27" t="str">
        <f t="shared" si="27"/>
        <v>GymboreeRetailUSA5</v>
      </c>
      <c r="AH219" s="1" t="s">
        <v>13</v>
      </c>
      <c r="AI219" s="1" t="s">
        <v>5</v>
      </c>
      <c r="AJ219" s="1" t="s">
        <v>274</v>
      </c>
      <c r="AK219" s="1">
        <v>5</v>
      </c>
      <c r="AL219" s="19">
        <v>0.35</v>
      </c>
      <c r="AN219" s="109" t="str">
        <f t="shared" si="28"/>
        <v>Crazy 8USAWebGY C8 18 FAL</v>
      </c>
      <c r="AO219" s="1" t="s">
        <v>56</v>
      </c>
      <c r="AP219" s="1" t="s">
        <v>14</v>
      </c>
      <c r="AQ219" s="1" t="s">
        <v>274</v>
      </c>
      <c r="AR219" s="1">
        <v>2018</v>
      </c>
      <c r="AS219" s="1" t="s">
        <v>31</v>
      </c>
      <c r="AT219" s="1" t="s">
        <v>62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63</v>
      </c>
    </row>
    <row r="220" spans="17:53" x14ac:dyDescent="0.25">
      <c r="Q220" s="109" t="str">
        <f t="shared" si="25"/>
        <v/>
      </c>
      <c r="R220" s="27" t="str">
        <f t="shared" si="26"/>
        <v/>
      </c>
      <c r="S220" s="395"/>
      <c r="T220" s="395"/>
      <c r="U220" s="395"/>
      <c r="V220" s="395"/>
      <c r="W220" s="395"/>
      <c r="X220" s="396"/>
      <c r="Y220" s="22"/>
      <c r="AG220" s="27" t="str">
        <f t="shared" si="27"/>
        <v>GymboreeRetailUSA6</v>
      </c>
      <c r="AH220" s="1" t="s">
        <v>13</v>
      </c>
      <c r="AI220" s="1" t="s">
        <v>5</v>
      </c>
      <c r="AJ220" s="1" t="s">
        <v>274</v>
      </c>
      <c r="AK220" s="1">
        <v>6</v>
      </c>
      <c r="AL220" s="19">
        <v>0.35</v>
      </c>
      <c r="AN220" s="109" t="str">
        <f t="shared" si="28"/>
        <v>Crazy 8USAWebGY C8 18 SB1</v>
      </c>
      <c r="AO220" s="1" t="s">
        <v>56</v>
      </c>
      <c r="AP220" s="1" t="s">
        <v>14</v>
      </c>
      <c r="AQ220" s="1" t="s">
        <v>274</v>
      </c>
      <c r="AR220" s="1">
        <v>2018</v>
      </c>
      <c r="AS220" s="1" t="s">
        <v>65</v>
      </c>
      <c r="AT220" s="1" t="s">
        <v>57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58</v>
      </c>
    </row>
    <row r="221" spans="17:53" x14ac:dyDescent="0.25">
      <c r="Q221" s="109" t="str">
        <f t="shared" si="25"/>
        <v/>
      </c>
      <c r="R221" s="27" t="str">
        <f t="shared" si="26"/>
        <v/>
      </c>
      <c r="S221" s="395"/>
      <c r="T221" s="395"/>
      <c r="U221" s="395"/>
      <c r="V221" s="395"/>
      <c r="W221" s="395"/>
      <c r="X221" s="396"/>
      <c r="Y221" s="22"/>
      <c r="AG221" s="27" t="str">
        <f t="shared" si="27"/>
        <v>GymboreeRetailUSA7</v>
      </c>
      <c r="AH221" s="1" t="s">
        <v>13</v>
      </c>
      <c r="AI221" s="1" t="s">
        <v>5</v>
      </c>
      <c r="AJ221" s="1" t="s">
        <v>274</v>
      </c>
      <c r="AK221" s="1">
        <v>7</v>
      </c>
      <c r="AL221" s="19">
        <v>0.35</v>
      </c>
      <c r="AN221" s="109" t="str">
        <f t="shared" si="28"/>
        <v>Crazy 8USAWebGY C8 18 VDAY CAP</v>
      </c>
      <c r="AO221" s="1" t="s">
        <v>56</v>
      </c>
      <c r="AP221" s="1" t="s">
        <v>14</v>
      </c>
      <c r="AQ221" s="1" t="s">
        <v>274</v>
      </c>
      <c r="AR221" s="1">
        <v>2018</v>
      </c>
      <c r="AS221" s="1" t="s">
        <v>15</v>
      </c>
      <c r="AT221" s="1" t="s">
        <v>73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74</v>
      </c>
    </row>
    <row r="222" spans="17:53" x14ac:dyDescent="0.25">
      <c r="Q222" s="109" t="str">
        <f t="shared" si="25"/>
        <v/>
      </c>
      <c r="R222" s="27" t="str">
        <f t="shared" si="26"/>
        <v/>
      </c>
      <c r="S222" s="395"/>
      <c r="T222" s="395"/>
      <c r="U222" s="395"/>
      <c r="V222" s="395"/>
      <c r="W222" s="395"/>
      <c r="X222" s="396"/>
      <c r="Y222" s="22"/>
      <c r="AG222" s="27" t="str">
        <f t="shared" si="27"/>
        <v>GymboreeRetailUSA8</v>
      </c>
      <c r="AH222" s="1" t="s">
        <v>13</v>
      </c>
      <c r="AI222" s="1" t="s">
        <v>5</v>
      </c>
      <c r="AJ222" s="1" t="s">
        <v>274</v>
      </c>
      <c r="AK222" s="1">
        <v>8</v>
      </c>
      <c r="AL222" s="19">
        <v>0.4</v>
      </c>
      <c r="AN222" s="109" t="str">
        <f t="shared" si="28"/>
        <v>Crazy 8USAWebGY C8 18 SPRING TRANS</v>
      </c>
      <c r="AO222" s="1" t="s">
        <v>56</v>
      </c>
      <c r="AP222" s="1" t="s">
        <v>14</v>
      </c>
      <c r="AQ222" s="1" t="s">
        <v>274</v>
      </c>
      <c r="AR222" s="1">
        <v>2018</v>
      </c>
      <c r="AS222" s="1" t="s">
        <v>15</v>
      </c>
      <c r="AT222" s="1" t="s">
        <v>75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76</v>
      </c>
    </row>
    <row r="223" spans="17:53" x14ac:dyDescent="0.25">
      <c r="Q223" s="109" t="str">
        <f t="shared" si="25"/>
        <v/>
      </c>
      <c r="R223" s="27" t="str">
        <f t="shared" si="26"/>
        <v/>
      </c>
      <c r="S223" s="395"/>
      <c r="T223" s="395"/>
      <c r="U223" s="395"/>
      <c r="V223" s="395"/>
      <c r="W223" s="395"/>
      <c r="X223" s="396"/>
      <c r="Y223" s="22"/>
      <c r="AG223" s="27" t="str">
        <f t="shared" si="27"/>
        <v>GymboreeRetailUSA9</v>
      </c>
      <c r="AH223" s="1" t="s">
        <v>13</v>
      </c>
      <c r="AI223" s="1" t="s">
        <v>5</v>
      </c>
      <c r="AJ223" s="1" t="s">
        <v>274</v>
      </c>
      <c r="AK223" s="1">
        <v>9</v>
      </c>
      <c r="AL223" s="19">
        <v>0.4</v>
      </c>
      <c r="AN223" s="109" t="str">
        <f t="shared" si="28"/>
        <v>Crazy 8USAWebGY C8 18 SPR</v>
      </c>
      <c r="AO223" s="1" t="s">
        <v>56</v>
      </c>
      <c r="AP223" s="1" t="s">
        <v>14</v>
      </c>
      <c r="AQ223" s="1" t="s">
        <v>274</v>
      </c>
      <c r="AR223" s="1">
        <v>2018</v>
      </c>
      <c r="AS223" s="1" t="s">
        <v>15</v>
      </c>
      <c r="AT223" s="1" t="s">
        <v>71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72</v>
      </c>
    </row>
    <row r="224" spans="17:53" x14ac:dyDescent="0.25">
      <c r="Q224" s="109" t="str">
        <f t="shared" si="25"/>
        <v/>
      </c>
      <c r="R224" s="27" t="str">
        <f t="shared" si="26"/>
        <v/>
      </c>
      <c r="S224" s="395"/>
      <c r="T224" s="395"/>
      <c r="U224" s="395"/>
      <c r="V224" s="395"/>
      <c r="W224" s="395"/>
      <c r="X224" s="396"/>
      <c r="Y224" s="22"/>
      <c r="AG224" s="27" t="str">
        <f t="shared" si="27"/>
        <v>GymboreeRetailUSA10</v>
      </c>
      <c r="AH224" s="1" t="s">
        <v>13</v>
      </c>
      <c r="AI224" s="1" t="s">
        <v>5</v>
      </c>
      <c r="AJ224" s="1" t="s">
        <v>274</v>
      </c>
      <c r="AK224" s="1">
        <v>10</v>
      </c>
      <c r="AL224" s="19">
        <v>0.4</v>
      </c>
      <c r="AN224" s="109" t="str">
        <f t="shared" si="28"/>
        <v>Crazy 8USAWebGY C8 18 SPRING</v>
      </c>
      <c r="AO224" s="1" t="s">
        <v>56</v>
      </c>
      <c r="AP224" s="1" t="s">
        <v>14</v>
      </c>
      <c r="AQ224" s="1" t="s">
        <v>274</v>
      </c>
      <c r="AR224" s="1">
        <v>2018</v>
      </c>
      <c r="AS224" s="1" t="s">
        <v>15</v>
      </c>
      <c r="AT224" s="1" t="s">
        <v>79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80</v>
      </c>
    </row>
    <row r="225" spans="17:53" x14ac:dyDescent="0.25">
      <c r="Q225" s="109" t="str">
        <f t="shared" si="25"/>
        <v/>
      </c>
      <c r="R225" s="27" t="str">
        <f t="shared" si="26"/>
        <v/>
      </c>
      <c r="S225" s="395"/>
      <c r="T225" s="395"/>
      <c r="U225" s="395"/>
      <c r="V225" s="395"/>
      <c r="W225" s="395"/>
      <c r="X225" s="396"/>
      <c r="Y225" s="22"/>
      <c r="AG225" s="27" t="str">
        <f t="shared" si="27"/>
        <v>GymboreeRetailUSA11</v>
      </c>
      <c r="AH225" s="1" t="s">
        <v>13</v>
      </c>
      <c r="AI225" s="1" t="s">
        <v>5</v>
      </c>
      <c r="AJ225" s="1" t="s">
        <v>274</v>
      </c>
      <c r="AK225" s="1">
        <v>11</v>
      </c>
      <c r="AL225" s="19">
        <v>0.45</v>
      </c>
      <c r="AN225" s="109" t="str">
        <f t="shared" si="28"/>
        <v>Crazy 8USAWebGY C8 18 SPR DOORBUSTER</v>
      </c>
      <c r="AO225" s="1" t="s">
        <v>56</v>
      </c>
      <c r="AP225" s="1" t="s">
        <v>14</v>
      </c>
      <c r="AQ225" s="1" t="s">
        <v>274</v>
      </c>
      <c r="AR225" s="1">
        <v>2018</v>
      </c>
      <c r="AS225" s="1" t="s">
        <v>15</v>
      </c>
      <c r="AT225" s="1" t="s">
        <v>77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78</v>
      </c>
    </row>
    <row r="226" spans="17:53" x14ac:dyDescent="0.25">
      <c r="Q226" s="109" t="str">
        <f t="shared" si="25"/>
        <v/>
      </c>
      <c r="R226" s="27" t="str">
        <f t="shared" si="26"/>
        <v/>
      </c>
      <c r="S226" s="395"/>
      <c r="T226" s="395"/>
      <c r="U226" s="395"/>
      <c r="V226" s="395"/>
      <c r="W226" s="395"/>
      <c r="X226" s="396"/>
      <c r="Y226" s="22"/>
      <c r="AG226" s="27" t="str">
        <f t="shared" si="27"/>
        <v>GymboreeRetailUSA12</v>
      </c>
      <c r="AH226" s="1" t="s">
        <v>13</v>
      </c>
      <c r="AI226" s="1" t="s">
        <v>5</v>
      </c>
      <c r="AJ226" s="1" t="s">
        <v>274</v>
      </c>
      <c r="AK226" s="1">
        <v>12</v>
      </c>
      <c r="AL226" s="19">
        <v>0.45</v>
      </c>
      <c r="AN226" s="109" t="str">
        <f t="shared" si="28"/>
        <v>Crazy 8USAWebGY C8 18 SWIM 1</v>
      </c>
      <c r="AO226" s="1" t="s">
        <v>56</v>
      </c>
      <c r="AP226" s="1" t="s">
        <v>14</v>
      </c>
      <c r="AQ226" s="1" t="s">
        <v>274</v>
      </c>
      <c r="AR226" s="1">
        <v>2018</v>
      </c>
      <c r="AS226" s="1" t="s">
        <v>15</v>
      </c>
      <c r="AT226" s="1" t="s">
        <v>81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82</v>
      </c>
    </row>
    <row r="227" spans="17:53" x14ac:dyDescent="0.25">
      <c r="Q227" s="109" t="str">
        <f t="shared" si="25"/>
        <v/>
      </c>
      <c r="R227" s="27" t="str">
        <f t="shared" si="26"/>
        <v/>
      </c>
      <c r="S227" s="395"/>
      <c r="T227" s="395"/>
      <c r="U227" s="395"/>
      <c r="V227" s="395"/>
      <c r="W227" s="395"/>
      <c r="X227" s="396"/>
      <c r="Y227" s="22"/>
      <c r="AG227" s="27" t="str">
        <f t="shared" si="27"/>
        <v>GymboreeRetailUSA13</v>
      </c>
      <c r="AH227" s="1" t="s">
        <v>13</v>
      </c>
      <c r="AI227" s="1" t="s">
        <v>5</v>
      </c>
      <c r="AJ227" s="1" t="s">
        <v>274</v>
      </c>
      <c r="AK227" s="1">
        <v>13</v>
      </c>
      <c r="AL227" s="19">
        <v>0.45</v>
      </c>
      <c r="AN227" s="109" t="str">
        <f t="shared" si="28"/>
        <v>Crazy 8USAWebGY C8 18 EASTER CAP</v>
      </c>
      <c r="AO227" s="1" t="s">
        <v>56</v>
      </c>
      <c r="AP227" s="1" t="s">
        <v>14</v>
      </c>
      <c r="AQ227" s="1" t="s">
        <v>274</v>
      </c>
      <c r="AR227" s="1">
        <v>2018</v>
      </c>
      <c r="AS227" s="1" t="s">
        <v>15</v>
      </c>
      <c r="AT227" s="1" t="s">
        <v>83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84</v>
      </c>
    </row>
    <row r="228" spans="17:53" x14ac:dyDescent="0.25">
      <c r="Q228" s="109" t="str">
        <f t="shared" si="25"/>
        <v/>
      </c>
      <c r="R228" s="27" t="str">
        <f t="shared" si="26"/>
        <v/>
      </c>
      <c r="S228" s="340"/>
      <c r="T228" s="340"/>
      <c r="U228" s="340"/>
      <c r="V228" s="340"/>
      <c r="W228" s="340"/>
      <c r="X228" s="341"/>
      <c r="Y228" s="22"/>
      <c r="AG228" s="27" t="str">
        <f t="shared" si="27"/>
        <v>GymboreeRetailUSA14</v>
      </c>
      <c r="AH228" s="1" t="s">
        <v>13</v>
      </c>
      <c r="AI228" s="1" t="s">
        <v>5</v>
      </c>
      <c r="AJ228" s="1" t="s">
        <v>274</v>
      </c>
      <c r="AK228" s="1">
        <v>14</v>
      </c>
      <c r="AL228" s="19">
        <v>0.5</v>
      </c>
      <c r="AN228" s="109" t="str">
        <f t="shared" si="28"/>
        <v>Crazy 8USAWebGY C8 18 SPRING BREAK</v>
      </c>
      <c r="AO228" s="1" t="s">
        <v>56</v>
      </c>
      <c r="AP228" s="1" t="s">
        <v>14</v>
      </c>
      <c r="AQ228" s="1" t="s">
        <v>274</v>
      </c>
      <c r="AR228" s="1">
        <v>2018</v>
      </c>
      <c r="AS228" s="1" t="s">
        <v>15</v>
      </c>
      <c r="AT228" s="1" t="s">
        <v>85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86</v>
      </c>
    </row>
    <row r="229" spans="17:53" x14ac:dyDescent="0.25">
      <c r="Q229" s="109" t="str">
        <f t="shared" si="25"/>
        <v/>
      </c>
      <c r="R229" s="27" t="str">
        <f t="shared" si="26"/>
        <v/>
      </c>
      <c r="S229" s="340"/>
      <c r="T229" s="340"/>
      <c r="U229" s="340"/>
      <c r="V229" s="340"/>
      <c r="W229" s="340"/>
      <c r="X229" s="341"/>
      <c r="Y229" s="22"/>
      <c r="AG229" s="27" t="str">
        <f t="shared" si="27"/>
        <v>GymboreeRetailUSA15</v>
      </c>
      <c r="AH229" s="1" t="s">
        <v>13</v>
      </c>
      <c r="AI229" s="1" t="s">
        <v>5</v>
      </c>
      <c r="AJ229" s="1" t="s">
        <v>274</v>
      </c>
      <c r="AK229" s="1">
        <v>15</v>
      </c>
      <c r="AL229" s="19">
        <v>0.5</v>
      </c>
      <c r="AN229" s="109" t="str">
        <f t="shared" si="28"/>
        <v>Crazy 8USAWebGY C8 18 SWIM 2</v>
      </c>
      <c r="AO229" s="1" t="s">
        <v>56</v>
      </c>
      <c r="AP229" s="1" t="s">
        <v>14</v>
      </c>
      <c r="AQ229" s="1" t="s">
        <v>274</v>
      </c>
      <c r="AR229" s="1">
        <v>2018</v>
      </c>
      <c r="AS229" s="1" t="s">
        <v>15</v>
      </c>
      <c r="AT229" s="1" t="s">
        <v>87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88</v>
      </c>
    </row>
    <row r="230" spans="17:53" x14ac:dyDescent="0.25">
      <c r="Q230" s="109" t="str">
        <f t="shared" si="25"/>
        <v/>
      </c>
      <c r="R230" s="27" t="str">
        <f t="shared" si="26"/>
        <v/>
      </c>
      <c r="S230" s="1"/>
      <c r="T230" s="1"/>
      <c r="U230" s="1"/>
      <c r="V230" s="1"/>
      <c r="W230" s="19"/>
      <c r="X230" s="22"/>
      <c r="Y230" s="22"/>
      <c r="AG230" s="27" t="str">
        <f t="shared" si="27"/>
        <v>GymboreeRetailUSA16</v>
      </c>
      <c r="AH230" s="1" t="s">
        <v>13</v>
      </c>
      <c r="AI230" s="1" t="s">
        <v>5</v>
      </c>
      <c r="AJ230" s="1" t="s">
        <v>274</v>
      </c>
      <c r="AK230" s="1">
        <v>16</v>
      </c>
      <c r="AL230" s="19">
        <v>0.5</v>
      </c>
      <c r="AN230" s="109" t="str">
        <f t="shared" si="28"/>
        <v>Crazy 8USAWebGY C8 18 EASTER REFRESH</v>
      </c>
      <c r="AO230" s="1" t="s">
        <v>56</v>
      </c>
      <c r="AP230" s="1" t="s">
        <v>14</v>
      </c>
      <c r="AQ230" s="1" t="s">
        <v>274</v>
      </c>
      <c r="AR230" s="1">
        <v>2018</v>
      </c>
      <c r="AS230" s="1" t="s">
        <v>15</v>
      </c>
      <c r="AT230" s="1" t="s">
        <v>89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5"/>
        <v/>
      </c>
      <c r="R231" s="27" t="str">
        <f t="shared" si="26"/>
        <v/>
      </c>
      <c r="S231" s="1"/>
      <c r="T231" s="1"/>
      <c r="U231" s="1"/>
      <c r="V231" s="1"/>
      <c r="W231" s="19"/>
      <c r="X231" s="22"/>
      <c r="Y231" s="22"/>
      <c r="AG231" s="27" t="str">
        <f t="shared" si="27"/>
        <v>GymboreeRetailUSA17</v>
      </c>
      <c r="AH231" s="1" t="s">
        <v>13</v>
      </c>
      <c r="AI231" s="1" t="s">
        <v>5</v>
      </c>
      <c r="AJ231" s="1" t="s">
        <v>274</v>
      </c>
      <c r="AK231" s="1">
        <v>17</v>
      </c>
      <c r="AL231" s="19">
        <v>0.55000000000000004</v>
      </c>
      <c r="AN231" s="109" t="str">
        <f t="shared" si="28"/>
        <v>Crazy 8USAWebGY C8 18 SWIM 3</v>
      </c>
      <c r="AO231" s="1" t="s">
        <v>56</v>
      </c>
      <c r="AP231" s="1" t="s">
        <v>14</v>
      </c>
      <c r="AQ231" s="1" t="s">
        <v>274</v>
      </c>
      <c r="AR231" s="1">
        <v>2018</v>
      </c>
      <c r="AS231" s="1" t="s">
        <v>15</v>
      </c>
      <c r="AT231" s="1" t="s">
        <v>92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93</v>
      </c>
    </row>
    <row r="232" spans="17:53" x14ac:dyDescent="0.25">
      <c r="Q232" s="109" t="str">
        <f t="shared" si="25"/>
        <v/>
      </c>
      <c r="R232" s="27" t="str">
        <f t="shared" si="26"/>
        <v/>
      </c>
      <c r="S232" s="1"/>
      <c r="T232" s="1"/>
      <c r="U232" s="1"/>
      <c r="V232" s="1"/>
      <c r="W232" s="19"/>
      <c r="X232" s="22"/>
      <c r="Y232" s="22"/>
      <c r="AG232" s="27" t="str">
        <f t="shared" si="27"/>
        <v>GymboreeRetailUSA18</v>
      </c>
      <c r="AH232" s="1" t="s">
        <v>13</v>
      </c>
      <c r="AI232" s="1" t="s">
        <v>5</v>
      </c>
      <c r="AJ232" s="1" t="s">
        <v>274</v>
      </c>
      <c r="AK232" s="1">
        <v>18</v>
      </c>
      <c r="AL232" s="19">
        <v>0.55000000000000004</v>
      </c>
      <c r="AN232" s="109" t="str">
        <f t="shared" si="28"/>
        <v>Crazy 8USAWebGY C8 18 PRE SUMMER</v>
      </c>
      <c r="AO232" s="1" t="s">
        <v>56</v>
      </c>
      <c r="AP232" s="1" t="s">
        <v>14</v>
      </c>
      <c r="AQ232" s="1" t="s">
        <v>274</v>
      </c>
      <c r="AR232" s="1">
        <v>2018</v>
      </c>
      <c r="AS232" s="1" t="s">
        <v>15</v>
      </c>
      <c r="AT232" s="1" t="s">
        <v>90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91</v>
      </c>
    </row>
    <row r="233" spans="17:53" x14ac:dyDescent="0.25">
      <c r="Q233" s="109" t="str">
        <f t="shared" si="25"/>
        <v/>
      </c>
      <c r="R233" s="27" t="str">
        <f t="shared" si="26"/>
        <v/>
      </c>
      <c r="S233" s="1"/>
      <c r="T233" s="1"/>
      <c r="U233" s="1"/>
      <c r="V233" s="1"/>
      <c r="W233" s="19"/>
      <c r="X233" s="22"/>
      <c r="Y233" s="22"/>
      <c r="AG233" s="27" t="str">
        <f t="shared" si="27"/>
        <v>GymboreeRetailUSA19</v>
      </c>
      <c r="AH233" s="1" t="s">
        <v>13</v>
      </c>
      <c r="AI233" s="1" t="s">
        <v>5</v>
      </c>
      <c r="AJ233" s="1" t="s">
        <v>274</v>
      </c>
      <c r="AK233" s="1">
        <v>19</v>
      </c>
      <c r="AL233" s="19">
        <v>0.55000000000000004</v>
      </c>
      <c r="AN233" s="109" t="str">
        <f t="shared" si="28"/>
        <v>Crazy 8USAWebGY C8 18 MARKET SPRING</v>
      </c>
      <c r="AO233" s="1" t="s">
        <v>56</v>
      </c>
      <c r="AP233" s="1" t="s">
        <v>14</v>
      </c>
      <c r="AQ233" s="1" t="s">
        <v>274</v>
      </c>
      <c r="AR233" s="1">
        <v>2018</v>
      </c>
      <c r="AS233" s="1" t="s">
        <v>15</v>
      </c>
      <c r="AT233" s="1" t="s">
        <v>333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5"/>
        <v/>
      </c>
      <c r="R234" s="27" t="str">
        <f t="shared" si="26"/>
        <v/>
      </c>
      <c r="S234" s="1"/>
      <c r="T234" s="1"/>
      <c r="U234" s="1"/>
      <c r="V234" s="1"/>
      <c r="W234" s="19"/>
      <c r="X234" s="22"/>
      <c r="Y234" s="22"/>
      <c r="AG234" s="27" t="str">
        <f t="shared" si="27"/>
        <v>GymboreeRetailUSA20</v>
      </c>
      <c r="AH234" s="1" t="s">
        <v>13</v>
      </c>
      <c r="AI234" s="1" t="s">
        <v>5</v>
      </c>
      <c r="AJ234" s="1" t="s">
        <v>274</v>
      </c>
      <c r="AK234" s="1">
        <v>20</v>
      </c>
      <c r="AL234" s="19">
        <v>0.6</v>
      </c>
      <c r="AN234" s="109" t="str">
        <f t="shared" si="28"/>
        <v>Crazy 8USAWebGY C8 18 SMR</v>
      </c>
      <c r="AO234" s="1" t="s">
        <v>56</v>
      </c>
      <c r="AP234" s="1" t="s">
        <v>14</v>
      </c>
      <c r="AQ234" s="1" t="s">
        <v>274</v>
      </c>
      <c r="AR234" s="1">
        <v>2018</v>
      </c>
      <c r="AS234" s="1" t="s">
        <v>17</v>
      </c>
      <c r="AT234" s="1" t="s">
        <v>96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97</v>
      </c>
    </row>
    <row r="235" spans="17:53" x14ac:dyDescent="0.25">
      <c r="Q235" s="109" t="str">
        <f t="shared" si="25"/>
        <v/>
      </c>
      <c r="R235" s="27" t="str">
        <f t="shared" si="26"/>
        <v/>
      </c>
      <c r="S235" s="1"/>
      <c r="T235" s="1"/>
      <c r="U235" s="1"/>
      <c r="V235" s="1"/>
      <c r="W235" s="19"/>
      <c r="X235" s="22"/>
      <c r="Y235" s="22"/>
      <c r="AG235" s="27" t="str">
        <f t="shared" si="27"/>
        <v>GymboreeRetailUSA21</v>
      </c>
      <c r="AH235" s="1" t="s">
        <v>13</v>
      </c>
      <c r="AI235" s="1" t="s">
        <v>5</v>
      </c>
      <c r="AJ235" s="1" t="s">
        <v>274</v>
      </c>
      <c r="AK235" s="1">
        <v>21</v>
      </c>
      <c r="AL235" s="19">
        <v>0.6</v>
      </c>
      <c r="AN235" s="109" t="str">
        <f t="shared" si="28"/>
        <v>Crazy 8USAWebGY C8 18 SUMMER CAP</v>
      </c>
      <c r="AO235" s="1" t="s">
        <v>56</v>
      </c>
      <c r="AP235" s="1" t="s">
        <v>14</v>
      </c>
      <c r="AQ235" s="1" t="s">
        <v>274</v>
      </c>
      <c r="AR235" s="1">
        <v>2018</v>
      </c>
      <c r="AS235" s="1" t="s">
        <v>17</v>
      </c>
      <c r="AT235" s="1" t="s">
        <v>94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95</v>
      </c>
    </row>
    <row r="236" spans="17:53" x14ac:dyDescent="0.25">
      <c r="Q236" s="109" t="str">
        <f t="shared" si="25"/>
        <v/>
      </c>
      <c r="R236" s="27" t="str">
        <f t="shared" si="26"/>
        <v/>
      </c>
      <c r="S236" s="1"/>
      <c r="T236" s="1"/>
      <c r="U236" s="1"/>
      <c r="V236" s="1"/>
      <c r="W236" s="19"/>
      <c r="X236" s="22"/>
      <c r="Y236" s="22"/>
      <c r="AG236" s="27" t="str">
        <f t="shared" si="27"/>
        <v>GymboreeRetailUSA22</v>
      </c>
      <c r="AH236" s="1" t="s">
        <v>13</v>
      </c>
      <c r="AI236" s="1" t="s">
        <v>5</v>
      </c>
      <c r="AJ236" s="1" t="s">
        <v>274</v>
      </c>
      <c r="AK236" s="1">
        <v>22</v>
      </c>
      <c r="AL236" s="19">
        <v>0.6</v>
      </c>
      <c r="AN236" s="109" t="str">
        <f t="shared" si="28"/>
        <v>Crazy 8USAWebGY C8 18 SUMMER</v>
      </c>
      <c r="AO236" s="1" t="s">
        <v>56</v>
      </c>
      <c r="AP236" s="1" t="s">
        <v>14</v>
      </c>
      <c r="AQ236" s="1" t="s">
        <v>274</v>
      </c>
      <c r="AR236" s="1">
        <v>2018</v>
      </c>
      <c r="AS236" s="1" t="s">
        <v>17</v>
      </c>
      <c r="AT236" s="1" t="s">
        <v>98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99</v>
      </c>
    </row>
    <row r="237" spans="17:53" x14ac:dyDescent="0.25">
      <c r="Q237" s="109" t="str">
        <f t="shared" si="25"/>
        <v/>
      </c>
      <c r="R237" s="27" t="str">
        <f t="shared" si="26"/>
        <v/>
      </c>
      <c r="S237" s="1"/>
      <c r="T237" s="1"/>
      <c r="U237" s="1"/>
      <c r="V237" s="1"/>
      <c r="W237" s="19"/>
      <c r="X237" s="22"/>
      <c r="Y237" s="22"/>
      <c r="AG237" s="27" t="str">
        <f t="shared" si="27"/>
        <v>GymboreeRetailUSA23</v>
      </c>
      <c r="AH237" s="1" t="s">
        <v>13</v>
      </c>
      <c r="AI237" s="1" t="s">
        <v>5</v>
      </c>
      <c r="AJ237" s="1" t="s">
        <v>274</v>
      </c>
      <c r="AK237" s="1">
        <v>23</v>
      </c>
      <c r="AL237" s="19">
        <v>0.65</v>
      </c>
      <c r="AN237" s="109" t="str">
        <f t="shared" si="28"/>
        <v>Crazy 8USAWebGY C8 18 SMR DOORBUSTER</v>
      </c>
      <c r="AO237" s="1" t="s">
        <v>56</v>
      </c>
      <c r="AP237" s="1" t="s">
        <v>14</v>
      </c>
      <c r="AQ237" s="1" t="s">
        <v>274</v>
      </c>
      <c r="AR237" s="1">
        <v>2018</v>
      </c>
      <c r="AS237" s="1" t="s">
        <v>17</v>
      </c>
      <c r="AT237" s="1" t="s">
        <v>104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105</v>
      </c>
    </row>
    <row r="238" spans="17:53" x14ac:dyDescent="0.25">
      <c r="Q238" s="109" t="str">
        <f t="shared" si="25"/>
        <v/>
      </c>
      <c r="R238" s="27" t="str">
        <f t="shared" si="26"/>
        <v/>
      </c>
      <c r="S238" s="1"/>
      <c r="T238" s="1"/>
      <c r="U238" s="1"/>
      <c r="V238" s="1"/>
      <c r="W238" s="19"/>
      <c r="X238" s="22"/>
      <c r="Y238" s="22"/>
      <c r="AG238" s="27" t="str">
        <f t="shared" si="27"/>
        <v>GymboreeRetailUSA24</v>
      </c>
      <c r="AH238" s="1" t="s">
        <v>13</v>
      </c>
      <c r="AI238" s="1" t="s">
        <v>5</v>
      </c>
      <c r="AJ238" s="1" t="s">
        <v>274</v>
      </c>
      <c r="AK238" s="1">
        <v>24</v>
      </c>
      <c r="AL238" s="19">
        <v>0.65</v>
      </c>
      <c r="AN238" s="109" t="str">
        <f t="shared" si="28"/>
        <v>Crazy 8USAWebGY C8 18 SWIM 4</v>
      </c>
      <c r="AO238" s="1" t="s">
        <v>56</v>
      </c>
      <c r="AP238" s="1" t="s">
        <v>14</v>
      </c>
      <c r="AQ238" s="1" t="s">
        <v>274</v>
      </c>
      <c r="AR238" s="1">
        <v>2018</v>
      </c>
      <c r="AS238" s="1" t="s">
        <v>17</v>
      </c>
      <c r="AT238" s="1" t="s">
        <v>100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101</v>
      </c>
    </row>
    <row r="239" spans="17:53" x14ac:dyDescent="0.25">
      <c r="Q239" s="109" t="str">
        <f t="shared" si="25"/>
        <v/>
      </c>
      <c r="R239" s="27" t="str">
        <f t="shared" si="26"/>
        <v/>
      </c>
      <c r="S239" s="1"/>
      <c r="T239" s="1"/>
      <c r="U239" s="1"/>
      <c r="V239" s="1"/>
      <c r="W239" s="19"/>
      <c r="X239" s="22"/>
      <c r="Y239" s="22"/>
      <c r="AG239" s="27" t="str">
        <f t="shared" si="27"/>
        <v>GymboreeRetailUSA25</v>
      </c>
      <c r="AH239" s="1" t="s">
        <v>13</v>
      </c>
      <c r="AI239" s="1" t="s">
        <v>5</v>
      </c>
      <c r="AJ239" s="1" t="s">
        <v>274</v>
      </c>
      <c r="AK239" s="1">
        <v>25</v>
      </c>
      <c r="AL239" s="19">
        <v>0.65</v>
      </c>
      <c r="AN239" s="109" t="str">
        <f t="shared" si="28"/>
        <v>Crazy 8USAWebGY C8 18 JULY 4TH CAP</v>
      </c>
      <c r="AO239" s="1" t="s">
        <v>56</v>
      </c>
      <c r="AP239" s="1" t="s">
        <v>14</v>
      </c>
      <c r="AQ239" s="1" t="s">
        <v>274</v>
      </c>
      <c r="AR239" s="1">
        <v>2018</v>
      </c>
      <c r="AS239" s="1" t="s">
        <v>17</v>
      </c>
      <c r="AT239" s="1" t="s">
        <v>102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103</v>
      </c>
    </row>
    <row r="240" spans="17:53" x14ac:dyDescent="0.25">
      <c r="Q240" s="109" t="str">
        <f t="shared" si="25"/>
        <v/>
      </c>
      <c r="R240" s="27" t="str">
        <f t="shared" si="26"/>
        <v/>
      </c>
      <c r="S240" s="1"/>
      <c r="T240" s="1"/>
      <c r="U240" s="1"/>
      <c r="V240" s="1"/>
      <c r="W240" s="19"/>
      <c r="X240" s="22"/>
      <c r="Y240" s="22"/>
      <c r="AG240" s="27" t="str">
        <f t="shared" si="27"/>
        <v>GymboreeRetailUSA26</v>
      </c>
      <c r="AH240" s="1" t="s">
        <v>13</v>
      </c>
      <c r="AI240" s="1" t="s">
        <v>5</v>
      </c>
      <c r="AJ240" s="1" t="s">
        <v>274</v>
      </c>
      <c r="AK240" s="1">
        <v>26</v>
      </c>
      <c r="AL240" s="19">
        <v>0.7</v>
      </c>
      <c r="AN240" s="109" t="str">
        <f t="shared" si="28"/>
        <v>Crazy 8USAWebGY C8 18 HIGH SUMMER</v>
      </c>
      <c r="AO240" s="1" t="s">
        <v>56</v>
      </c>
      <c r="AP240" s="1" t="s">
        <v>14</v>
      </c>
      <c r="AQ240" s="1" t="s">
        <v>274</v>
      </c>
      <c r="AR240" s="1">
        <v>2018</v>
      </c>
      <c r="AS240" s="1" t="s">
        <v>17</v>
      </c>
      <c r="AT240" s="1" t="s">
        <v>106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107</v>
      </c>
    </row>
    <row r="241" spans="17:53" x14ac:dyDescent="0.25">
      <c r="Q241" s="109" t="str">
        <f t="shared" si="25"/>
        <v/>
      </c>
      <c r="R241" s="27" t="str">
        <f t="shared" si="26"/>
        <v/>
      </c>
      <c r="S241" s="1"/>
      <c r="T241" s="1"/>
      <c r="U241" s="1"/>
      <c r="V241" s="1"/>
      <c r="W241" s="19"/>
      <c r="X241" s="22"/>
      <c r="Y241" s="22"/>
      <c r="AG241" s="27" t="str">
        <f t="shared" si="27"/>
        <v>GymboreeRetailUSA27</v>
      </c>
      <c r="AH241" s="1" t="s">
        <v>13</v>
      </c>
      <c r="AI241" s="1" t="s">
        <v>5</v>
      </c>
      <c r="AJ241" s="1" t="s">
        <v>274</v>
      </c>
      <c r="AK241" s="1">
        <v>27</v>
      </c>
      <c r="AL241" s="19">
        <v>0.7</v>
      </c>
      <c r="AN241" s="109" t="str">
        <f t="shared" si="28"/>
        <v>Crazy 8USAWebGY C8 18 SUMMER TRANS</v>
      </c>
      <c r="AO241" s="1" t="s">
        <v>56</v>
      </c>
      <c r="AP241" s="1" t="s">
        <v>14</v>
      </c>
      <c r="AQ241" s="1" t="s">
        <v>274</v>
      </c>
      <c r="AR241" s="1">
        <v>2018</v>
      </c>
      <c r="AS241" s="1" t="s">
        <v>17</v>
      </c>
      <c r="AT241" s="1" t="s">
        <v>108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109</v>
      </c>
    </row>
    <row r="242" spans="17:53" x14ac:dyDescent="0.25">
      <c r="Q242" s="109" t="str">
        <f t="shared" si="25"/>
        <v/>
      </c>
      <c r="R242" s="27" t="str">
        <f t="shared" si="26"/>
        <v/>
      </c>
      <c r="S242" s="1"/>
      <c r="T242" s="1"/>
      <c r="U242" s="1"/>
      <c r="V242" s="1"/>
      <c r="W242" s="19"/>
      <c r="X242" s="22"/>
      <c r="Y242" s="22"/>
      <c r="AG242" s="27" t="str">
        <f t="shared" si="27"/>
        <v>GymboreeRetailUSA28</v>
      </c>
      <c r="AH242" s="1" t="s">
        <v>13</v>
      </c>
      <c r="AI242" s="1" t="s">
        <v>5</v>
      </c>
      <c r="AJ242" s="1" t="s">
        <v>274</v>
      </c>
      <c r="AK242" s="1">
        <v>28</v>
      </c>
      <c r="AL242" s="19">
        <v>0.7</v>
      </c>
      <c r="AN242" s="110" t="str">
        <f t="shared" si="28"/>
        <v>Crazy 8USAWebGY C8 18 TRANS CAP</v>
      </c>
      <c r="AO242" s="29" t="s">
        <v>56</v>
      </c>
      <c r="AP242" s="29" t="s">
        <v>14</v>
      </c>
      <c r="AQ242" s="29" t="s">
        <v>274</v>
      </c>
      <c r="AR242" s="1">
        <v>2018</v>
      </c>
      <c r="AS242" s="29" t="s">
        <v>17</v>
      </c>
      <c r="AT242" s="29" t="s">
        <v>110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111</v>
      </c>
    </row>
    <row r="243" spans="17:53" x14ac:dyDescent="0.25">
      <c r="Q243" s="109" t="str">
        <f t="shared" si="25"/>
        <v/>
      </c>
      <c r="R243" s="27" t="str">
        <f t="shared" si="26"/>
        <v/>
      </c>
      <c r="S243" s="1"/>
      <c r="T243" s="1"/>
      <c r="U243" s="1"/>
      <c r="V243" s="1"/>
      <c r="W243" s="19"/>
      <c r="X243" s="22"/>
      <c r="Y243" s="22"/>
      <c r="AG243" s="27" t="str">
        <f t="shared" si="27"/>
        <v>GymboreeRetailUSA29</v>
      </c>
      <c r="AH243" s="1" t="s">
        <v>13</v>
      </c>
      <c r="AI243" s="1" t="s">
        <v>5</v>
      </c>
      <c r="AJ243" s="1" t="s">
        <v>274</v>
      </c>
      <c r="AK243" s="1">
        <v>29</v>
      </c>
      <c r="AL243" s="19">
        <v>0.75</v>
      </c>
      <c r="AN243" s="109" t="str">
        <f t="shared" si="28"/>
        <v>OutletUSAOutletGY 17 OUTLET SB1</v>
      </c>
      <c r="AO243" s="115" t="s">
        <v>16</v>
      </c>
      <c r="AP243" s="115" t="s">
        <v>16</v>
      </c>
      <c r="AQ243" s="115" t="s">
        <v>274</v>
      </c>
      <c r="AR243" s="1">
        <v>2017</v>
      </c>
      <c r="AS243" s="115" t="s">
        <v>65</v>
      </c>
      <c r="AT243" s="122" t="s">
        <v>220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25"/>
        <v/>
      </c>
      <c r="R244" s="27" t="str">
        <f t="shared" si="26"/>
        <v/>
      </c>
      <c r="S244" s="1"/>
      <c r="T244" s="1"/>
      <c r="U244" s="1"/>
      <c r="V244" s="1"/>
      <c r="W244" s="19"/>
      <c r="X244" s="22"/>
      <c r="Y244" s="22"/>
      <c r="AG244" s="27" t="str">
        <f t="shared" si="27"/>
        <v>GymboreeRetailUSA30</v>
      </c>
      <c r="AH244" s="1" t="s">
        <v>13</v>
      </c>
      <c r="AI244" s="1" t="s">
        <v>5</v>
      </c>
      <c r="AJ244" s="1" t="s">
        <v>274</v>
      </c>
      <c r="AK244" s="1">
        <v>30</v>
      </c>
      <c r="AL244" s="19">
        <v>0.75</v>
      </c>
      <c r="AN244" s="109" t="str">
        <f t="shared" si="28"/>
        <v>OutletUSAOutletGY 17 OUTLET SB2</v>
      </c>
      <c r="AO244" s="1" t="s">
        <v>16</v>
      </c>
      <c r="AP244" s="1" t="s">
        <v>16</v>
      </c>
      <c r="AQ244" s="1" t="s">
        <v>274</v>
      </c>
      <c r="AR244" s="1">
        <v>2017</v>
      </c>
      <c r="AS244" s="1" t="s">
        <v>65</v>
      </c>
      <c r="AT244" s="123" t="s">
        <v>222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25"/>
        <v/>
      </c>
      <c r="R245" s="27" t="str">
        <f t="shared" si="26"/>
        <v/>
      </c>
      <c r="S245" s="1"/>
      <c r="T245" s="1"/>
      <c r="U245" s="1"/>
      <c r="V245" s="1"/>
      <c r="W245" s="19"/>
      <c r="X245" s="22"/>
      <c r="Y245" s="22"/>
      <c r="AG245" s="27" t="str">
        <f t="shared" si="27"/>
        <v>GymboreeRetailUSA31</v>
      </c>
      <c r="AH245" s="1" t="s">
        <v>13</v>
      </c>
      <c r="AI245" s="1" t="s">
        <v>5</v>
      </c>
      <c r="AJ245" s="1" t="s">
        <v>274</v>
      </c>
      <c r="AK245" s="1">
        <v>31</v>
      </c>
      <c r="AL245" s="19">
        <v>0.75</v>
      </c>
      <c r="AN245" s="109" t="str">
        <f t="shared" si="28"/>
        <v>OutletUSAOutlet(new)</v>
      </c>
      <c r="AO245" s="1" t="s">
        <v>16</v>
      </c>
      <c r="AP245" s="1" t="s">
        <v>16</v>
      </c>
      <c r="AQ245" s="1" t="s">
        <v>274</v>
      </c>
      <c r="AR245" s="1">
        <v>2017</v>
      </c>
      <c r="AS245" s="1" t="s">
        <v>264</v>
      </c>
      <c r="AT245" s="123" t="s">
        <v>324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25"/>
        <v/>
      </c>
      <c r="R246" s="27" t="str">
        <f t="shared" si="26"/>
        <v/>
      </c>
      <c r="S246" s="1"/>
      <c r="T246" s="1"/>
      <c r="U246" s="1"/>
      <c r="V246" s="1"/>
      <c r="W246" s="19"/>
      <c r="X246" s="22"/>
      <c r="Y246" s="22"/>
      <c r="AG246" s="27" t="str">
        <f t="shared" si="27"/>
        <v>GymboreeRetailUSA32</v>
      </c>
      <c r="AH246" s="1" t="s">
        <v>13</v>
      </c>
      <c r="AI246" s="1" t="s">
        <v>5</v>
      </c>
      <c r="AJ246" s="1" t="s">
        <v>274</v>
      </c>
      <c r="AK246" s="1">
        <v>32</v>
      </c>
      <c r="AL246" s="19">
        <v>0.75</v>
      </c>
      <c r="AN246" s="109" t="str">
        <f t="shared" si="28"/>
        <v>OutletUSAOutletGY 17 OUTLET VDAY</v>
      </c>
      <c r="AO246" s="1" t="s">
        <v>16</v>
      </c>
      <c r="AP246" s="1" t="s">
        <v>16</v>
      </c>
      <c r="AQ246" s="1" t="s">
        <v>274</v>
      </c>
      <c r="AR246" s="1">
        <v>2017</v>
      </c>
      <c r="AS246" s="1" t="s">
        <v>15</v>
      </c>
      <c r="AT246" s="123" t="s">
        <v>224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25"/>
        <v/>
      </c>
      <c r="R247" s="27" t="str">
        <f t="shared" si="26"/>
        <v/>
      </c>
      <c r="S247" s="1"/>
      <c r="T247" s="1"/>
      <c r="U247" s="1"/>
      <c r="V247" s="1"/>
      <c r="W247" s="19"/>
      <c r="X247" s="22"/>
      <c r="Y247" s="22"/>
      <c r="AG247" s="27" t="str">
        <f t="shared" si="27"/>
        <v>GymboreeRetailUSA33</v>
      </c>
      <c r="AH247" s="1" t="s">
        <v>13</v>
      </c>
      <c r="AI247" s="1" t="s">
        <v>5</v>
      </c>
      <c r="AJ247" s="1" t="s">
        <v>274</v>
      </c>
      <c r="AK247" s="1">
        <v>33</v>
      </c>
      <c r="AL247" s="19">
        <v>0.8</v>
      </c>
      <c r="AN247" s="109" t="str">
        <f t="shared" si="28"/>
        <v>OutletUSAOutletGY 17 OUTLET SPR</v>
      </c>
      <c r="AO247" s="1" t="s">
        <v>16</v>
      </c>
      <c r="AP247" s="1" t="s">
        <v>16</v>
      </c>
      <c r="AQ247" s="1" t="s">
        <v>274</v>
      </c>
      <c r="AR247" s="1">
        <v>2017</v>
      </c>
      <c r="AS247" s="1" t="s">
        <v>15</v>
      </c>
      <c r="AT247" s="123" t="s">
        <v>226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25"/>
        <v/>
      </c>
      <c r="R248" s="27" t="str">
        <f t="shared" si="26"/>
        <v/>
      </c>
      <c r="S248" s="1"/>
      <c r="T248" s="1"/>
      <c r="U248" s="1"/>
      <c r="V248" s="1"/>
      <c r="W248" s="19"/>
      <c r="X248" s="22"/>
      <c r="Y248" s="22"/>
      <c r="AG248" s="27" t="str">
        <f t="shared" si="27"/>
        <v>GymboreeRetailUSA34</v>
      </c>
      <c r="AH248" s="1" t="s">
        <v>13</v>
      </c>
      <c r="AI248" s="1" t="s">
        <v>5</v>
      </c>
      <c r="AJ248" s="1" t="s">
        <v>274</v>
      </c>
      <c r="AK248" s="1">
        <v>34</v>
      </c>
      <c r="AL248" s="19">
        <v>0.8</v>
      </c>
      <c r="AN248" s="109" t="str">
        <f t="shared" si="28"/>
        <v>OutletUSAOutletGY 17 OUTLET Swim 1</v>
      </c>
      <c r="AO248" s="1" t="s">
        <v>16</v>
      </c>
      <c r="AP248" s="1" t="s">
        <v>16</v>
      </c>
      <c r="AQ248" s="1" t="s">
        <v>274</v>
      </c>
      <c r="AR248" s="1">
        <v>2017</v>
      </c>
      <c r="AS248" s="1" t="s">
        <v>15</v>
      </c>
      <c r="AT248" s="123" t="s">
        <v>236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25"/>
        <v/>
      </c>
      <c r="R249" s="27" t="str">
        <f t="shared" si="26"/>
        <v/>
      </c>
      <c r="S249" s="1"/>
      <c r="T249" s="1"/>
      <c r="U249" s="1"/>
      <c r="V249" s="1"/>
      <c r="W249" s="19"/>
      <c r="X249" s="22"/>
      <c r="Y249" s="22"/>
      <c r="AG249" s="27" t="str">
        <f t="shared" si="27"/>
        <v>GymboreeRetailUSA35</v>
      </c>
      <c r="AH249" s="1" t="s">
        <v>13</v>
      </c>
      <c r="AI249" s="1" t="s">
        <v>5</v>
      </c>
      <c r="AJ249" s="1" t="s">
        <v>274</v>
      </c>
      <c r="AK249" s="1">
        <v>35</v>
      </c>
      <c r="AL249" s="19">
        <v>0.8</v>
      </c>
      <c r="AN249" s="109" t="str">
        <f t="shared" si="28"/>
        <v>OutletUSAOutletGY 17 OUTLET Spring 1</v>
      </c>
      <c r="AO249" s="1" t="s">
        <v>16</v>
      </c>
      <c r="AP249" s="1" t="s">
        <v>16</v>
      </c>
      <c r="AQ249" s="1" t="s">
        <v>274</v>
      </c>
      <c r="AR249" s="1">
        <v>2017</v>
      </c>
      <c r="AS249" s="1" t="s">
        <v>15</v>
      </c>
      <c r="AT249" s="123" t="s">
        <v>233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25"/>
        <v/>
      </c>
      <c r="R250" s="27" t="str">
        <f t="shared" si="26"/>
        <v/>
      </c>
      <c r="S250" s="1"/>
      <c r="T250" s="1"/>
      <c r="U250" s="1"/>
      <c r="V250" s="1"/>
      <c r="W250" s="19"/>
      <c r="X250" s="22"/>
      <c r="Y250" s="22"/>
      <c r="AG250" s="27" t="str">
        <f t="shared" si="27"/>
        <v>GymboreeRetailUSA36</v>
      </c>
      <c r="AH250" s="1" t="s">
        <v>13</v>
      </c>
      <c r="AI250" s="1" t="s">
        <v>5</v>
      </c>
      <c r="AJ250" s="1" t="s">
        <v>274</v>
      </c>
      <c r="AK250" s="1">
        <v>36</v>
      </c>
      <c r="AL250" s="19">
        <v>0.8</v>
      </c>
      <c r="AN250" s="109" t="str">
        <f t="shared" si="28"/>
        <v>OutletUSAOutletGY 17 OUTLET BNB Spring</v>
      </c>
      <c r="AO250" s="1" t="s">
        <v>16</v>
      </c>
      <c r="AP250" s="1" t="s">
        <v>16</v>
      </c>
      <c r="AQ250" s="1" t="s">
        <v>274</v>
      </c>
      <c r="AR250" s="1">
        <v>2017</v>
      </c>
      <c r="AS250" s="1" t="s">
        <v>15</v>
      </c>
      <c r="AT250" s="123" t="s">
        <v>227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25"/>
        <v/>
      </c>
      <c r="R251" s="27" t="str">
        <f t="shared" si="26"/>
        <v/>
      </c>
      <c r="S251" s="1"/>
      <c r="T251" s="1"/>
      <c r="U251" s="1"/>
      <c r="V251" s="1"/>
      <c r="W251" s="19"/>
      <c r="X251" s="22"/>
      <c r="Y251" s="22"/>
      <c r="AG251" s="27" t="str">
        <f t="shared" si="27"/>
        <v>GymboreeRetailUSA37</v>
      </c>
      <c r="AH251" s="1" t="s">
        <v>13</v>
      </c>
      <c r="AI251" s="1" t="s">
        <v>5</v>
      </c>
      <c r="AJ251" s="1" t="s">
        <v>274</v>
      </c>
      <c r="AK251" s="1">
        <v>37</v>
      </c>
      <c r="AL251" s="19">
        <v>0.8</v>
      </c>
      <c r="AN251" s="109" t="str">
        <f t="shared" si="28"/>
        <v>OutletUSAOutletGY 17 OUTLET Easter</v>
      </c>
      <c r="AO251" s="1" t="s">
        <v>16</v>
      </c>
      <c r="AP251" s="1" t="s">
        <v>16</v>
      </c>
      <c r="AQ251" s="1" t="s">
        <v>274</v>
      </c>
      <c r="AR251" s="1">
        <v>2017</v>
      </c>
      <c r="AS251" s="1" t="s">
        <v>15</v>
      </c>
      <c r="AT251" s="123" t="s">
        <v>230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25"/>
        <v/>
      </c>
      <c r="R252" s="27" t="str">
        <f t="shared" si="26"/>
        <v/>
      </c>
      <c r="S252" s="1"/>
      <c r="T252" s="1"/>
      <c r="U252" s="1"/>
      <c r="V252" s="1"/>
      <c r="W252" s="19"/>
      <c r="X252" s="22"/>
      <c r="Y252" s="22"/>
      <c r="AG252" s="27" t="str">
        <f t="shared" si="27"/>
        <v>GymboreeRetailUSA38</v>
      </c>
      <c r="AH252" s="1" t="s">
        <v>13</v>
      </c>
      <c r="AI252" s="1" t="s">
        <v>5</v>
      </c>
      <c r="AJ252" s="1" t="s">
        <v>274</v>
      </c>
      <c r="AK252" s="1">
        <v>38</v>
      </c>
      <c r="AL252" s="19">
        <v>0.8</v>
      </c>
      <c r="AN252" s="109" t="str">
        <f t="shared" si="28"/>
        <v>OutletUSAOutletGY 17 OUTLET Spr Fashion Cap</v>
      </c>
      <c r="AO252" s="1" t="s">
        <v>16</v>
      </c>
      <c r="AP252" s="1" t="s">
        <v>16</v>
      </c>
      <c r="AQ252" s="1" t="s">
        <v>274</v>
      </c>
      <c r="AR252" s="1">
        <v>2017</v>
      </c>
      <c r="AS252" s="1" t="s">
        <v>15</v>
      </c>
      <c r="AT252" s="123" t="s">
        <v>231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25"/>
        <v/>
      </c>
      <c r="R253" s="27" t="str">
        <f t="shared" si="26"/>
        <v/>
      </c>
      <c r="S253" s="1"/>
      <c r="T253" s="1"/>
      <c r="U253" s="1"/>
      <c r="V253" s="1"/>
      <c r="W253" s="19"/>
      <c r="X253" s="22"/>
      <c r="Y253" s="22"/>
      <c r="AG253" s="27" t="str">
        <f t="shared" si="27"/>
        <v>GymboreeRetailUSA39</v>
      </c>
      <c r="AH253" s="1" t="s">
        <v>13</v>
      </c>
      <c r="AI253" s="1" t="s">
        <v>5</v>
      </c>
      <c r="AJ253" s="1" t="s">
        <v>274</v>
      </c>
      <c r="AK253" s="1">
        <v>39</v>
      </c>
      <c r="AL253" s="19">
        <v>0.8</v>
      </c>
      <c r="AN253" s="109" t="str">
        <f t="shared" si="28"/>
        <v>OutletUSAOutletGY 17 OUTLET Spring 2</v>
      </c>
      <c r="AO253" s="1" t="s">
        <v>16</v>
      </c>
      <c r="AP253" s="1" t="s">
        <v>16</v>
      </c>
      <c r="AQ253" s="1" t="s">
        <v>274</v>
      </c>
      <c r="AR253" s="1">
        <v>2017</v>
      </c>
      <c r="AS253" s="1" t="s">
        <v>15</v>
      </c>
      <c r="AT253" s="123" t="s">
        <v>234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ref="Q254:Q294" si="29">T254&amp;V254</f>
        <v/>
      </c>
      <c r="R254" s="27" t="str">
        <f t="shared" ref="R254:R294" si="30">S254&amp;T254&amp;U254</f>
        <v/>
      </c>
      <c r="S254" s="1"/>
      <c r="T254" s="1"/>
      <c r="U254" s="1"/>
      <c r="V254" s="1"/>
      <c r="W254" s="19"/>
      <c r="X254" s="22"/>
      <c r="Y254" s="22"/>
      <c r="AG254" s="27" t="str">
        <f t="shared" si="27"/>
        <v>GymboreeRetailUSA40</v>
      </c>
      <c r="AH254" s="1" t="s">
        <v>13</v>
      </c>
      <c r="AI254" s="1" t="s">
        <v>5</v>
      </c>
      <c r="AJ254" s="1" t="s">
        <v>274</v>
      </c>
      <c r="AK254" s="1">
        <v>40</v>
      </c>
      <c r="AL254" s="19">
        <v>0.8</v>
      </c>
      <c r="AN254" s="109" t="str">
        <f t="shared" si="28"/>
        <v>OutletUSAOutletGY 17 OUTLET SPRING ACTIVE</v>
      </c>
      <c r="AO254" s="1" t="s">
        <v>16</v>
      </c>
      <c r="AP254" s="1" t="s">
        <v>16</v>
      </c>
      <c r="AQ254" s="1" t="s">
        <v>274</v>
      </c>
      <c r="AR254" s="1">
        <v>2017</v>
      </c>
      <c r="AS254" s="1" t="s">
        <v>15</v>
      </c>
      <c r="AT254" s="123" t="s">
        <v>229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29"/>
        <v/>
      </c>
      <c r="R255" s="27" t="str">
        <f t="shared" si="30"/>
        <v/>
      </c>
      <c r="S255" s="1"/>
      <c r="T255" s="1"/>
      <c r="U255" s="1"/>
      <c r="V255" s="1"/>
      <c r="W255" s="19"/>
      <c r="X255" s="22"/>
      <c r="Y255" s="22"/>
      <c r="AG255" s="27" t="str">
        <f t="shared" si="27"/>
        <v>GymboreeRetailUSA41</v>
      </c>
      <c r="AH255" s="1" t="s">
        <v>13</v>
      </c>
      <c r="AI255" s="1" t="s">
        <v>5</v>
      </c>
      <c r="AJ255" s="1" t="s">
        <v>274</v>
      </c>
      <c r="AK255" s="1">
        <v>41</v>
      </c>
      <c r="AL255" s="19">
        <v>0.8</v>
      </c>
      <c r="AN255" s="109" t="str">
        <f t="shared" si="28"/>
        <v>OutletUSAOutletGY 17 OUTLET Spring 3</v>
      </c>
      <c r="AO255" s="1" t="s">
        <v>16</v>
      </c>
      <c r="AP255" s="1" t="s">
        <v>16</v>
      </c>
      <c r="AQ255" s="1" t="s">
        <v>274</v>
      </c>
      <c r="AR255" s="1">
        <v>2017</v>
      </c>
      <c r="AS255" s="1" t="s">
        <v>15</v>
      </c>
      <c r="AT255" s="123" t="s">
        <v>235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29"/>
        <v/>
      </c>
      <c r="R256" s="27" t="str">
        <f t="shared" si="30"/>
        <v/>
      </c>
      <c r="S256" s="1"/>
      <c r="T256" s="1"/>
      <c r="U256" s="1"/>
      <c r="V256" s="1"/>
      <c r="W256" s="19"/>
      <c r="X256" s="22"/>
      <c r="Y256" s="22"/>
      <c r="AG256" s="27" t="str">
        <f t="shared" si="27"/>
        <v>GymboreeRetailUSA42</v>
      </c>
      <c r="AH256" s="1" t="s">
        <v>13</v>
      </c>
      <c r="AI256" s="1" t="s">
        <v>5</v>
      </c>
      <c r="AJ256" s="1" t="s">
        <v>274</v>
      </c>
      <c r="AK256" s="1">
        <v>42</v>
      </c>
      <c r="AL256" s="19">
        <v>0.8</v>
      </c>
      <c r="AN256" s="109" t="str">
        <f t="shared" si="28"/>
        <v>OutletUSAOutletGY 17 OUTLET Swim 2</v>
      </c>
      <c r="AO256" s="1" t="s">
        <v>16</v>
      </c>
      <c r="AP256" s="1" t="s">
        <v>16</v>
      </c>
      <c r="AQ256" s="1" t="s">
        <v>274</v>
      </c>
      <c r="AR256" s="1">
        <v>2017</v>
      </c>
      <c r="AS256" s="1" t="s">
        <v>15</v>
      </c>
      <c r="AT256" s="123" t="s">
        <v>237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29"/>
        <v/>
      </c>
      <c r="R257" s="27" t="str">
        <f t="shared" si="30"/>
        <v/>
      </c>
      <c r="S257" s="1"/>
      <c r="T257" s="1"/>
      <c r="U257" s="1"/>
      <c r="V257" s="1"/>
      <c r="W257" s="19"/>
      <c r="X257" s="22"/>
      <c r="Y257" s="22"/>
      <c r="AG257" s="27" t="str">
        <f t="shared" si="27"/>
        <v>GymboreeRetailUSA43</v>
      </c>
      <c r="AH257" s="1" t="s">
        <v>13</v>
      </c>
      <c r="AI257" s="1" t="s">
        <v>5</v>
      </c>
      <c r="AJ257" s="1" t="s">
        <v>274</v>
      </c>
      <c r="AK257" s="1">
        <v>43</v>
      </c>
      <c r="AL257" s="19">
        <v>0.8</v>
      </c>
      <c r="AN257" s="109" t="str">
        <f t="shared" si="28"/>
        <v>OutletUSAOutletGY 17 OUTLET Summer 1</v>
      </c>
      <c r="AO257" s="1" t="s">
        <v>16</v>
      </c>
      <c r="AP257" s="1" t="s">
        <v>16</v>
      </c>
      <c r="AQ257" s="1" t="s">
        <v>274</v>
      </c>
      <c r="AR257" s="1">
        <v>2017</v>
      </c>
      <c r="AS257" s="1" t="s">
        <v>17</v>
      </c>
      <c r="AT257" s="123" t="s">
        <v>244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29"/>
        <v/>
      </c>
      <c r="R258" s="27" t="str">
        <f t="shared" si="30"/>
        <v/>
      </c>
      <c r="S258" s="1"/>
      <c r="T258" s="1"/>
      <c r="U258" s="1"/>
      <c r="V258" s="1"/>
      <c r="W258" s="19"/>
      <c r="X258" s="22"/>
      <c r="Y258" s="22"/>
      <c r="AG258" s="27" t="str">
        <f t="shared" si="27"/>
        <v>GymboreeRetailUSA44</v>
      </c>
      <c r="AH258" s="1" t="s">
        <v>13</v>
      </c>
      <c r="AI258" s="1" t="s">
        <v>5</v>
      </c>
      <c r="AJ258" s="1" t="s">
        <v>274</v>
      </c>
      <c r="AK258" s="1">
        <v>44</v>
      </c>
      <c r="AL258" s="19">
        <v>0.8</v>
      </c>
      <c r="AN258" s="109" t="str">
        <f t="shared" si="28"/>
        <v>OutletUSAOutletGY 17 OUTLET SMR</v>
      </c>
      <c r="AO258" s="1" t="s">
        <v>16</v>
      </c>
      <c r="AP258" s="1" t="s">
        <v>16</v>
      </c>
      <c r="AQ258" s="1" t="s">
        <v>274</v>
      </c>
      <c r="AR258" s="1">
        <v>2017</v>
      </c>
      <c r="AS258" s="1" t="s">
        <v>17</v>
      </c>
      <c r="AT258" s="123" t="s">
        <v>241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29"/>
        <v/>
      </c>
      <c r="R259" s="27" t="str">
        <f t="shared" si="30"/>
        <v/>
      </c>
      <c r="S259" s="1"/>
      <c r="T259" s="1"/>
      <c r="U259" s="1"/>
      <c r="V259" s="1"/>
      <c r="W259" s="19"/>
      <c r="X259" s="22"/>
      <c r="Y259" s="22"/>
      <c r="AG259" s="27" t="str">
        <f t="shared" si="27"/>
        <v>GymboreeRetailUSA45</v>
      </c>
      <c r="AH259" s="1" t="s">
        <v>13</v>
      </c>
      <c r="AI259" s="1" t="s">
        <v>5</v>
      </c>
      <c r="AJ259" s="1" t="s">
        <v>274</v>
      </c>
      <c r="AK259" s="1">
        <v>45</v>
      </c>
      <c r="AL259" s="19">
        <v>0.8</v>
      </c>
      <c r="AN259" s="109" t="str">
        <f t="shared" si="28"/>
        <v>OutletUSAOutletGY 17 OUTLET SUMMER 2</v>
      </c>
      <c r="AO259" s="1" t="s">
        <v>16</v>
      </c>
      <c r="AP259" s="1" t="s">
        <v>16</v>
      </c>
      <c r="AQ259" s="1" t="s">
        <v>274</v>
      </c>
      <c r="AR259" s="1">
        <v>2017</v>
      </c>
      <c r="AS259" s="1" t="s">
        <v>17</v>
      </c>
      <c r="AT259" s="123" t="s">
        <v>246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29"/>
        <v/>
      </c>
      <c r="R260" s="27" t="str">
        <f t="shared" si="30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31">AH260&amp;AI260&amp;AJ260&amp;AK260</f>
        <v>GymboreeRetailUSA46</v>
      </c>
      <c r="AH260" s="1" t="s">
        <v>13</v>
      </c>
      <c r="AI260" s="1" t="s">
        <v>5</v>
      </c>
      <c r="AJ260" s="1" t="s">
        <v>274</v>
      </c>
      <c r="AK260" s="1">
        <v>46</v>
      </c>
      <c r="AL260" s="19">
        <v>0.8</v>
      </c>
      <c r="AN260" s="109" t="str">
        <f t="shared" ref="AN260:AN323" si="32">AO260&amp;AQ260&amp;AP260&amp;AT260</f>
        <v>OutletUSAOutletGY 17 OUTLET SWIM 3</v>
      </c>
      <c r="AO260" s="1" t="s">
        <v>16</v>
      </c>
      <c r="AP260" s="1" t="s">
        <v>16</v>
      </c>
      <c r="AQ260" s="1" t="s">
        <v>274</v>
      </c>
      <c r="AR260" s="1">
        <v>2017</v>
      </c>
      <c r="AS260" s="1" t="s">
        <v>17</v>
      </c>
      <c r="AT260" s="123" t="s">
        <v>239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29"/>
        <v/>
      </c>
      <c r="R261" s="27" t="str">
        <f t="shared" si="30"/>
        <v/>
      </c>
      <c r="S261" s="1"/>
      <c r="T261" s="1"/>
      <c r="U261" s="1"/>
      <c r="V261" s="1"/>
      <c r="W261" s="19"/>
      <c r="X261" s="22"/>
      <c r="Y261" s="22"/>
      <c r="AG261" s="27" t="str">
        <f t="shared" si="31"/>
        <v>GymboreeRetailUSA47</v>
      </c>
      <c r="AH261" s="1" t="s">
        <v>13</v>
      </c>
      <c r="AI261" s="1" t="s">
        <v>5</v>
      </c>
      <c r="AJ261" s="1" t="s">
        <v>274</v>
      </c>
      <c r="AK261" s="1">
        <v>47</v>
      </c>
      <c r="AL261" s="19">
        <v>0.8</v>
      </c>
      <c r="AN261" s="109" t="str">
        <f t="shared" si="32"/>
        <v>OutletUSAOutletGY 17 OUTLET BNB SUMMER</v>
      </c>
      <c r="AO261" s="1" t="s">
        <v>16</v>
      </c>
      <c r="AP261" s="1" t="s">
        <v>16</v>
      </c>
      <c r="AQ261" s="1" t="s">
        <v>274</v>
      </c>
      <c r="AR261" s="1">
        <v>2017</v>
      </c>
      <c r="AS261" s="1" t="s">
        <v>17</v>
      </c>
      <c r="AT261" s="123" t="s">
        <v>243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29"/>
        <v/>
      </c>
      <c r="R262" s="27" t="str">
        <f t="shared" si="30"/>
        <v/>
      </c>
      <c r="S262" s="1"/>
      <c r="T262" s="1"/>
      <c r="U262" s="1"/>
      <c r="V262" s="1"/>
      <c r="W262" s="19"/>
      <c r="X262" s="22"/>
      <c r="Y262" s="22"/>
      <c r="AG262" s="27" t="str">
        <f t="shared" si="31"/>
        <v>GymboreeRetailUSA48</v>
      </c>
      <c r="AH262" s="1" t="s">
        <v>13</v>
      </c>
      <c r="AI262" s="1" t="s">
        <v>5</v>
      </c>
      <c r="AJ262" s="1" t="s">
        <v>274</v>
      </c>
      <c r="AK262" s="1">
        <v>48</v>
      </c>
      <c r="AL262" s="19">
        <v>0.8</v>
      </c>
      <c r="AN262" s="109" t="str">
        <f t="shared" si="32"/>
        <v>OutletUSAOutletGY 17 OUTLET SUMMER 3</v>
      </c>
      <c r="AO262" s="1" t="s">
        <v>16</v>
      </c>
      <c r="AP262" s="1" t="s">
        <v>16</v>
      </c>
      <c r="AQ262" s="1" t="s">
        <v>274</v>
      </c>
      <c r="AR262" s="1">
        <v>2017</v>
      </c>
      <c r="AS262" s="1" t="s">
        <v>17</v>
      </c>
      <c r="AT262" s="123" t="s">
        <v>248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29"/>
        <v/>
      </c>
      <c r="R263" s="27" t="str">
        <f t="shared" si="30"/>
        <v/>
      </c>
      <c r="S263" s="1"/>
      <c r="T263" s="1"/>
      <c r="U263" s="1"/>
      <c r="V263" s="1"/>
      <c r="W263" s="19"/>
      <c r="X263" s="22"/>
      <c r="Y263" s="22"/>
      <c r="AG263" s="27" t="str">
        <f t="shared" si="31"/>
        <v>GymboreeRetailUSA49</v>
      </c>
      <c r="AH263" s="1" t="s">
        <v>13</v>
      </c>
      <c r="AI263" s="1" t="s">
        <v>5</v>
      </c>
      <c r="AJ263" s="1" t="s">
        <v>274</v>
      </c>
      <c r="AK263" s="1">
        <v>49</v>
      </c>
      <c r="AL263" s="19">
        <v>0.8</v>
      </c>
      <c r="AN263" s="109" t="str">
        <f t="shared" si="32"/>
        <v>OutletUSAOutletGY 17 OUTLET SUMMER 4</v>
      </c>
      <c r="AO263" s="1" t="s">
        <v>16</v>
      </c>
      <c r="AP263" s="1" t="s">
        <v>16</v>
      </c>
      <c r="AQ263" s="1" t="s">
        <v>274</v>
      </c>
      <c r="AR263" s="1">
        <v>2017</v>
      </c>
      <c r="AS263" s="1" t="s">
        <v>17</v>
      </c>
      <c r="AT263" s="123" t="s">
        <v>250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29"/>
        <v/>
      </c>
      <c r="R264" s="27" t="str">
        <f t="shared" si="30"/>
        <v/>
      </c>
      <c r="S264" s="1"/>
      <c r="T264" s="1"/>
      <c r="U264" s="1"/>
      <c r="V264" s="1"/>
      <c r="W264" s="19"/>
      <c r="X264" s="22"/>
      <c r="Y264" s="22"/>
      <c r="AG264" s="27" t="str">
        <f t="shared" si="31"/>
        <v>GymboreeRetailUSA50</v>
      </c>
      <c r="AH264" s="1" t="s">
        <v>13</v>
      </c>
      <c r="AI264" s="1" t="s">
        <v>5</v>
      </c>
      <c r="AJ264" s="1" t="s">
        <v>274</v>
      </c>
      <c r="AK264" s="1">
        <v>50</v>
      </c>
      <c r="AL264" s="19">
        <v>0.8</v>
      </c>
      <c r="AN264" s="109" t="str">
        <f t="shared" si="32"/>
        <v>OutletUSAOutletGY 17 OUTLET UNIFORM</v>
      </c>
      <c r="AO264" s="1" t="s">
        <v>16</v>
      </c>
      <c r="AP264" s="1" t="s">
        <v>16</v>
      </c>
      <c r="AQ264" s="1" t="s">
        <v>274</v>
      </c>
      <c r="AR264" s="1">
        <v>2017</v>
      </c>
      <c r="AS264" s="1" t="s">
        <v>17</v>
      </c>
      <c r="AT264" s="123" t="s">
        <v>252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29"/>
        <v/>
      </c>
      <c r="R265" s="27" t="str">
        <f t="shared" si="30"/>
        <v/>
      </c>
      <c r="S265" s="1"/>
      <c r="T265" s="1"/>
      <c r="U265" s="1"/>
      <c r="V265" s="1"/>
      <c r="W265" s="19"/>
      <c r="X265" s="22"/>
      <c r="Y265" s="22"/>
      <c r="AG265" s="27" t="str">
        <f t="shared" si="31"/>
        <v>GymboreeRetailUSA51</v>
      </c>
      <c r="AH265" s="1" t="s">
        <v>13</v>
      </c>
      <c r="AI265" s="1" t="s">
        <v>5</v>
      </c>
      <c r="AJ265" s="1" t="s">
        <v>274</v>
      </c>
      <c r="AK265" s="1">
        <v>51</v>
      </c>
      <c r="AL265" s="19">
        <v>0.8</v>
      </c>
      <c r="AN265" s="109" t="str">
        <f t="shared" si="32"/>
        <v>OutletUSAOutletGY 17 OUTLET TRANSITION</v>
      </c>
      <c r="AO265" s="1" t="s">
        <v>16</v>
      </c>
      <c r="AP265" s="1" t="s">
        <v>16</v>
      </c>
      <c r="AQ265" s="1" t="s">
        <v>274</v>
      </c>
      <c r="AR265" s="1">
        <v>2017</v>
      </c>
      <c r="AS265" s="1" t="s">
        <v>17</v>
      </c>
      <c r="AT265" s="123" t="s">
        <v>254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29"/>
        <v/>
      </c>
      <c r="R266" s="27" t="str">
        <f t="shared" si="30"/>
        <v/>
      </c>
      <c r="S266" s="1"/>
      <c r="T266" s="1"/>
      <c r="U266" s="1"/>
      <c r="V266" s="1"/>
      <c r="W266" s="19"/>
      <c r="X266" s="22"/>
      <c r="Y266" s="22"/>
      <c r="AG266" s="27" t="str">
        <f t="shared" si="31"/>
        <v>GymboreeRetailUSA52</v>
      </c>
      <c r="AH266" s="1" t="s">
        <v>13</v>
      </c>
      <c r="AI266" s="1" t="s">
        <v>5</v>
      </c>
      <c r="AJ266" s="1" t="s">
        <v>274</v>
      </c>
      <c r="AK266" s="1">
        <v>52</v>
      </c>
      <c r="AL266" s="19">
        <v>0.8</v>
      </c>
      <c r="AN266" s="109" t="str">
        <f t="shared" si="32"/>
        <v>OutletUSAOutletGY 17 OUTLET FAL</v>
      </c>
      <c r="AO266" s="1" t="s">
        <v>16</v>
      </c>
      <c r="AP266" s="1" t="s">
        <v>16</v>
      </c>
      <c r="AQ266" s="1" t="s">
        <v>274</v>
      </c>
      <c r="AR266" s="1">
        <v>2017</v>
      </c>
      <c r="AS266" s="1" t="s">
        <v>31</v>
      </c>
      <c r="AT266" s="123" t="s">
        <v>205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29"/>
        <v/>
      </c>
      <c r="R267" s="27" t="str">
        <f t="shared" si="30"/>
        <v/>
      </c>
      <c r="S267" s="1"/>
      <c r="T267" s="1"/>
      <c r="U267" s="1"/>
      <c r="V267" s="1"/>
      <c r="W267" s="19"/>
      <c r="X267" s="22"/>
      <c r="Y267" s="22"/>
      <c r="AG267" s="27" t="str">
        <f t="shared" si="31"/>
        <v>GymboreeRetailUSA53</v>
      </c>
      <c r="AH267" s="1" t="s">
        <v>13</v>
      </c>
      <c r="AI267" s="1" t="s">
        <v>5</v>
      </c>
      <c r="AJ267" s="1" t="s">
        <v>274</v>
      </c>
      <c r="AK267" s="1">
        <v>53</v>
      </c>
      <c r="AL267" s="19">
        <v>0.8</v>
      </c>
      <c r="AN267" s="109" t="str">
        <f t="shared" si="32"/>
        <v>OutletUSAOutletGY 17 OUTLET BTS 1</v>
      </c>
      <c r="AO267" s="1" t="s">
        <v>16</v>
      </c>
      <c r="AP267" s="1" t="s">
        <v>16</v>
      </c>
      <c r="AQ267" s="1" t="s">
        <v>274</v>
      </c>
      <c r="AR267" s="1">
        <v>2017</v>
      </c>
      <c r="AS267" s="1" t="s">
        <v>31</v>
      </c>
      <c r="AT267" s="123" t="s">
        <v>207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29"/>
        <v/>
      </c>
      <c r="R268" s="27" t="str">
        <f t="shared" si="30"/>
        <v/>
      </c>
      <c r="S268" s="1"/>
      <c r="T268" s="1"/>
      <c r="U268" s="1"/>
      <c r="V268" s="1"/>
      <c r="W268" s="19"/>
      <c r="X268" s="22"/>
      <c r="Y268" s="22"/>
      <c r="AG268" s="27" t="str">
        <f t="shared" si="31"/>
        <v>GymboreeRetailCanada1</v>
      </c>
      <c r="AH268" s="1" t="s">
        <v>13</v>
      </c>
      <c r="AI268" s="1" t="s">
        <v>5</v>
      </c>
      <c r="AJ268" s="1" t="s">
        <v>275</v>
      </c>
      <c r="AK268" s="1">
        <v>1</v>
      </c>
      <c r="AL268" s="19">
        <v>0.3</v>
      </c>
      <c r="AN268" s="109" t="str">
        <f t="shared" si="32"/>
        <v>OutletUSAOutletGY 17 OUTLET BTS 2</v>
      </c>
      <c r="AO268" s="1" t="s">
        <v>16</v>
      </c>
      <c r="AP268" s="1" t="s">
        <v>16</v>
      </c>
      <c r="AQ268" s="1" t="s">
        <v>274</v>
      </c>
      <c r="AR268" s="1">
        <v>2017</v>
      </c>
      <c r="AS268" s="1" t="s">
        <v>31</v>
      </c>
      <c r="AT268" s="123" t="s">
        <v>209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29"/>
        <v/>
      </c>
      <c r="R269" s="27" t="str">
        <f t="shared" si="30"/>
        <v/>
      </c>
      <c r="S269" s="1"/>
      <c r="T269" s="1"/>
      <c r="U269" s="1"/>
      <c r="V269" s="1"/>
      <c r="W269" s="19"/>
      <c r="X269" s="22"/>
      <c r="Y269" s="22"/>
      <c r="AG269" s="27" t="str">
        <f t="shared" si="31"/>
        <v>GymboreeRetailCanada2</v>
      </c>
      <c r="AH269" s="1" t="s">
        <v>13</v>
      </c>
      <c r="AI269" s="1" t="s">
        <v>5</v>
      </c>
      <c r="AJ269" s="1" t="s">
        <v>275</v>
      </c>
      <c r="AK269" s="1">
        <v>2</v>
      </c>
      <c r="AL269" s="19">
        <v>0.3</v>
      </c>
      <c r="AN269" s="109" t="str">
        <f t="shared" si="32"/>
        <v>OutletUSAOutletGY 17 OUTLET BNB FALL</v>
      </c>
      <c r="AO269" s="1" t="s">
        <v>16</v>
      </c>
      <c r="AP269" s="1" t="s">
        <v>16</v>
      </c>
      <c r="AQ269" s="1" t="s">
        <v>274</v>
      </c>
      <c r="AR269" s="1">
        <v>2017</v>
      </c>
      <c r="AS269" s="1" t="s">
        <v>31</v>
      </c>
      <c r="AT269" s="123" t="s">
        <v>211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29"/>
        <v/>
      </c>
      <c r="R270" s="27" t="str">
        <f t="shared" si="30"/>
        <v/>
      </c>
      <c r="S270" s="1"/>
      <c r="T270" s="1"/>
      <c r="U270" s="1"/>
      <c r="V270" s="1"/>
      <c r="W270" s="19"/>
      <c r="X270" s="22"/>
      <c r="Y270" s="22"/>
      <c r="AG270" s="27" t="str">
        <f t="shared" si="31"/>
        <v>GymboreeRetailCanada3</v>
      </c>
      <c r="AH270" s="1" t="s">
        <v>13</v>
      </c>
      <c r="AI270" s="1" t="s">
        <v>5</v>
      </c>
      <c r="AJ270" s="1" t="s">
        <v>275</v>
      </c>
      <c r="AK270" s="1">
        <v>3</v>
      </c>
      <c r="AL270" s="19">
        <v>0.3</v>
      </c>
      <c r="AN270" s="109" t="str">
        <f t="shared" si="32"/>
        <v>OutletUSAOutletGY 17 OUTLET FALL 1</v>
      </c>
      <c r="AO270" s="1" t="s">
        <v>16</v>
      </c>
      <c r="AP270" s="1" t="s">
        <v>16</v>
      </c>
      <c r="AQ270" s="1" t="s">
        <v>274</v>
      </c>
      <c r="AR270" s="1">
        <v>2017</v>
      </c>
      <c r="AS270" s="1" t="s">
        <v>31</v>
      </c>
      <c r="AT270" s="123" t="s">
        <v>213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29"/>
        <v/>
      </c>
      <c r="R271" s="27" t="str">
        <f t="shared" si="30"/>
        <v/>
      </c>
      <c r="S271" s="1"/>
      <c r="T271" s="1"/>
      <c r="U271" s="1"/>
      <c r="V271" s="1"/>
      <c r="W271" s="19"/>
      <c r="X271" s="22"/>
      <c r="Y271" s="22"/>
      <c r="AG271" s="27" t="str">
        <f t="shared" si="31"/>
        <v>GymboreeRetailCanada4</v>
      </c>
      <c r="AH271" s="1" t="s">
        <v>13</v>
      </c>
      <c r="AI271" s="1" t="s">
        <v>5</v>
      </c>
      <c r="AJ271" s="1" t="s">
        <v>275</v>
      </c>
      <c r="AK271" s="1">
        <v>4</v>
      </c>
      <c r="AL271" s="19">
        <v>0.3</v>
      </c>
      <c r="AN271" s="109" t="str">
        <f t="shared" si="32"/>
        <v>OutletUSAOutletGY 17 OUTLET FALL 1</v>
      </c>
      <c r="AO271" s="1" t="s">
        <v>16</v>
      </c>
      <c r="AP271" s="1" t="s">
        <v>16</v>
      </c>
      <c r="AQ271" s="1" t="s">
        <v>274</v>
      </c>
      <c r="AR271" s="1">
        <v>2017</v>
      </c>
      <c r="AS271" s="1" t="s">
        <v>31</v>
      </c>
      <c r="AT271" s="123" t="s">
        <v>213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29"/>
        <v/>
      </c>
      <c r="R272" s="27" t="str">
        <f t="shared" si="30"/>
        <v/>
      </c>
      <c r="S272" s="1"/>
      <c r="T272" s="1"/>
      <c r="U272" s="1"/>
      <c r="V272" s="1"/>
      <c r="W272" s="19"/>
      <c r="X272" s="22"/>
      <c r="Y272" s="22"/>
      <c r="AG272" s="27" t="str">
        <f t="shared" si="31"/>
        <v>GymboreeRetailCanada5</v>
      </c>
      <c r="AH272" s="1" t="s">
        <v>13</v>
      </c>
      <c r="AI272" s="1" t="s">
        <v>5</v>
      </c>
      <c r="AJ272" s="1" t="s">
        <v>275</v>
      </c>
      <c r="AK272" s="1">
        <v>5</v>
      </c>
      <c r="AL272" s="19">
        <v>0.35</v>
      </c>
      <c r="AN272" s="109" t="str">
        <f t="shared" si="32"/>
        <v>OutletUSAOutletGY 17 OUTLET FALL 2</v>
      </c>
      <c r="AO272" s="1" t="s">
        <v>16</v>
      </c>
      <c r="AP272" s="1" t="s">
        <v>16</v>
      </c>
      <c r="AQ272" s="1" t="s">
        <v>274</v>
      </c>
      <c r="AR272" s="1">
        <v>2017</v>
      </c>
      <c r="AS272" s="1" t="s">
        <v>31</v>
      </c>
      <c r="AT272" s="123" t="s">
        <v>216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29"/>
        <v/>
      </c>
      <c r="R273" s="27" t="str">
        <f t="shared" si="30"/>
        <v/>
      </c>
      <c r="S273" s="1"/>
      <c r="T273" s="1"/>
      <c r="U273" s="1"/>
      <c r="V273" s="1"/>
      <c r="W273" s="19"/>
      <c r="X273" s="22"/>
      <c r="Y273" s="22"/>
      <c r="AG273" s="27" t="str">
        <f t="shared" si="31"/>
        <v>GymboreeRetailCanada6</v>
      </c>
      <c r="AH273" s="1" t="s">
        <v>13</v>
      </c>
      <c r="AI273" s="1" t="s">
        <v>5</v>
      </c>
      <c r="AJ273" s="1" t="s">
        <v>275</v>
      </c>
      <c r="AK273" s="1">
        <v>6</v>
      </c>
      <c r="AL273" s="19">
        <v>0.35</v>
      </c>
      <c r="AN273" s="109" t="str">
        <f t="shared" si="32"/>
        <v>OutletUSAOutletGY 17 OUTLET HOLIDAY DRESSY</v>
      </c>
      <c r="AO273" s="1" t="s">
        <v>16</v>
      </c>
      <c r="AP273" s="1" t="s">
        <v>16</v>
      </c>
      <c r="AQ273" s="1" t="s">
        <v>274</v>
      </c>
      <c r="AR273" s="1">
        <v>2017</v>
      </c>
      <c r="AS273" s="1" t="s">
        <v>31</v>
      </c>
      <c r="AT273" s="123" t="s">
        <v>218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29"/>
        <v/>
      </c>
      <c r="R274" s="27" t="str">
        <f t="shared" si="30"/>
        <v/>
      </c>
      <c r="S274" s="1"/>
      <c r="T274" s="1"/>
      <c r="U274" s="1"/>
      <c r="V274" s="1"/>
      <c r="W274" s="19"/>
      <c r="X274" s="22"/>
      <c r="Y274" s="22"/>
      <c r="AG274" s="27" t="str">
        <f t="shared" si="31"/>
        <v>GymboreeRetailCanada7</v>
      </c>
      <c r="AH274" s="1" t="s">
        <v>13</v>
      </c>
      <c r="AI274" s="1" t="s">
        <v>5</v>
      </c>
      <c r="AJ274" s="1" t="s">
        <v>275</v>
      </c>
      <c r="AK274" s="1">
        <v>7</v>
      </c>
      <c r="AL274" s="19">
        <v>0.35</v>
      </c>
      <c r="AN274" s="109" t="str">
        <f t="shared" si="32"/>
        <v>Janie &amp; JackUSARetailJJ 3RD PARTY</v>
      </c>
      <c r="AO274" s="1" t="s">
        <v>30</v>
      </c>
      <c r="AP274" s="1" t="s">
        <v>5</v>
      </c>
      <c r="AQ274" s="1" t="s">
        <v>274</v>
      </c>
      <c r="AR274" s="1">
        <v>2017</v>
      </c>
      <c r="AS274" s="1" t="s">
        <v>33</v>
      </c>
      <c r="AT274" s="123" t="s">
        <v>270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29"/>
        <v/>
      </c>
      <c r="R275" s="27" t="str">
        <f t="shared" si="30"/>
        <v/>
      </c>
      <c r="S275" s="1"/>
      <c r="T275" s="1"/>
      <c r="U275" s="1"/>
      <c r="V275" s="1"/>
      <c r="W275" s="19"/>
      <c r="X275" s="22"/>
      <c r="Y275" s="22"/>
      <c r="AG275" s="27" t="str">
        <f t="shared" si="31"/>
        <v>GymboreeRetailCanada8</v>
      </c>
      <c r="AH275" s="1" t="s">
        <v>13</v>
      </c>
      <c r="AI275" s="1" t="s">
        <v>5</v>
      </c>
      <c r="AJ275" s="1" t="s">
        <v>275</v>
      </c>
      <c r="AK275" s="1">
        <v>8</v>
      </c>
      <c r="AL275" s="19">
        <v>0.4</v>
      </c>
      <c r="AN275" s="109" t="str">
        <f t="shared" si="32"/>
        <v>Janie &amp; JackUSARetailJJ 17 SB2</v>
      </c>
      <c r="AO275" s="1" t="s">
        <v>30</v>
      </c>
      <c r="AP275" s="1" t="s">
        <v>5</v>
      </c>
      <c r="AQ275" s="1" t="s">
        <v>274</v>
      </c>
      <c r="AR275" s="1">
        <v>2017</v>
      </c>
      <c r="AS275" s="1" t="s">
        <v>33</v>
      </c>
      <c r="AT275" s="123" t="s">
        <v>163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29"/>
        <v/>
      </c>
      <c r="R276" s="27" t="str">
        <f t="shared" si="30"/>
        <v/>
      </c>
      <c r="S276" s="1"/>
      <c r="T276" s="1"/>
      <c r="U276" s="1"/>
      <c r="V276" s="1"/>
      <c r="W276" s="19"/>
      <c r="X276" s="22"/>
      <c r="Y276" s="22"/>
      <c r="AG276" s="27" t="str">
        <f t="shared" si="31"/>
        <v>GymboreeRetailCanada9</v>
      </c>
      <c r="AH276" s="1" t="s">
        <v>13</v>
      </c>
      <c r="AI276" s="1" t="s">
        <v>5</v>
      </c>
      <c r="AJ276" s="1" t="s">
        <v>275</v>
      </c>
      <c r="AK276" s="1">
        <v>9</v>
      </c>
      <c r="AL276" s="19">
        <v>0.4</v>
      </c>
      <c r="AN276" s="109" t="str">
        <f t="shared" si="32"/>
        <v>Janie &amp; JackUSARetailJJ 17 FALL 0</v>
      </c>
      <c r="AO276" s="1" t="s">
        <v>30</v>
      </c>
      <c r="AP276" s="1" t="s">
        <v>5</v>
      </c>
      <c r="AQ276" s="1" t="s">
        <v>274</v>
      </c>
      <c r="AR276" s="1">
        <v>2017</v>
      </c>
      <c r="AS276" s="1" t="s">
        <v>31</v>
      </c>
      <c r="AT276" s="123" t="s">
        <v>145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29"/>
        <v/>
      </c>
      <c r="R277" s="27" t="str">
        <f t="shared" si="30"/>
        <v/>
      </c>
      <c r="S277" s="1"/>
      <c r="T277" s="1"/>
      <c r="U277" s="1"/>
      <c r="V277" s="1"/>
      <c r="W277" s="19"/>
      <c r="X277" s="22"/>
      <c r="Y277" s="22"/>
      <c r="AG277" s="27" t="str">
        <f t="shared" si="31"/>
        <v>GymboreeRetailCanada10</v>
      </c>
      <c r="AH277" s="1" t="s">
        <v>13</v>
      </c>
      <c r="AI277" s="1" t="s">
        <v>5</v>
      </c>
      <c r="AJ277" s="1" t="s">
        <v>275</v>
      </c>
      <c r="AK277" s="1">
        <v>10</v>
      </c>
      <c r="AL277" s="19">
        <v>0.4</v>
      </c>
      <c r="AN277" s="109" t="str">
        <f t="shared" si="32"/>
        <v>Janie &amp; JackUSARetail(new)</v>
      </c>
      <c r="AO277" s="1" t="s">
        <v>30</v>
      </c>
      <c r="AP277" s="1" t="s">
        <v>5</v>
      </c>
      <c r="AQ277" s="1" t="s">
        <v>274</v>
      </c>
      <c r="AR277" s="1">
        <v>2017</v>
      </c>
      <c r="AS277" s="1" t="s">
        <v>15</v>
      </c>
      <c r="AT277" s="123" t="s">
        <v>324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29"/>
        <v/>
      </c>
      <c r="R278" s="27" t="str">
        <f t="shared" si="30"/>
        <v/>
      </c>
      <c r="S278" s="1"/>
      <c r="T278" s="1"/>
      <c r="U278" s="1"/>
      <c r="V278" s="1"/>
      <c r="W278" s="19"/>
      <c r="X278" s="22"/>
      <c r="Y278" s="22"/>
      <c r="AG278" s="27" t="str">
        <f t="shared" si="31"/>
        <v>GymboreeRetailCanada11</v>
      </c>
      <c r="AH278" s="1" t="s">
        <v>13</v>
      </c>
      <c r="AI278" s="1" t="s">
        <v>5</v>
      </c>
      <c r="AJ278" s="1" t="s">
        <v>275</v>
      </c>
      <c r="AK278" s="1">
        <v>11</v>
      </c>
      <c r="AL278" s="19">
        <v>0.45</v>
      </c>
      <c r="AN278" s="109" t="str">
        <f t="shared" si="32"/>
        <v>Janie &amp; JackUSARetailJJ 17 DEC SWIM</v>
      </c>
      <c r="AO278" s="1" t="s">
        <v>30</v>
      </c>
      <c r="AP278" s="1" t="s">
        <v>5</v>
      </c>
      <c r="AQ278" s="1" t="s">
        <v>274</v>
      </c>
      <c r="AR278" s="1">
        <v>2017</v>
      </c>
      <c r="AS278" s="1" t="s">
        <v>15</v>
      </c>
      <c r="AT278" s="123" t="s">
        <v>148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29"/>
        <v/>
      </c>
      <c r="R279" s="27" t="str">
        <f t="shared" si="30"/>
        <v/>
      </c>
      <c r="S279" s="1"/>
      <c r="T279" s="1"/>
      <c r="U279" s="1"/>
      <c r="V279" s="1"/>
      <c r="W279" s="19"/>
      <c r="X279" s="22"/>
      <c r="Y279" s="22"/>
      <c r="AG279" s="27" t="str">
        <f t="shared" si="31"/>
        <v>GymboreeRetailCanada12</v>
      </c>
      <c r="AH279" s="1" t="s">
        <v>13</v>
      </c>
      <c r="AI279" s="1" t="s">
        <v>5</v>
      </c>
      <c r="AJ279" s="1" t="s">
        <v>275</v>
      </c>
      <c r="AK279" s="1">
        <v>12</v>
      </c>
      <c r="AL279" s="19">
        <v>0.45</v>
      </c>
      <c r="AN279" s="109" t="str">
        <f t="shared" si="32"/>
        <v>Janie &amp; JackUSARetailJJ 17 DEC VDAY</v>
      </c>
      <c r="AO279" s="1" t="s">
        <v>30</v>
      </c>
      <c r="AP279" s="1" t="s">
        <v>5</v>
      </c>
      <c r="AQ279" s="1" t="s">
        <v>274</v>
      </c>
      <c r="AR279" s="1">
        <v>2017</v>
      </c>
      <c r="AS279" s="1" t="s">
        <v>15</v>
      </c>
      <c r="AT279" s="123" t="s">
        <v>170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29"/>
        <v/>
      </c>
      <c r="R280" s="27" t="str">
        <f t="shared" si="30"/>
        <v/>
      </c>
      <c r="S280" s="1"/>
      <c r="T280" s="1"/>
      <c r="U280" s="1"/>
      <c r="V280" s="1"/>
      <c r="W280" s="19"/>
      <c r="X280" s="22"/>
      <c r="Y280" s="22"/>
      <c r="AG280" s="27" t="str">
        <f t="shared" si="31"/>
        <v>GymboreeRetailCanada13</v>
      </c>
      <c r="AH280" s="1" t="s">
        <v>13</v>
      </c>
      <c r="AI280" s="1" t="s">
        <v>5</v>
      </c>
      <c r="AJ280" s="1" t="s">
        <v>275</v>
      </c>
      <c r="AK280" s="1">
        <v>13</v>
      </c>
      <c r="AL280" s="19">
        <v>0.45</v>
      </c>
      <c r="AN280" s="109" t="str">
        <f t="shared" si="32"/>
        <v>Janie &amp; JackUSARetailJJ 17 DEC RESORT 2</v>
      </c>
      <c r="AO280" s="1" t="s">
        <v>30</v>
      </c>
      <c r="AP280" s="1" t="s">
        <v>5</v>
      </c>
      <c r="AQ280" s="1" t="s">
        <v>274</v>
      </c>
      <c r="AR280" s="1">
        <v>2017</v>
      </c>
      <c r="AS280" s="1" t="s">
        <v>15</v>
      </c>
      <c r="AT280" s="123" t="s">
        <v>172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29"/>
        <v/>
      </c>
      <c r="R281" s="27" t="str">
        <f t="shared" si="30"/>
        <v/>
      </c>
      <c r="S281" s="1"/>
      <c r="T281" s="1"/>
      <c r="U281" s="1"/>
      <c r="V281" s="1"/>
      <c r="W281" s="19"/>
      <c r="X281" s="22"/>
      <c r="Y281" s="22"/>
      <c r="AG281" s="27" t="str">
        <f t="shared" si="31"/>
        <v>GymboreeRetailCanada14</v>
      </c>
      <c r="AH281" s="1" t="s">
        <v>13</v>
      </c>
      <c r="AI281" s="1" t="s">
        <v>5</v>
      </c>
      <c r="AJ281" s="1" t="s">
        <v>275</v>
      </c>
      <c r="AK281" s="1">
        <v>14</v>
      </c>
      <c r="AL281" s="19">
        <v>0.5</v>
      </c>
      <c r="AN281" s="109" t="str">
        <f t="shared" si="32"/>
        <v>Janie &amp; JackUSARetailJJ 17 JAN SPRING TRANS</v>
      </c>
      <c r="AO281" s="1" t="s">
        <v>30</v>
      </c>
      <c r="AP281" s="1" t="s">
        <v>5</v>
      </c>
      <c r="AQ281" s="1" t="s">
        <v>274</v>
      </c>
      <c r="AR281" s="1">
        <v>2017</v>
      </c>
      <c r="AS281" s="1" t="s">
        <v>15</v>
      </c>
      <c r="AT281" s="123" t="s">
        <v>178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29"/>
        <v/>
      </c>
      <c r="R282" s="27" t="str">
        <f t="shared" si="30"/>
        <v/>
      </c>
      <c r="S282" s="1"/>
      <c r="T282" s="1"/>
      <c r="U282" s="1"/>
      <c r="V282" s="1"/>
      <c r="W282" s="19"/>
      <c r="X282" s="22"/>
      <c r="Y282" s="22"/>
      <c r="AG282" s="27" t="str">
        <f t="shared" si="31"/>
        <v>GymboreeRetailCanada15</v>
      </c>
      <c r="AH282" s="1" t="s">
        <v>13</v>
      </c>
      <c r="AI282" s="1" t="s">
        <v>5</v>
      </c>
      <c r="AJ282" s="1" t="s">
        <v>275</v>
      </c>
      <c r="AK282" s="1">
        <v>15</v>
      </c>
      <c r="AL282" s="19">
        <v>0.5</v>
      </c>
      <c r="AN282" s="109" t="str">
        <f t="shared" si="32"/>
        <v>Janie &amp; JackUSARetailJJ 17 SB1/YEARLY BASICS</v>
      </c>
      <c r="AO282" s="1" t="s">
        <v>30</v>
      </c>
      <c r="AP282" s="1" t="s">
        <v>5</v>
      </c>
      <c r="AQ282" s="1" t="s">
        <v>274</v>
      </c>
      <c r="AR282" s="1">
        <v>2017</v>
      </c>
      <c r="AS282" s="1" t="s">
        <v>15</v>
      </c>
      <c r="AT282" s="123" t="s">
        <v>150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29"/>
        <v/>
      </c>
      <c r="R283" s="27" t="str">
        <f t="shared" si="30"/>
        <v/>
      </c>
      <c r="S283" s="1"/>
      <c r="T283" s="1"/>
      <c r="U283" s="1"/>
      <c r="V283" s="1"/>
      <c r="W283" s="19"/>
      <c r="X283" s="22"/>
      <c r="Y283" s="22"/>
      <c r="AG283" s="27" t="str">
        <f t="shared" si="31"/>
        <v>GymboreeRetailCanada16</v>
      </c>
      <c r="AH283" s="1" t="s">
        <v>13</v>
      </c>
      <c r="AI283" s="1" t="s">
        <v>5</v>
      </c>
      <c r="AJ283" s="1" t="s">
        <v>275</v>
      </c>
      <c r="AK283" s="1">
        <v>16</v>
      </c>
      <c r="AL283" s="19">
        <v>0.5</v>
      </c>
      <c r="AN283" s="109" t="str">
        <f t="shared" si="32"/>
        <v>Janie &amp; JackUSARetailJJ 17 JAN SWIM 2</v>
      </c>
      <c r="AO283" s="1" t="s">
        <v>30</v>
      </c>
      <c r="AP283" s="1" t="s">
        <v>5</v>
      </c>
      <c r="AQ283" s="1" t="s">
        <v>274</v>
      </c>
      <c r="AR283" s="1">
        <v>2017</v>
      </c>
      <c r="AS283" s="1" t="s">
        <v>15</v>
      </c>
      <c r="AT283" s="123" t="s">
        <v>152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29"/>
        <v/>
      </c>
      <c r="R284" s="27" t="str">
        <f t="shared" si="30"/>
        <v/>
      </c>
      <c r="S284" s="1"/>
      <c r="T284" s="1"/>
      <c r="U284" s="1"/>
      <c r="V284" s="1"/>
      <c r="W284" s="19"/>
      <c r="X284" s="22"/>
      <c r="Y284" s="22"/>
      <c r="AG284" s="27" t="str">
        <f t="shared" si="31"/>
        <v>GymboreeRetailCanada17</v>
      </c>
      <c r="AH284" s="1" t="s">
        <v>13</v>
      </c>
      <c r="AI284" s="1" t="s">
        <v>5</v>
      </c>
      <c r="AJ284" s="1" t="s">
        <v>275</v>
      </c>
      <c r="AK284" s="1">
        <v>17</v>
      </c>
      <c r="AL284" s="19">
        <v>0.55000000000000004</v>
      </c>
      <c r="AN284" s="109" t="str">
        <f t="shared" si="32"/>
        <v>Janie &amp; JackUSARetailJJ 17 JAN SPR GIFTING LAYETTE</v>
      </c>
      <c r="AO284" s="1" t="s">
        <v>30</v>
      </c>
      <c r="AP284" s="1" t="s">
        <v>5</v>
      </c>
      <c r="AQ284" s="1" t="s">
        <v>274</v>
      </c>
      <c r="AR284" s="1">
        <v>2017</v>
      </c>
      <c r="AS284" s="1" t="s">
        <v>15</v>
      </c>
      <c r="AT284" s="123" t="s">
        <v>182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29"/>
        <v/>
      </c>
      <c r="R285" s="27" t="str">
        <f t="shared" si="30"/>
        <v/>
      </c>
      <c r="S285" s="1"/>
      <c r="T285" s="1"/>
      <c r="U285" s="1"/>
      <c r="V285" s="1"/>
      <c r="W285" s="19"/>
      <c r="X285" s="22"/>
      <c r="Y285" s="22"/>
      <c r="AG285" s="27" t="str">
        <f t="shared" si="31"/>
        <v>GymboreeRetailCanada18</v>
      </c>
      <c r="AH285" s="1" t="s">
        <v>13</v>
      </c>
      <c r="AI285" s="1" t="s">
        <v>5</v>
      </c>
      <c r="AJ285" s="1" t="s">
        <v>275</v>
      </c>
      <c r="AK285" s="1">
        <v>18</v>
      </c>
      <c r="AL285" s="19">
        <v>0.55000000000000004</v>
      </c>
      <c r="AN285" s="109" t="str">
        <f t="shared" si="32"/>
        <v>Janie &amp; JackUSARetailJJ 17 JAN SPRING 1</v>
      </c>
      <c r="AO285" s="1" t="s">
        <v>30</v>
      </c>
      <c r="AP285" s="1" t="s">
        <v>5</v>
      </c>
      <c r="AQ285" s="1" t="s">
        <v>274</v>
      </c>
      <c r="AR285" s="1">
        <v>2017</v>
      </c>
      <c r="AS285" s="1" t="s">
        <v>15</v>
      </c>
      <c r="AT285" s="123" t="s">
        <v>168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29"/>
        <v/>
      </c>
      <c r="R286" s="27" t="str">
        <f t="shared" si="30"/>
        <v/>
      </c>
      <c r="S286" s="1"/>
      <c r="T286" s="1"/>
      <c r="U286" s="1"/>
      <c r="V286" s="1"/>
      <c r="W286" s="19"/>
      <c r="X286" s="22"/>
      <c r="Y286" s="22"/>
      <c r="AG286" s="27" t="str">
        <f t="shared" si="31"/>
        <v>GymboreeRetailCanada19</v>
      </c>
      <c r="AH286" s="1" t="s">
        <v>13</v>
      </c>
      <c r="AI286" s="1" t="s">
        <v>5</v>
      </c>
      <c r="AJ286" s="1" t="s">
        <v>275</v>
      </c>
      <c r="AK286" s="1">
        <v>19</v>
      </c>
      <c r="AL286" s="19">
        <v>0.55000000000000004</v>
      </c>
      <c r="AN286" s="109" t="str">
        <f t="shared" si="32"/>
        <v>Janie &amp; JackUSARetailJJ 17 JAN SO SB1</v>
      </c>
      <c r="AO286" s="1" t="s">
        <v>30</v>
      </c>
      <c r="AP286" s="1" t="s">
        <v>5</v>
      </c>
      <c r="AQ286" s="1" t="s">
        <v>274</v>
      </c>
      <c r="AR286" s="1">
        <v>2017</v>
      </c>
      <c r="AS286" s="1" t="s">
        <v>15</v>
      </c>
      <c r="AT286" s="123" t="s">
        <v>154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29"/>
        <v/>
      </c>
      <c r="R287" s="27" t="str">
        <f t="shared" si="30"/>
        <v/>
      </c>
      <c r="S287" s="1"/>
      <c r="T287" s="1"/>
      <c r="U287" s="1"/>
      <c r="V287" s="1"/>
      <c r="W287" s="19"/>
      <c r="X287" s="22"/>
      <c r="Y287" s="22"/>
      <c r="AG287" s="27" t="str">
        <f t="shared" si="31"/>
        <v>GymboreeRetailCanada20</v>
      </c>
      <c r="AH287" s="1" t="s">
        <v>13</v>
      </c>
      <c r="AI287" s="1" t="s">
        <v>5</v>
      </c>
      <c r="AJ287" s="1" t="s">
        <v>275</v>
      </c>
      <c r="AK287" s="1">
        <v>20</v>
      </c>
      <c r="AL287" s="19">
        <v>0.6</v>
      </c>
      <c r="AN287" s="109" t="str">
        <f t="shared" si="32"/>
        <v>Janie &amp; JackUSARetailJJ 17 FEB EASTER 1</v>
      </c>
      <c r="AO287" s="1" t="s">
        <v>30</v>
      </c>
      <c r="AP287" s="1" t="s">
        <v>5</v>
      </c>
      <c r="AQ287" s="1" t="s">
        <v>274</v>
      </c>
      <c r="AR287" s="1">
        <v>2017</v>
      </c>
      <c r="AS287" s="1" t="s">
        <v>15</v>
      </c>
      <c r="AT287" s="123" t="s">
        <v>174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29"/>
        <v/>
      </c>
      <c r="R288" s="27" t="str">
        <f t="shared" si="30"/>
        <v/>
      </c>
      <c r="S288" s="1"/>
      <c r="T288" s="1"/>
      <c r="U288" s="1"/>
      <c r="V288" s="1"/>
      <c r="W288" s="19"/>
      <c r="X288" s="22"/>
      <c r="Y288" s="22"/>
      <c r="AG288" s="27" t="str">
        <f t="shared" si="31"/>
        <v>GymboreeRetailCanada21</v>
      </c>
      <c r="AH288" s="1" t="s">
        <v>13</v>
      </c>
      <c r="AI288" s="1" t="s">
        <v>5</v>
      </c>
      <c r="AJ288" s="1" t="s">
        <v>275</v>
      </c>
      <c r="AK288" s="1">
        <v>21</v>
      </c>
      <c r="AL288" s="19">
        <v>0.6</v>
      </c>
      <c r="AN288" s="109" t="str">
        <f t="shared" si="32"/>
        <v>Janie &amp; JackUSARetailJJ 17 FEB EASTER GIFT LAY</v>
      </c>
      <c r="AO288" s="1" t="s">
        <v>30</v>
      </c>
      <c r="AP288" s="1" t="s">
        <v>5</v>
      </c>
      <c r="AQ288" s="1" t="s">
        <v>274</v>
      </c>
      <c r="AR288" s="1">
        <v>2017</v>
      </c>
      <c r="AS288" s="1" t="s">
        <v>15</v>
      </c>
      <c r="AT288" s="123" t="s">
        <v>176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29"/>
        <v/>
      </c>
      <c r="R289" s="27" t="str">
        <f t="shared" si="30"/>
        <v/>
      </c>
      <c r="S289" s="1"/>
      <c r="T289" s="1"/>
      <c r="U289" s="1"/>
      <c r="V289" s="1"/>
      <c r="W289" s="19"/>
      <c r="X289" s="22"/>
      <c r="Y289" s="22"/>
      <c r="AG289" s="27" t="str">
        <f t="shared" si="31"/>
        <v>GymboreeRetailCanada22</v>
      </c>
      <c r="AH289" s="1" t="s">
        <v>13</v>
      </c>
      <c r="AI289" s="1" t="s">
        <v>5</v>
      </c>
      <c r="AJ289" s="1" t="s">
        <v>275</v>
      </c>
      <c r="AK289" s="1">
        <v>22</v>
      </c>
      <c r="AL289" s="19">
        <v>0.6</v>
      </c>
      <c r="AN289" s="109" t="str">
        <f t="shared" si="32"/>
        <v>Janie &amp; JackUSARetailJJ 17 MAR EASTER 2 A+B</v>
      </c>
      <c r="AO289" s="1" t="s">
        <v>30</v>
      </c>
      <c r="AP289" s="1" t="s">
        <v>5</v>
      </c>
      <c r="AQ289" s="1" t="s">
        <v>274</v>
      </c>
      <c r="AR289" s="1">
        <v>2017</v>
      </c>
      <c r="AS289" s="1" t="s">
        <v>15</v>
      </c>
      <c r="AT289" s="123" t="s">
        <v>180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29"/>
        <v/>
      </c>
      <c r="R290" s="27" t="str">
        <f t="shared" si="30"/>
        <v/>
      </c>
      <c r="S290" s="1"/>
      <c r="T290" s="1"/>
      <c r="U290" s="1"/>
      <c r="V290" s="1"/>
      <c r="W290" s="19"/>
      <c r="X290" s="22"/>
      <c r="Y290" s="22"/>
      <c r="AG290" s="27" t="str">
        <f t="shared" si="31"/>
        <v>GymboreeRetailCanada23</v>
      </c>
      <c r="AH290" s="1" t="s">
        <v>13</v>
      </c>
      <c r="AI290" s="1" t="s">
        <v>5</v>
      </c>
      <c r="AJ290" s="1" t="s">
        <v>275</v>
      </c>
      <c r="AK290" s="1">
        <v>23</v>
      </c>
      <c r="AL290" s="19">
        <v>0.65</v>
      </c>
      <c r="AN290" s="109" t="str">
        <f t="shared" si="32"/>
        <v>Janie &amp; JackUSARetailJJ 17 SPR SO REFRESH</v>
      </c>
      <c r="AO290" s="1" t="s">
        <v>30</v>
      </c>
      <c r="AP290" s="1" t="s">
        <v>5</v>
      </c>
      <c r="AQ290" s="1" t="s">
        <v>274</v>
      </c>
      <c r="AR290" s="1">
        <v>2017</v>
      </c>
      <c r="AS290" s="1" t="s">
        <v>15</v>
      </c>
      <c r="AT290" s="123" t="s">
        <v>156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29"/>
        <v/>
      </c>
      <c r="R291" s="27" t="str">
        <f t="shared" si="30"/>
        <v/>
      </c>
      <c r="S291" s="1"/>
      <c r="T291" s="1"/>
      <c r="U291" s="1"/>
      <c r="V291" s="1"/>
      <c r="W291" s="19"/>
      <c r="X291" s="22"/>
      <c r="Y291" s="22"/>
      <c r="AG291" s="27" t="str">
        <f t="shared" si="31"/>
        <v>GymboreeRetailCanada24</v>
      </c>
      <c r="AH291" s="1" t="s">
        <v>13</v>
      </c>
      <c r="AI291" s="1" t="s">
        <v>5</v>
      </c>
      <c r="AJ291" s="1" t="s">
        <v>275</v>
      </c>
      <c r="AK291" s="1">
        <v>24</v>
      </c>
      <c r="AL291" s="19">
        <v>0.65</v>
      </c>
      <c r="AN291" s="109" t="str">
        <f t="shared" si="32"/>
        <v>Janie &amp; JackUSARetailJJ 17 FEB SPR 2</v>
      </c>
      <c r="AO291" s="1" t="s">
        <v>30</v>
      </c>
      <c r="AP291" s="1" t="s">
        <v>5</v>
      </c>
      <c r="AQ291" s="1" t="s">
        <v>274</v>
      </c>
      <c r="AR291" s="1">
        <v>2017</v>
      </c>
      <c r="AS291" s="1" t="s">
        <v>15</v>
      </c>
      <c r="AT291" s="123" t="s">
        <v>184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29"/>
        <v/>
      </c>
      <c r="R292" s="27" t="str">
        <f t="shared" si="30"/>
        <v/>
      </c>
      <c r="S292" s="1"/>
      <c r="T292" s="1"/>
      <c r="U292" s="1"/>
      <c r="V292" s="1"/>
      <c r="W292" s="19"/>
      <c r="X292" s="22"/>
      <c r="Y292" s="22"/>
      <c r="AG292" s="27" t="str">
        <f t="shared" si="31"/>
        <v>GymboreeRetailCanada25</v>
      </c>
      <c r="AH292" s="1" t="s">
        <v>13</v>
      </c>
      <c r="AI292" s="1" t="s">
        <v>5</v>
      </c>
      <c r="AJ292" s="1" t="s">
        <v>275</v>
      </c>
      <c r="AK292" s="1">
        <v>25</v>
      </c>
      <c r="AL292" s="19">
        <v>0.65</v>
      </c>
      <c r="AN292" s="109" t="str">
        <f t="shared" si="32"/>
        <v>Janie &amp; JackUSARetailJJ 17 APR LAY SWIM</v>
      </c>
      <c r="AO292" s="1" t="s">
        <v>30</v>
      </c>
      <c r="AP292" s="1" t="s">
        <v>5</v>
      </c>
      <c r="AQ292" s="1" t="s">
        <v>274</v>
      </c>
      <c r="AR292" s="1">
        <v>2017</v>
      </c>
      <c r="AS292" s="1" t="s">
        <v>15</v>
      </c>
      <c r="AT292" s="123" t="s">
        <v>161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29"/>
        <v/>
      </c>
      <c r="R293" s="27" t="str">
        <f t="shared" si="30"/>
        <v/>
      </c>
      <c r="S293" s="29"/>
      <c r="T293" s="29"/>
      <c r="U293" s="29"/>
      <c r="V293" s="29"/>
      <c r="W293" s="26"/>
      <c r="X293" s="22"/>
      <c r="Y293" s="22"/>
      <c r="AG293" s="27" t="str">
        <f t="shared" si="31"/>
        <v>GymboreeRetailCanada26</v>
      </c>
      <c r="AH293" s="1" t="s">
        <v>13</v>
      </c>
      <c r="AI293" s="1" t="s">
        <v>5</v>
      </c>
      <c r="AJ293" s="1" t="s">
        <v>275</v>
      </c>
      <c r="AK293" s="1">
        <v>26</v>
      </c>
      <c r="AL293" s="19">
        <v>0.7</v>
      </c>
      <c r="AN293" s="109" t="str">
        <f t="shared" si="32"/>
        <v>Janie &amp; JackUSARetail(new)</v>
      </c>
      <c r="AO293" s="1" t="s">
        <v>30</v>
      </c>
      <c r="AP293" s="1" t="s">
        <v>5</v>
      </c>
      <c r="AQ293" s="1" t="s">
        <v>274</v>
      </c>
      <c r="AR293" s="1">
        <v>2017</v>
      </c>
      <c r="AS293" s="1" t="s">
        <v>15</v>
      </c>
      <c r="AT293" s="123" t="s">
        <v>324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29"/>
        <v/>
      </c>
      <c r="R294" s="27" t="str">
        <f t="shared" si="30"/>
        <v/>
      </c>
      <c r="X294" s="22"/>
      <c r="Y294" s="22"/>
      <c r="AG294" s="27" t="str">
        <f t="shared" si="31"/>
        <v>GymboreeRetailCanada27</v>
      </c>
      <c r="AH294" s="1" t="s">
        <v>13</v>
      </c>
      <c r="AI294" s="1" t="s">
        <v>5</v>
      </c>
      <c r="AJ294" s="1" t="s">
        <v>275</v>
      </c>
      <c r="AK294" s="1">
        <v>27</v>
      </c>
      <c r="AL294" s="19">
        <v>0.7</v>
      </c>
      <c r="AN294" s="109" t="str">
        <f t="shared" si="32"/>
        <v>Janie &amp; JackUSARetailJJ 17 MAR SUMMER 0</v>
      </c>
      <c r="AO294" s="1" t="s">
        <v>30</v>
      </c>
      <c r="AP294" s="1" t="s">
        <v>5</v>
      </c>
      <c r="AQ294" s="1" t="s">
        <v>274</v>
      </c>
      <c r="AR294" s="1">
        <v>2017</v>
      </c>
      <c r="AS294" s="1" t="s">
        <v>17</v>
      </c>
      <c r="AT294" s="123" t="s">
        <v>188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Y295" s="22"/>
      <c r="AG295" s="27" t="str">
        <f t="shared" si="31"/>
        <v>GymboreeRetailCanada28</v>
      </c>
      <c r="AH295" s="1" t="s">
        <v>13</v>
      </c>
      <c r="AI295" s="1" t="s">
        <v>5</v>
      </c>
      <c r="AJ295" s="1" t="s">
        <v>275</v>
      </c>
      <c r="AK295" s="1">
        <v>28</v>
      </c>
      <c r="AL295" s="19">
        <v>0.7</v>
      </c>
      <c r="AN295" s="109" t="str">
        <f t="shared" si="32"/>
        <v>Janie &amp; JackUSARetailJJ 17 APR SMR 1 A+B</v>
      </c>
      <c r="AO295" s="1" t="s">
        <v>30</v>
      </c>
      <c r="AP295" s="1" t="s">
        <v>5</v>
      </c>
      <c r="AQ295" s="1" t="s">
        <v>274</v>
      </c>
      <c r="AR295" s="1">
        <v>2017</v>
      </c>
      <c r="AS295" s="1" t="s">
        <v>17</v>
      </c>
      <c r="AT295" s="123" t="s">
        <v>190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Y296" s="22"/>
      <c r="AG296" s="27" t="str">
        <f t="shared" si="31"/>
        <v>GymboreeRetailCanada29</v>
      </c>
      <c r="AH296" s="1" t="s">
        <v>13</v>
      </c>
      <c r="AI296" s="1" t="s">
        <v>5</v>
      </c>
      <c r="AJ296" s="1" t="s">
        <v>275</v>
      </c>
      <c r="AK296" s="1">
        <v>29</v>
      </c>
      <c r="AL296" s="19">
        <v>0.75</v>
      </c>
      <c r="AN296" s="109" t="str">
        <f t="shared" si="32"/>
        <v>Janie &amp; JackUSARetailJJ 17 SMR BASICS</v>
      </c>
      <c r="AO296" s="1" t="s">
        <v>30</v>
      </c>
      <c r="AP296" s="1" t="s">
        <v>5</v>
      </c>
      <c r="AQ296" s="1" t="s">
        <v>274</v>
      </c>
      <c r="AR296" s="1">
        <v>2017</v>
      </c>
      <c r="AS296" s="1" t="s">
        <v>17</v>
      </c>
      <c r="AT296" s="123" t="s">
        <v>158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Y297" s="22"/>
      <c r="AG297" s="27" t="str">
        <f t="shared" si="31"/>
        <v>GymboreeRetailCanada30</v>
      </c>
      <c r="AH297" s="1" t="s">
        <v>13</v>
      </c>
      <c r="AI297" s="1" t="s">
        <v>5</v>
      </c>
      <c r="AJ297" s="1" t="s">
        <v>275</v>
      </c>
      <c r="AK297" s="1">
        <v>30</v>
      </c>
      <c r="AL297" s="19">
        <v>0.75</v>
      </c>
      <c r="AN297" s="109" t="str">
        <f t="shared" si="32"/>
        <v>Janie &amp; JackUSARetail(new)</v>
      </c>
      <c r="AO297" s="1" t="s">
        <v>30</v>
      </c>
      <c r="AP297" s="1" t="s">
        <v>5</v>
      </c>
      <c r="AQ297" s="1" t="s">
        <v>274</v>
      </c>
      <c r="AR297" s="1">
        <v>2017</v>
      </c>
      <c r="AS297" s="1" t="s">
        <v>17</v>
      </c>
      <c r="AT297" s="123" t="s">
        <v>324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Y298" s="22"/>
      <c r="AG298" s="27" t="str">
        <f t="shared" si="31"/>
        <v>GymboreeRetailCanada31</v>
      </c>
      <c r="AH298" s="1" t="s">
        <v>13</v>
      </c>
      <c r="AI298" s="1" t="s">
        <v>5</v>
      </c>
      <c r="AJ298" s="1" t="s">
        <v>275</v>
      </c>
      <c r="AK298" s="1">
        <v>31</v>
      </c>
      <c r="AL298" s="19">
        <v>0.75</v>
      </c>
      <c r="AN298" s="109" t="str">
        <f t="shared" si="32"/>
        <v>Janie &amp; JackUSARetailJJ 17 SUMMER 2</v>
      </c>
      <c r="AO298" s="1" t="s">
        <v>30</v>
      </c>
      <c r="AP298" s="1" t="s">
        <v>5</v>
      </c>
      <c r="AQ298" s="1" t="s">
        <v>274</v>
      </c>
      <c r="AR298" s="1">
        <v>2017</v>
      </c>
      <c r="AS298" s="1" t="s">
        <v>17</v>
      </c>
      <c r="AT298" s="123" t="s">
        <v>192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31"/>
        <v>GymboreeRetailCanada32</v>
      </c>
      <c r="AH299" s="1" t="s">
        <v>13</v>
      </c>
      <c r="AI299" s="1" t="s">
        <v>5</v>
      </c>
      <c r="AJ299" s="1" t="s">
        <v>275</v>
      </c>
      <c r="AK299" s="1">
        <v>32</v>
      </c>
      <c r="AL299" s="19">
        <v>0.75</v>
      </c>
      <c r="AN299" s="109" t="str">
        <f t="shared" si="32"/>
        <v>Janie &amp; JackUSARetailJJ 17 4TH OF JULY</v>
      </c>
      <c r="AO299" s="1" t="s">
        <v>30</v>
      </c>
      <c r="AP299" s="1" t="s">
        <v>5</v>
      </c>
      <c r="AQ299" s="1" t="s">
        <v>274</v>
      </c>
      <c r="AR299" s="1">
        <v>2017</v>
      </c>
      <c r="AS299" s="1" t="s">
        <v>17</v>
      </c>
      <c r="AT299" s="123" t="s">
        <v>194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31"/>
        <v>GymboreeRetailCanada33</v>
      </c>
      <c r="AH300" s="1" t="s">
        <v>13</v>
      </c>
      <c r="AI300" s="1" t="s">
        <v>5</v>
      </c>
      <c r="AJ300" s="1" t="s">
        <v>275</v>
      </c>
      <c r="AK300" s="1">
        <v>33</v>
      </c>
      <c r="AL300" s="19">
        <v>0.8</v>
      </c>
      <c r="AN300" s="109" t="str">
        <f t="shared" si="32"/>
        <v>Janie &amp; JackUSARetailJJ 17 TRANS GIFTING LAY</v>
      </c>
      <c r="AO300" s="1" t="s">
        <v>30</v>
      </c>
      <c r="AP300" s="1" t="s">
        <v>5</v>
      </c>
      <c r="AQ300" s="1" t="s">
        <v>274</v>
      </c>
      <c r="AR300" s="1">
        <v>2017</v>
      </c>
      <c r="AS300" s="1" t="s">
        <v>17</v>
      </c>
      <c r="AT300" s="123" t="s">
        <v>203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31"/>
        <v>GymboreeRetailCanada34</v>
      </c>
      <c r="AH301" s="1" t="s">
        <v>13</v>
      </c>
      <c r="AI301" s="1" t="s">
        <v>5</v>
      </c>
      <c r="AJ301" s="1" t="s">
        <v>275</v>
      </c>
      <c r="AK301" s="1">
        <v>34</v>
      </c>
      <c r="AL301" s="19">
        <v>0.8</v>
      </c>
      <c r="AN301" s="109" t="str">
        <f t="shared" si="32"/>
        <v>Janie &amp; JackUSARetailJJ 17 SUMMER 3</v>
      </c>
      <c r="AO301" s="1" t="s">
        <v>30</v>
      </c>
      <c r="AP301" s="1" t="s">
        <v>5</v>
      </c>
      <c r="AQ301" s="1" t="s">
        <v>274</v>
      </c>
      <c r="AR301" s="1">
        <v>2017</v>
      </c>
      <c r="AS301" s="1" t="s">
        <v>17</v>
      </c>
      <c r="AT301" s="123" t="s">
        <v>196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31"/>
        <v>GymboreeRetailCanada35</v>
      </c>
      <c r="AH302" s="1" t="s">
        <v>13</v>
      </c>
      <c r="AI302" s="1" t="s">
        <v>5</v>
      </c>
      <c r="AJ302" s="1" t="s">
        <v>275</v>
      </c>
      <c r="AK302" s="1">
        <v>35</v>
      </c>
      <c r="AL302" s="19">
        <v>0.8</v>
      </c>
      <c r="AN302" s="109" t="str">
        <f t="shared" si="32"/>
        <v>Janie &amp; JackUSARetail(new)</v>
      </c>
      <c r="AO302" s="1" t="s">
        <v>30</v>
      </c>
      <c r="AP302" s="1" t="s">
        <v>5</v>
      </c>
      <c r="AQ302" s="1" t="s">
        <v>274</v>
      </c>
      <c r="AR302" s="1">
        <v>2017</v>
      </c>
      <c r="AS302" s="1" t="s">
        <v>17</v>
      </c>
      <c r="AT302" s="123" t="s">
        <v>324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31"/>
        <v>GymboreeRetailCanada36</v>
      </c>
      <c r="AH303" s="1" t="s">
        <v>13</v>
      </c>
      <c r="AI303" s="1" t="s">
        <v>5</v>
      </c>
      <c r="AJ303" s="1" t="s">
        <v>275</v>
      </c>
      <c r="AK303" s="1">
        <v>36</v>
      </c>
      <c r="AL303" s="19">
        <v>0.8</v>
      </c>
      <c r="AN303" s="109" t="str">
        <f t="shared" si="32"/>
        <v>Janie &amp; JackUSARetailJJ 17 SUMMER 4</v>
      </c>
      <c r="AO303" s="1" t="s">
        <v>30</v>
      </c>
      <c r="AP303" s="1" t="s">
        <v>5</v>
      </c>
      <c r="AQ303" s="1" t="s">
        <v>274</v>
      </c>
      <c r="AR303" s="1">
        <v>2017</v>
      </c>
      <c r="AS303" s="1" t="s">
        <v>17</v>
      </c>
      <c r="AT303" s="123" t="s">
        <v>198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31"/>
        <v>GymboreeRetailCanada37</v>
      </c>
      <c r="AH304" s="1" t="s">
        <v>13</v>
      </c>
      <c r="AI304" s="1" t="s">
        <v>5</v>
      </c>
      <c r="AJ304" s="1" t="s">
        <v>275</v>
      </c>
      <c r="AK304" s="1">
        <v>37</v>
      </c>
      <c r="AL304" s="19">
        <v>0.8</v>
      </c>
      <c r="AN304" s="109" t="str">
        <f t="shared" si="32"/>
        <v>Janie &amp; JackUSARetailJJ 17 JULY TRANS 1</v>
      </c>
      <c r="AO304" s="1" t="s">
        <v>30</v>
      </c>
      <c r="AP304" s="1" t="s">
        <v>5</v>
      </c>
      <c r="AQ304" s="1" t="s">
        <v>274</v>
      </c>
      <c r="AR304" s="1">
        <v>2017</v>
      </c>
      <c r="AS304" s="1" t="s">
        <v>17</v>
      </c>
      <c r="AT304" s="123" t="s">
        <v>200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31"/>
        <v>GymboreeRetailCanada38</v>
      </c>
      <c r="AH305" s="1" t="s">
        <v>13</v>
      </c>
      <c r="AI305" s="1" t="s">
        <v>5</v>
      </c>
      <c r="AJ305" s="1" t="s">
        <v>275</v>
      </c>
      <c r="AK305" s="1">
        <v>38</v>
      </c>
      <c r="AL305" s="19">
        <v>0.8</v>
      </c>
      <c r="AN305" s="109" t="str">
        <f t="shared" si="32"/>
        <v>Janie &amp; JackUSARetailJJ 17 TRANS 2</v>
      </c>
      <c r="AO305" s="1" t="s">
        <v>30</v>
      </c>
      <c r="AP305" s="1" t="s">
        <v>5</v>
      </c>
      <c r="AQ305" s="1" t="s">
        <v>274</v>
      </c>
      <c r="AR305" s="1">
        <v>2017</v>
      </c>
      <c r="AS305" s="1" t="s">
        <v>17</v>
      </c>
      <c r="AT305" s="123" t="s">
        <v>141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31"/>
        <v>GymboreeRetailCanada39</v>
      </c>
      <c r="AH306" s="1" t="s">
        <v>13</v>
      </c>
      <c r="AI306" s="1" t="s">
        <v>5</v>
      </c>
      <c r="AJ306" s="1" t="s">
        <v>275</v>
      </c>
      <c r="AK306" s="1">
        <v>39</v>
      </c>
      <c r="AL306" s="19">
        <v>0.8</v>
      </c>
      <c r="AN306" s="109" t="str">
        <f t="shared" si="32"/>
        <v>Janie &amp; JackUSARetail(new)</v>
      </c>
      <c r="AO306" s="1" t="s">
        <v>30</v>
      </c>
      <c r="AP306" s="1" t="s">
        <v>5</v>
      </c>
      <c r="AQ306" s="1" t="s">
        <v>274</v>
      </c>
      <c r="AR306" s="1">
        <v>2017</v>
      </c>
      <c r="AS306" s="1" t="s">
        <v>17</v>
      </c>
      <c r="AT306" s="123" t="s">
        <v>324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AG307" s="27" t="str">
        <f t="shared" si="31"/>
        <v>GymboreeRetailCanada40</v>
      </c>
      <c r="AH307" s="1" t="s">
        <v>13</v>
      </c>
      <c r="AI307" s="1" t="s">
        <v>5</v>
      </c>
      <c r="AJ307" s="1" t="s">
        <v>275</v>
      </c>
      <c r="AK307" s="1">
        <v>40</v>
      </c>
      <c r="AL307" s="19">
        <v>0.8</v>
      </c>
      <c r="AN307" s="109" t="str">
        <f t="shared" si="32"/>
        <v>Janie &amp; JackUSARetailJJ 17 SO SB2</v>
      </c>
      <c r="AO307" s="1" t="s">
        <v>30</v>
      </c>
      <c r="AP307" s="1" t="s">
        <v>5</v>
      </c>
      <c r="AQ307" s="1" t="s">
        <v>274</v>
      </c>
      <c r="AR307" s="1">
        <v>2017</v>
      </c>
      <c r="AS307" s="1" t="s">
        <v>17</v>
      </c>
      <c r="AT307" s="123" t="s">
        <v>165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AG308" s="27" t="str">
        <f t="shared" si="31"/>
        <v>GymboreeRetailCanada41</v>
      </c>
      <c r="AH308" s="1" t="s">
        <v>13</v>
      </c>
      <c r="AI308" s="1" t="s">
        <v>5</v>
      </c>
      <c r="AJ308" s="1" t="s">
        <v>275</v>
      </c>
      <c r="AK308" s="1">
        <v>41</v>
      </c>
      <c r="AL308" s="19">
        <v>0.8</v>
      </c>
      <c r="AN308" s="109" t="str">
        <f t="shared" si="32"/>
        <v>Janie &amp; JackUSARetailJJ 17 JULY TRANS 3 GIRL ONLY</v>
      </c>
      <c r="AO308" s="1" t="s">
        <v>30</v>
      </c>
      <c r="AP308" s="1" t="s">
        <v>5</v>
      </c>
      <c r="AQ308" s="1" t="s">
        <v>274</v>
      </c>
      <c r="AR308" s="1">
        <v>2017</v>
      </c>
      <c r="AS308" s="1" t="s">
        <v>17</v>
      </c>
      <c r="AT308" s="123" t="s">
        <v>143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AG309" s="27" t="str">
        <f t="shared" si="31"/>
        <v>GymboreeRetailCanada42</v>
      </c>
      <c r="AH309" s="1" t="s">
        <v>13</v>
      </c>
      <c r="AI309" s="1" t="s">
        <v>5</v>
      </c>
      <c r="AJ309" s="1" t="s">
        <v>275</v>
      </c>
      <c r="AK309" s="1">
        <v>42</v>
      </c>
      <c r="AL309" s="19">
        <v>0.8</v>
      </c>
      <c r="AN309" s="109" t="str">
        <f t="shared" si="32"/>
        <v>Janie &amp; JackUSARetail(new)</v>
      </c>
      <c r="AO309" s="1" t="s">
        <v>30</v>
      </c>
      <c r="AP309" s="1" t="s">
        <v>5</v>
      </c>
      <c r="AQ309" s="1" t="s">
        <v>274</v>
      </c>
      <c r="AR309" s="1">
        <v>2017</v>
      </c>
      <c r="AS309" s="1" t="s">
        <v>17</v>
      </c>
      <c r="AT309" s="123" t="s">
        <v>324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AG310" s="27" t="str">
        <f t="shared" si="31"/>
        <v>GymboreeRetailCanada43</v>
      </c>
      <c r="AH310" s="1" t="s">
        <v>13</v>
      </c>
      <c r="AI310" s="1" t="s">
        <v>5</v>
      </c>
      <c r="AJ310" s="1" t="s">
        <v>275</v>
      </c>
      <c r="AK310" s="1">
        <v>43</v>
      </c>
      <c r="AL310" s="19">
        <v>0.8</v>
      </c>
      <c r="AN310" s="109" t="str">
        <f t="shared" si="32"/>
        <v>Janie &amp; JackUSARetailJJ 17 FALL GIFTING LAY</v>
      </c>
      <c r="AO310" s="1" t="s">
        <v>30</v>
      </c>
      <c r="AP310" s="1" t="s">
        <v>5</v>
      </c>
      <c r="AQ310" s="1" t="s">
        <v>274</v>
      </c>
      <c r="AR310" s="1">
        <v>2017</v>
      </c>
      <c r="AS310" s="1" t="s">
        <v>17</v>
      </c>
      <c r="AT310" s="123" t="s">
        <v>308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31"/>
        <v>GymboreeRetailCanada44</v>
      </c>
      <c r="AH311" s="1" t="s">
        <v>13</v>
      </c>
      <c r="AI311" s="1" t="s">
        <v>5</v>
      </c>
      <c r="AJ311" s="1" t="s">
        <v>275</v>
      </c>
      <c r="AK311" s="1">
        <v>44</v>
      </c>
      <c r="AL311" s="19">
        <v>0.8</v>
      </c>
      <c r="AN311" s="109" t="str">
        <f t="shared" si="32"/>
        <v>Janie &amp; JackUSAWebJJ 3RD PARTY</v>
      </c>
      <c r="AO311" s="1" t="s">
        <v>30</v>
      </c>
      <c r="AP311" s="1" t="s">
        <v>14</v>
      </c>
      <c r="AQ311" s="1" t="s">
        <v>274</v>
      </c>
      <c r="AR311" s="1">
        <v>2017</v>
      </c>
      <c r="AS311" s="1" t="s">
        <v>33</v>
      </c>
      <c r="AT311" s="123" t="s">
        <v>270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31"/>
        <v>GymboreeRetailCanada45</v>
      </c>
      <c r="AH312" s="1" t="s">
        <v>13</v>
      </c>
      <c r="AI312" s="1" t="s">
        <v>5</v>
      </c>
      <c r="AJ312" s="1" t="s">
        <v>275</v>
      </c>
      <c r="AK312" s="1">
        <v>45</v>
      </c>
      <c r="AL312" s="19">
        <v>0.8</v>
      </c>
      <c r="AN312" s="109" t="str">
        <f t="shared" si="32"/>
        <v>Janie &amp; JackUSAWebJJ 17 SB2</v>
      </c>
      <c r="AO312" s="1" t="s">
        <v>30</v>
      </c>
      <c r="AP312" s="1" t="s">
        <v>14</v>
      </c>
      <c r="AQ312" s="1" t="s">
        <v>274</v>
      </c>
      <c r="AR312" s="1">
        <v>2017</v>
      </c>
      <c r="AS312" s="1" t="s">
        <v>33</v>
      </c>
      <c r="AT312" s="123" t="s">
        <v>163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31"/>
        <v>GymboreeRetailCanada46</v>
      </c>
      <c r="AH313" s="1" t="s">
        <v>13</v>
      </c>
      <c r="AI313" s="1" t="s">
        <v>5</v>
      </c>
      <c r="AJ313" s="1" t="s">
        <v>275</v>
      </c>
      <c r="AK313" s="1">
        <v>46</v>
      </c>
      <c r="AL313" s="19">
        <v>0.8</v>
      </c>
      <c r="AN313" s="109" t="str">
        <f t="shared" si="32"/>
        <v>Janie &amp; JackUSAWebJJ 17 FALL 0</v>
      </c>
      <c r="AO313" s="1" t="s">
        <v>30</v>
      </c>
      <c r="AP313" s="1" t="s">
        <v>14</v>
      </c>
      <c r="AQ313" s="1" t="s">
        <v>274</v>
      </c>
      <c r="AR313" s="1">
        <v>2017</v>
      </c>
      <c r="AS313" s="1" t="s">
        <v>31</v>
      </c>
      <c r="AT313" s="123" t="s">
        <v>145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31"/>
        <v>GymboreeRetailCanada47</v>
      </c>
      <c r="AH314" s="1" t="s">
        <v>13</v>
      </c>
      <c r="AI314" s="1" t="s">
        <v>5</v>
      </c>
      <c r="AJ314" s="1" t="s">
        <v>275</v>
      </c>
      <c r="AK314" s="1">
        <v>47</v>
      </c>
      <c r="AL314" s="19">
        <v>0.8</v>
      </c>
      <c r="AN314" s="109" t="str">
        <f t="shared" si="32"/>
        <v>Janie &amp; JackUSAWeb(new)</v>
      </c>
      <c r="AO314" s="1" t="s">
        <v>30</v>
      </c>
      <c r="AP314" s="1" t="s">
        <v>14</v>
      </c>
      <c r="AQ314" s="1" t="s">
        <v>274</v>
      </c>
      <c r="AR314" s="1">
        <v>2017</v>
      </c>
      <c r="AS314" s="1" t="s">
        <v>15</v>
      </c>
      <c r="AT314" s="123" t="s">
        <v>324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31"/>
        <v>GymboreeRetailCanada48</v>
      </c>
      <c r="AH315" s="1" t="s">
        <v>13</v>
      </c>
      <c r="AI315" s="1" t="s">
        <v>5</v>
      </c>
      <c r="AJ315" s="1" t="s">
        <v>275</v>
      </c>
      <c r="AK315" s="1">
        <v>48</v>
      </c>
      <c r="AL315" s="19">
        <v>0.8</v>
      </c>
      <c r="AN315" s="109" t="str">
        <f t="shared" si="32"/>
        <v>Janie &amp; JackUSAWebJJ 17 DEC SWIM</v>
      </c>
      <c r="AO315" s="1" t="s">
        <v>30</v>
      </c>
      <c r="AP315" s="1" t="s">
        <v>14</v>
      </c>
      <c r="AQ315" s="1" t="s">
        <v>274</v>
      </c>
      <c r="AR315" s="1">
        <v>2017</v>
      </c>
      <c r="AS315" s="1" t="s">
        <v>15</v>
      </c>
      <c r="AT315" s="123" t="s">
        <v>148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31"/>
        <v>GymboreeRetailCanada49</v>
      </c>
      <c r="AH316" s="1" t="s">
        <v>13</v>
      </c>
      <c r="AI316" s="1" t="s">
        <v>5</v>
      </c>
      <c r="AJ316" s="1" t="s">
        <v>275</v>
      </c>
      <c r="AK316" s="1">
        <v>49</v>
      </c>
      <c r="AL316" s="19">
        <v>0.8</v>
      </c>
      <c r="AN316" s="109" t="str">
        <f t="shared" si="32"/>
        <v>Janie &amp; JackUSAWebJJ 17 DEC VDAY</v>
      </c>
      <c r="AO316" s="1" t="s">
        <v>30</v>
      </c>
      <c r="AP316" s="1" t="s">
        <v>14</v>
      </c>
      <c r="AQ316" s="1" t="s">
        <v>274</v>
      </c>
      <c r="AR316" s="1">
        <v>2017</v>
      </c>
      <c r="AS316" s="1" t="s">
        <v>15</v>
      </c>
      <c r="AT316" s="123" t="s">
        <v>170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31"/>
        <v>GymboreeRetailCanada50</v>
      </c>
      <c r="AH317" s="1" t="s">
        <v>13</v>
      </c>
      <c r="AI317" s="1" t="s">
        <v>5</v>
      </c>
      <c r="AJ317" s="1" t="s">
        <v>275</v>
      </c>
      <c r="AK317" s="1">
        <v>50</v>
      </c>
      <c r="AL317" s="19">
        <v>0.8</v>
      </c>
      <c r="AN317" s="109" t="str">
        <f t="shared" si="32"/>
        <v>Janie &amp; JackUSAWebJJ 17 DEC RESORT 2</v>
      </c>
      <c r="AO317" s="1" t="s">
        <v>30</v>
      </c>
      <c r="AP317" s="1" t="s">
        <v>14</v>
      </c>
      <c r="AQ317" s="1" t="s">
        <v>274</v>
      </c>
      <c r="AR317" s="1">
        <v>2017</v>
      </c>
      <c r="AS317" s="1" t="s">
        <v>15</v>
      </c>
      <c r="AT317" s="123" t="s">
        <v>172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31"/>
        <v>GymboreeRetailCanada51</v>
      </c>
      <c r="AH318" s="1" t="s">
        <v>13</v>
      </c>
      <c r="AI318" s="1" t="s">
        <v>5</v>
      </c>
      <c r="AJ318" s="1" t="s">
        <v>275</v>
      </c>
      <c r="AK318" s="1">
        <v>51</v>
      </c>
      <c r="AL318" s="19">
        <v>0.8</v>
      </c>
      <c r="AN318" s="109" t="str">
        <f t="shared" si="32"/>
        <v>Janie &amp; JackUSAWebJJ 17 JAN SPRING TRANS</v>
      </c>
      <c r="AO318" s="1" t="s">
        <v>30</v>
      </c>
      <c r="AP318" s="1" t="s">
        <v>14</v>
      </c>
      <c r="AQ318" s="1" t="s">
        <v>274</v>
      </c>
      <c r="AR318" s="1">
        <v>2017</v>
      </c>
      <c r="AS318" s="1" t="s">
        <v>15</v>
      </c>
      <c r="AT318" s="123" t="s">
        <v>178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31"/>
        <v>GymboreeRetailCanada52</v>
      </c>
      <c r="AH319" s="1" t="s">
        <v>13</v>
      </c>
      <c r="AI319" s="1" t="s">
        <v>5</v>
      </c>
      <c r="AJ319" s="1" t="s">
        <v>275</v>
      </c>
      <c r="AK319" s="1">
        <v>52</v>
      </c>
      <c r="AL319" s="19">
        <v>0.8</v>
      </c>
      <c r="AN319" s="109" t="str">
        <f t="shared" si="32"/>
        <v>Janie &amp; JackUSAWebJJ 17 SB1/YEARLY BASICS</v>
      </c>
      <c r="AO319" s="1" t="s">
        <v>30</v>
      </c>
      <c r="AP319" s="1" t="s">
        <v>14</v>
      </c>
      <c r="AQ319" s="1" t="s">
        <v>274</v>
      </c>
      <c r="AR319" s="1">
        <v>2017</v>
      </c>
      <c r="AS319" s="1" t="s">
        <v>15</v>
      </c>
      <c r="AT319" s="123" t="s">
        <v>150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31"/>
        <v>GymboreeRetailCanada53</v>
      </c>
      <c r="AH320" s="1" t="s">
        <v>13</v>
      </c>
      <c r="AI320" s="1" t="s">
        <v>5</v>
      </c>
      <c r="AJ320" s="1" t="s">
        <v>275</v>
      </c>
      <c r="AK320" s="1">
        <v>53</v>
      </c>
      <c r="AL320" s="19">
        <v>0.8</v>
      </c>
      <c r="AN320" s="109" t="str">
        <f t="shared" si="32"/>
        <v>Janie &amp; JackUSAWebJJ 17 JAN SWIM 2</v>
      </c>
      <c r="AO320" s="1" t="s">
        <v>30</v>
      </c>
      <c r="AP320" s="1" t="s">
        <v>14</v>
      </c>
      <c r="AQ320" s="1" t="s">
        <v>274</v>
      </c>
      <c r="AR320" s="1">
        <v>2017</v>
      </c>
      <c r="AS320" s="1" t="s">
        <v>15</v>
      </c>
      <c r="AT320" s="123" t="s">
        <v>152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31"/>
        <v>GymboreeWebUSA1</v>
      </c>
      <c r="AH321" s="1" t="s">
        <v>13</v>
      </c>
      <c r="AI321" s="1" t="s">
        <v>14</v>
      </c>
      <c r="AJ321" s="1" t="s">
        <v>274</v>
      </c>
      <c r="AK321" s="1">
        <v>1</v>
      </c>
      <c r="AL321" s="19">
        <v>0.1</v>
      </c>
      <c r="AN321" s="109" t="str">
        <f t="shared" si="32"/>
        <v>Janie &amp; JackUSAWebJJ 17 JAN SPR GIFTING LAYETTE</v>
      </c>
      <c r="AO321" s="1" t="s">
        <v>30</v>
      </c>
      <c r="AP321" s="1" t="s">
        <v>14</v>
      </c>
      <c r="AQ321" s="1" t="s">
        <v>274</v>
      </c>
      <c r="AR321" s="1">
        <v>2017</v>
      </c>
      <c r="AS321" s="1" t="s">
        <v>15</v>
      </c>
      <c r="AT321" s="123" t="s">
        <v>182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31"/>
        <v>GymboreeWebUSA2</v>
      </c>
      <c r="AH322" s="1" t="s">
        <v>13</v>
      </c>
      <c r="AI322" s="1" t="s">
        <v>14</v>
      </c>
      <c r="AJ322" s="1" t="s">
        <v>274</v>
      </c>
      <c r="AK322" s="1">
        <v>2</v>
      </c>
      <c r="AL322" s="19">
        <v>0.1</v>
      </c>
      <c r="AN322" s="109" t="str">
        <f t="shared" si="32"/>
        <v>Janie &amp; JackUSAWebJJ 17 JAN SPRING 1</v>
      </c>
      <c r="AO322" s="1" t="s">
        <v>30</v>
      </c>
      <c r="AP322" s="1" t="s">
        <v>14</v>
      </c>
      <c r="AQ322" s="1" t="s">
        <v>274</v>
      </c>
      <c r="AR322" s="1">
        <v>2017</v>
      </c>
      <c r="AS322" s="1" t="s">
        <v>15</v>
      </c>
      <c r="AT322" s="123" t="s">
        <v>168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31"/>
        <v>GymboreeWebUSA3</v>
      </c>
      <c r="AH323" s="1" t="s">
        <v>13</v>
      </c>
      <c r="AI323" s="1" t="s">
        <v>14</v>
      </c>
      <c r="AJ323" s="1" t="s">
        <v>274</v>
      </c>
      <c r="AK323" s="1">
        <v>3</v>
      </c>
      <c r="AL323" s="19">
        <v>0.35</v>
      </c>
      <c r="AN323" s="109" t="str">
        <f t="shared" si="32"/>
        <v>Janie &amp; JackUSAWebJJ 17 JAN SO SB1</v>
      </c>
      <c r="AO323" s="1" t="s">
        <v>30</v>
      </c>
      <c r="AP323" s="1" t="s">
        <v>14</v>
      </c>
      <c r="AQ323" s="1" t="s">
        <v>274</v>
      </c>
      <c r="AR323" s="1">
        <v>2017</v>
      </c>
      <c r="AS323" s="1" t="s">
        <v>15</v>
      </c>
      <c r="AT323" s="123" t="s">
        <v>154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3">AH324&amp;AI324&amp;AJ324&amp;AK324</f>
        <v>GymboreeWebUSA4</v>
      </c>
      <c r="AH324" s="1" t="s">
        <v>13</v>
      </c>
      <c r="AI324" s="1" t="s">
        <v>14</v>
      </c>
      <c r="AJ324" s="1" t="s">
        <v>274</v>
      </c>
      <c r="AK324" s="1">
        <v>4</v>
      </c>
      <c r="AL324" s="19">
        <v>0.35</v>
      </c>
      <c r="AN324" s="109" t="str">
        <f t="shared" ref="AN324:AN387" si="34">AO324&amp;AQ324&amp;AP324&amp;AT324</f>
        <v>Janie &amp; JackUSAWebJJ 17 FEB EASTER 1</v>
      </c>
      <c r="AO324" s="1" t="s">
        <v>30</v>
      </c>
      <c r="AP324" s="1" t="s">
        <v>14</v>
      </c>
      <c r="AQ324" s="1" t="s">
        <v>274</v>
      </c>
      <c r="AR324" s="1">
        <v>2017</v>
      </c>
      <c r="AS324" s="1" t="s">
        <v>15</v>
      </c>
      <c r="AT324" s="123" t="s">
        <v>174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3"/>
        <v>GymboreeWebUSA5</v>
      </c>
      <c r="AH325" s="1" t="s">
        <v>13</v>
      </c>
      <c r="AI325" s="1" t="s">
        <v>14</v>
      </c>
      <c r="AJ325" s="1" t="s">
        <v>274</v>
      </c>
      <c r="AK325" s="1">
        <v>5</v>
      </c>
      <c r="AL325" s="19">
        <v>0.35</v>
      </c>
      <c r="AN325" s="109" t="str">
        <f t="shared" si="34"/>
        <v>Janie &amp; JackUSAWebJJ 17 FEB EASTER GIFT LAY</v>
      </c>
      <c r="AO325" s="1" t="s">
        <v>30</v>
      </c>
      <c r="AP325" s="1" t="s">
        <v>14</v>
      </c>
      <c r="AQ325" s="1" t="s">
        <v>274</v>
      </c>
      <c r="AR325" s="1">
        <v>2017</v>
      </c>
      <c r="AS325" s="1" t="s">
        <v>15</v>
      </c>
      <c r="AT325" s="123" t="s">
        <v>176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3"/>
        <v>GymboreeWebUSA6</v>
      </c>
      <c r="AH326" s="1" t="s">
        <v>13</v>
      </c>
      <c r="AI326" s="1" t="s">
        <v>14</v>
      </c>
      <c r="AJ326" s="1" t="s">
        <v>274</v>
      </c>
      <c r="AK326" s="1">
        <v>6</v>
      </c>
      <c r="AL326" s="19">
        <v>0.35</v>
      </c>
      <c r="AN326" s="109" t="str">
        <f t="shared" si="34"/>
        <v>Janie &amp; JackUSAWebJJ 17 MAR EASTER 2 A+B</v>
      </c>
      <c r="AO326" s="1" t="s">
        <v>30</v>
      </c>
      <c r="AP326" s="1" t="s">
        <v>14</v>
      </c>
      <c r="AQ326" s="1" t="s">
        <v>274</v>
      </c>
      <c r="AR326" s="1">
        <v>2017</v>
      </c>
      <c r="AS326" s="1" t="s">
        <v>15</v>
      </c>
      <c r="AT326" s="123" t="s">
        <v>180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3"/>
        <v>GymboreeWebUSA7</v>
      </c>
      <c r="AH327" s="1" t="s">
        <v>13</v>
      </c>
      <c r="AI327" s="1" t="s">
        <v>14</v>
      </c>
      <c r="AJ327" s="1" t="s">
        <v>274</v>
      </c>
      <c r="AK327" s="1">
        <v>7</v>
      </c>
      <c r="AL327" s="19">
        <v>0.4</v>
      </c>
      <c r="AN327" s="109" t="str">
        <f t="shared" si="34"/>
        <v>Janie &amp; JackUSAWebJJ 17 SPR SO REFRESH</v>
      </c>
      <c r="AO327" s="1" t="s">
        <v>30</v>
      </c>
      <c r="AP327" s="1" t="s">
        <v>14</v>
      </c>
      <c r="AQ327" s="1" t="s">
        <v>274</v>
      </c>
      <c r="AR327" s="1">
        <v>2017</v>
      </c>
      <c r="AS327" s="1" t="s">
        <v>15</v>
      </c>
      <c r="AT327" s="123" t="s">
        <v>156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3"/>
        <v>GymboreeWebUSA8</v>
      </c>
      <c r="AH328" s="1" t="s">
        <v>13</v>
      </c>
      <c r="AI328" s="1" t="s">
        <v>14</v>
      </c>
      <c r="AJ328" s="1" t="s">
        <v>274</v>
      </c>
      <c r="AK328" s="1">
        <v>8</v>
      </c>
      <c r="AL328" s="19">
        <v>0.4</v>
      </c>
      <c r="AN328" s="109" t="str">
        <f t="shared" si="34"/>
        <v>Janie &amp; JackUSAWebJJ 17 FEB SPR 2</v>
      </c>
      <c r="AO328" s="1" t="s">
        <v>30</v>
      </c>
      <c r="AP328" s="1" t="s">
        <v>14</v>
      </c>
      <c r="AQ328" s="1" t="s">
        <v>274</v>
      </c>
      <c r="AR328" s="1">
        <v>2017</v>
      </c>
      <c r="AS328" s="1" t="s">
        <v>15</v>
      </c>
      <c r="AT328" s="123" t="s">
        <v>184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3"/>
        <v>GymboreeWebUSA9</v>
      </c>
      <c r="AH329" s="1" t="s">
        <v>13</v>
      </c>
      <c r="AI329" s="1" t="s">
        <v>14</v>
      </c>
      <c r="AJ329" s="1" t="s">
        <v>274</v>
      </c>
      <c r="AK329" s="1">
        <v>9</v>
      </c>
      <c r="AL329" s="19">
        <v>0.4</v>
      </c>
      <c r="AN329" s="109" t="str">
        <f t="shared" si="34"/>
        <v>Janie &amp; JackUSAWebJJ 17 APR LAY SWIM</v>
      </c>
      <c r="AO329" s="1" t="s">
        <v>30</v>
      </c>
      <c r="AP329" s="1" t="s">
        <v>14</v>
      </c>
      <c r="AQ329" s="1" t="s">
        <v>274</v>
      </c>
      <c r="AR329" s="1">
        <v>2017</v>
      </c>
      <c r="AS329" s="1" t="s">
        <v>15</v>
      </c>
      <c r="AT329" s="123" t="s">
        <v>161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3"/>
        <v>GymboreeWebUSA10</v>
      </c>
      <c r="AH330" s="1" t="s">
        <v>13</v>
      </c>
      <c r="AI330" s="1" t="s">
        <v>14</v>
      </c>
      <c r="AJ330" s="1" t="s">
        <v>274</v>
      </c>
      <c r="AK330" s="1">
        <v>10</v>
      </c>
      <c r="AL330" s="19">
        <v>0.45</v>
      </c>
      <c r="AN330" s="109" t="str">
        <f t="shared" si="34"/>
        <v>Janie &amp; JackUSAWeb(new)</v>
      </c>
      <c r="AO330" s="1" t="s">
        <v>30</v>
      </c>
      <c r="AP330" s="1" t="s">
        <v>14</v>
      </c>
      <c r="AQ330" s="1" t="s">
        <v>274</v>
      </c>
      <c r="AR330" s="1">
        <v>2017</v>
      </c>
      <c r="AS330" s="1" t="s">
        <v>15</v>
      </c>
      <c r="AT330" s="123" t="s">
        <v>324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3"/>
        <v>GymboreeWebUSA11</v>
      </c>
      <c r="AH331" s="1" t="s">
        <v>13</v>
      </c>
      <c r="AI331" s="1" t="s">
        <v>14</v>
      </c>
      <c r="AJ331" s="1" t="s">
        <v>274</v>
      </c>
      <c r="AK331" s="1">
        <v>11</v>
      </c>
      <c r="AL331" s="19">
        <v>0.45</v>
      </c>
      <c r="AN331" s="109" t="str">
        <f t="shared" si="34"/>
        <v>Janie &amp; JackUSAWebJJ 17 MAR SUMMER 0</v>
      </c>
      <c r="AO331" s="1" t="s">
        <v>30</v>
      </c>
      <c r="AP331" s="1" t="s">
        <v>14</v>
      </c>
      <c r="AQ331" s="1" t="s">
        <v>274</v>
      </c>
      <c r="AR331" s="1">
        <v>2017</v>
      </c>
      <c r="AS331" s="1" t="s">
        <v>17</v>
      </c>
      <c r="AT331" s="123" t="s">
        <v>188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3"/>
        <v>GymboreeWebUSA12</v>
      </c>
      <c r="AH332" s="1" t="s">
        <v>13</v>
      </c>
      <c r="AI332" s="1" t="s">
        <v>14</v>
      </c>
      <c r="AJ332" s="1" t="s">
        <v>274</v>
      </c>
      <c r="AK332" s="1">
        <v>12</v>
      </c>
      <c r="AL332" s="19">
        <v>0.45</v>
      </c>
      <c r="AN332" s="109" t="str">
        <f t="shared" si="34"/>
        <v>Janie &amp; JackUSAWebJJ 17 APR SMR 1 A+B</v>
      </c>
      <c r="AO332" s="1" t="s">
        <v>30</v>
      </c>
      <c r="AP332" s="1" t="s">
        <v>14</v>
      </c>
      <c r="AQ332" s="1" t="s">
        <v>274</v>
      </c>
      <c r="AR332" s="1">
        <v>2017</v>
      </c>
      <c r="AS332" s="1" t="s">
        <v>17</v>
      </c>
      <c r="AT332" s="123" t="s">
        <v>190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3"/>
        <v>GymboreeWebUSA13</v>
      </c>
      <c r="AH333" s="1" t="s">
        <v>13</v>
      </c>
      <c r="AI333" s="1" t="s">
        <v>14</v>
      </c>
      <c r="AJ333" s="1" t="s">
        <v>274</v>
      </c>
      <c r="AK333" s="1">
        <v>13</v>
      </c>
      <c r="AL333" s="19">
        <v>0.5</v>
      </c>
      <c r="AN333" s="109" t="str">
        <f t="shared" si="34"/>
        <v>Janie &amp; JackUSAWebJJ 17 SMR BASICS</v>
      </c>
      <c r="AO333" s="1" t="s">
        <v>30</v>
      </c>
      <c r="AP333" s="1" t="s">
        <v>14</v>
      </c>
      <c r="AQ333" s="1" t="s">
        <v>274</v>
      </c>
      <c r="AR333" s="1">
        <v>2017</v>
      </c>
      <c r="AS333" s="1" t="s">
        <v>17</v>
      </c>
      <c r="AT333" s="123" t="s">
        <v>158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3"/>
        <v>GymboreeWebUSA14</v>
      </c>
      <c r="AH334" s="1" t="s">
        <v>13</v>
      </c>
      <c r="AI334" s="1" t="s">
        <v>14</v>
      </c>
      <c r="AJ334" s="1" t="s">
        <v>274</v>
      </c>
      <c r="AK334" s="1">
        <v>14</v>
      </c>
      <c r="AL334" s="19">
        <v>0.5</v>
      </c>
      <c r="AN334" s="109" t="str">
        <f t="shared" si="34"/>
        <v>Janie &amp; JackUSAWeb(new)</v>
      </c>
      <c r="AO334" s="1" t="s">
        <v>30</v>
      </c>
      <c r="AP334" s="1" t="s">
        <v>14</v>
      </c>
      <c r="AQ334" s="1" t="s">
        <v>274</v>
      </c>
      <c r="AR334" s="1">
        <v>2017</v>
      </c>
      <c r="AS334" s="1" t="s">
        <v>17</v>
      </c>
      <c r="AT334" s="123" t="s">
        <v>324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3"/>
        <v>GymboreeWebUSA15</v>
      </c>
      <c r="AH335" s="1" t="s">
        <v>13</v>
      </c>
      <c r="AI335" s="1" t="s">
        <v>14</v>
      </c>
      <c r="AJ335" s="1" t="s">
        <v>274</v>
      </c>
      <c r="AK335" s="1">
        <v>15</v>
      </c>
      <c r="AL335" s="19">
        <v>0.5</v>
      </c>
      <c r="AN335" s="109" t="str">
        <f t="shared" si="34"/>
        <v>Janie &amp; JackUSAWebJJ 17 SUMMER 2</v>
      </c>
      <c r="AO335" s="1" t="s">
        <v>30</v>
      </c>
      <c r="AP335" s="1" t="s">
        <v>14</v>
      </c>
      <c r="AQ335" s="1" t="s">
        <v>274</v>
      </c>
      <c r="AR335" s="1">
        <v>2017</v>
      </c>
      <c r="AS335" s="1" t="s">
        <v>17</v>
      </c>
      <c r="AT335" s="123" t="s">
        <v>192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3"/>
        <v>GymboreeWebUSA16</v>
      </c>
      <c r="AH336" s="1" t="s">
        <v>13</v>
      </c>
      <c r="AI336" s="1" t="s">
        <v>14</v>
      </c>
      <c r="AJ336" s="1" t="s">
        <v>274</v>
      </c>
      <c r="AK336" s="1">
        <v>16</v>
      </c>
      <c r="AL336" s="19">
        <v>0.5</v>
      </c>
      <c r="AN336" s="109" t="str">
        <f t="shared" si="34"/>
        <v>Janie &amp; JackUSAWebJJ 17 4TH OF JULY</v>
      </c>
      <c r="AO336" s="1" t="s">
        <v>30</v>
      </c>
      <c r="AP336" s="1" t="s">
        <v>14</v>
      </c>
      <c r="AQ336" s="1" t="s">
        <v>274</v>
      </c>
      <c r="AR336" s="1">
        <v>2017</v>
      </c>
      <c r="AS336" s="1" t="s">
        <v>17</v>
      </c>
      <c r="AT336" s="123" t="s">
        <v>194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3"/>
        <v>GymboreeWebUSA17</v>
      </c>
      <c r="AH337" s="1" t="s">
        <v>13</v>
      </c>
      <c r="AI337" s="1" t="s">
        <v>14</v>
      </c>
      <c r="AJ337" s="1" t="s">
        <v>274</v>
      </c>
      <c r="AK337" s="1">
        <v>17</v>
      </c>
      <c r="AL337" s="19">
        <v>0.5</v>
      </c>
      <c r="AN337" s="109" t="str">
        <f t="shared" si="34"/>
        <v>Janie &amp; JackUSAWebJJ 17 TRANS GIFTING LAY</v>
      </c>
      <c r="AO337" s="1" t="s">
        <v>30</v>
      </c>
      <c r="AP337" s="1" t="s">
        <v>14</v>
      </c>
      <c r="AQ337" s="1" t="s">
        <v>274</v>
      </c>
      <c r="AR337" s="1">
        <v>2017</v>
      </c>
      <c r="AS337" s="1" t="s">
        <v>17</v>
      </c>
      <c r="AT337" s="123" t="s">
        <v>203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3"/>
        <v>GymboreeWebUSA18</v>
      </c>
      <c r="AH338" s="1" t="s">
        <v>13</v>
      </c>
      <c r="AI338" s="1" t="s">
        <v>14</v>
      </c>
      <c r="AJ338" s="1" t="s">
        <v>274</v>
      </c>
      <c r="AK338" s="1">
        <v>18</v>
      </c>
      <c r="AL338" s="19">
        <v>0.5</v>
      </c>
      <c r="AN338" s="109" t="str">
        <f t="shared" si="34"/>
        <v>Janie &amp; JackUSAWebJJ 17 SUMMER 3</v>
      </c>
      <c r="AO338" s="1" t="s">
        <v>30</v>
      </c>
      <c r="AP338" s="1" t="s">
        <v>14</v>
      </c>
      <c r="AQ338" s="1" t="s">
        <v>274</v>
      </c>
      <c r="AR338" s="1">
        <v>2017</v>
      </c>
      <c r="AS338" s="1" t="s">
        <v>17</v>
      </c>
      <c r="AT338" s="123" t="s">
        <v>196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3"/>
        <v>GymboreeWebUSA19</v>
      </c>
      <c r="AH339" s="1" t="s">
        <v>13</v>
      </c>
      <c r="AI339" s="1" t="s">
        <v>14</v>
      </c>
      <c r="AJ339" s="1" t="s">
        <v>274</v>
      </c>
      <c r="AK339" s="1">
        <v>19</v>
      </c>
      <c r="AL339" s="19">
        <v>0.55000000000000004</v>
      </c>
      <c r="AN339" s="109" t="str">
        <f t="shared" si="34"/>
        <v>Janie &amp; JackUSAWeb(new)</v>
      </c>
      <c r="AO339" s="1" t="s">
        <v>30</v>
      </c>
      <c r="AP339" s="1" t="s">
        <v>14</v>
      </c>
      <c r="AQ339" s="1" t="s">
        <v>274</v>
      </c>
      <c r="AR339" s="1">
        <v>2017</v>
      </c>
      <c r="AS339" s="1" t="s">
        <v>17</v>
      </c>
      <c r="AT339" s="123" t="s">
        <v>324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3"/>
        <v>GymboreeWebUSA20</v>
      </c>
      <c r="AH340" s="1" t="s">
        <v>13</v>
      </c>
      <c r="AI340" s="1" t="s">
        <v>14</v>
      </c>
      <c r="AJ340" s="1" t="s">
        <v>274</v>
      </c>
      <c r="AK340" s="1">
        <v>20</v>
      </c>
      <c r="AL340" s="19">
        <v>0.55000000000000004</v>
      </c>
      <c r="AN340" s="109" t="str">
        <f t="shared" si="34"/>
        <v>Janie &amp; JackUSAWebJJ 17 SUMMER 4</v>
      </c>
      <c r="AO340" s="1" t="s">
        <v>30</v>
      </c>
      <c r="AP340" s="1" t="s">
        <v>14</v>
      </c>
      <c r="AQ340" s="1" t="s">
        <v>274</v>
      </c>
      <c r="AR340" s="1">
        <v>2017</v>
      </c>
      <c r="AS340" s="1" t="s">
        <v>17</v>
      </c>
      <c r="AT340" s="123" t="s">
        <v>198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3"/>
        <v>GymboreeWebUSA21</v>
      </c>
      <c r="AH341" s="1" t="s">
        <v>13</v>
      </c>
      <c r="AI341" s="1" t="s">
        <v>14</v>
      </c>
      <c r="AJ341" s="1" t="s">
        <v>274</v>
      </c>
      <c r="AK341" s="1">
        <v>21</v>
      </c>
      <c r="AL341" s="19">
        <v>0.55000000000000004</v>
      </c>
      <c r="AN341" s="109" t="str">
        <f t="shared" si="34"/>
        <v>Janie &amp; JackUSAWebJJ 17 JULY TRANS 1</v>
      </c>
      <c r="AO341" s="1" t="s">
        <v>30</v>
      </c>
      <c r="AP341" s="1" t="s">
        <v>14</v>
      </c>
      <c r="AQ341" s="1" t="s">
        <v>274</v>
      </c>
      <c r="AR341" s="1">
        <v>2017</v>
      </c>
      <c r="AS341" s="1" t="s">
        <v>17</v>
      </c>
      <c r="AT341" s="123" t="s">
        <v>200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3"/>
        <v>GymboreeWebUSA22</v>
      </c>
      <c r="AH342" s="1" t="s">
        <v>13</v>
      </c>
      <c r="AI342" s="1" t="s">
        <v>14</v>
      </c>
      <c r="AJ342" s="1" t="s">
        <v>274</v>
      </c>
      <c r="AK342" s="1">
        <v>22</v>
      </c>
      <c r="AL342" s="19">
        <v>0.6</v>
      </c>
      <c r="AN342" s="109" t="str">
        <f t="shared" si="34"/>
        <v>Janie &amp; JackUSAWebJJ 17 TRANS 2</v>
      </c>
      <c r="AO342" s="1" t="s">
        <v>30</v>
      </c>
      <c r="AP342" s="1" t="s">
        <v>14</v>
      </c>
      <c r="AQ342" s="1" t="s">
        <v>274</v>
      </c>
      <c r="AR342" s="1">
        <v>2017</v>
      </c>
      <c r="AS342" s="1" t="s">
        <v>17</v>
      </c>
      <c r="AT342" s="123" t="s">
        <v>141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3"/>
        <v>GymboreeWebUSA23</v>
      </c>
      <c r="AH343" s="1" t="s">
        <v>13</v>
      </c>
      <c r="AI343" s="1" t="s">
        <v>14</v>
      </c>
      <c r="AJ343" s="1" t="s">
        <v>274</v>
      </c>
      <c r="AK343" s="1">
        <v>23</v>
      </c>
      <c r="AL343" s="19">
        <v>0.6</v>
      </c>
      <c r="AN343" s="109" t="str">
        <f t="shared" si="34"/>
        <v>Janie &amp; JackUSAWeb(new)</v>
      </c>
      <c r="AO343" s="1" t="s">
        <v>30</v>
      </c>
      <c r="AP343" s="1" t="s">
        <v>14</v>
      </c>
      <c r="AQ343" s="1" t="s">
        <v>274</v>
      </c>
      <c r="AR343" s="1">
        <v>2017</v>
      </c>
      <c r="AS343" s="1" t="s">
        <v>17</v>
      </c>
      <c r="AT343" s="123" t="s">
        <v>324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3"/>
        <v>GymboreeWebUSA24</v>
      </c>
      <c r="AH344" s="1" t="s">
        <v>13</v>
      </c>
      <c r="AI344" s="1" t="s">
        <v>14</v>
      </c>
      <c r="AJ344" s="1" t="s">
        <v>274</v>
      </c>
      <c r="AK344" s="1">
        <v>24</v>
      </c>
      <c r="AL344" s="19">
        <v>0.6</v>
      </c>
      <c r="AN344" s="109" t="str">
        <f t="shared" si="34"/>
        <v>Janie &amp; JackUSAWebJJ 17 SO SB2</v>
      </c>
      <c r="AO344" s="1" t="s">
        <v>30</v>
      </c>
      <c r="AP344" s="1" t="s">
        <v>14</v>
      </c>
      <c r="AQ344" s="1" t="s">
        <v>274</v>
      </c>
      <c r="AR344" s="1">
        <v>2017</v>
      </c>
      <c r="AS344" s="1" t="s">
        <v>17</v>
      </c>
      <c r="AT344" s="123" t="s">
        <v>165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3"/>
        <v>GymboreeWebUSA25</v>
      </c>
      <c r="AH345" s="1" t="s">
        <v>13</v>
      </c>
      <c r="AI345" s="1" t="s">
        <v>14</v>
      </c>
      <c r="AJ345" s="1" t="s">
        <v>274</v>
      </c>
      <c r="AK345" s="1">
        <v>25</v>
      </c>
      <c r="AL345" s="19">
        <v>0.6</v>
      </c>
      <c r="AN345" s="109" t="str">
        <f t="shared" si="34"/>
        <v>Janie &amp; JackUSAWebJJ 17 JULY TRANS 3 GIRL ONLY</v>
      </c>
      <c r="AO345" s="1" t="s">
        <v>30</v>
      </c>
      <c r="AP345" s="1" t="s">
        <v>14</v>
      </c>
      <c r="AQ345" s="1" t="s">
        <v>274</v>
      </c>
      <c r="AR345" s="1">
        <v>2017</v>
      </c>
      <c r="AS345" s="1" t="s">
        <v>17</v>
      </c>
      <c r="AT345" s="123" t="s">
        <v>143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3"/>
        <v>GymboreeWebUSA26</v>
      </c>
      <c r="AH346" s="1" t="s">
        <v>13</v>
      </c>
      <c r="AI346" s="1" t="s">
        <v>14</v>
      </c>
      <c r="AJ346" s="1" t="s">
        <v>274</v>
      </c>
      <c r="AK346" s="1">
        <v>26</v>
      </c>
      <c r="AL346" s="19">
        <v>0.6</v>
      </c>
      <c r="AN346" s="109" t="str">
        <f t="shared" si="34"/>
        <v>Janie &amp; JackUSAWeb(new)</v>
      </c>
      <c r="AO346" s="1" t="s">
        <v>30</v>
      </c>
      <c r="AP346" s="1" t="s">
        <v>14</v>
      </c>
      <c r="AQ346" s="1" t="s">
        <v>274</v>
      </c>
      <c r="AR346" s="1">
        <v>2017</v>
      </c>
      <c r="AS346" s="1" t="s">
        <v>17</v>
      </c>
      <c r="AT346" s="123" t="s">
        <v>324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3"/>
        <v>GymboreeWebUSA27</v>
      </c>
      <c r="AH347" s="1" t="s">
        <v>13</v>
      </c>
      <c r="AI347" s="1" t="s">
        <v>14</v>
      </c>
      <c r="AJ347" s="1" t="s">
        <v>274</v>
      </c>
      <c r="AK347" s="1">
        <v>27</v>
      </c>
      <c r="AL347" s="19">
        <v>0.6</v>
      </c>
      <c r="AN347" s="109" t="str">
        <f t="shared" si="34"/>
        <v>Janie &amp; JackUSAWebJJ 17 FALL GIFTING LAY</v>
      </c>
      <c r="AO347" s="1" t="s">
        <v>30</v>
      </c>
      <c r="AP347" s="1" t="s">
        <v>14</v>
      </c>
      <c r="AQ347" s="1" t="s">
        <v>274</v>
      </c>
      <c r="AR347" s="1">
        <v>2017</v>
      </c>
      <c r="AS347" s="1" t="s">
        <v>17</v>
      </c>
      <c r="AT347" s="123" t="s">
        <v>308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3"/>
        <v>GymboreeWebUSA28</v>
      </c>
      <c r="AH348" s="1" t="s">
        <v>13</v>
      </c>
      <c r="AI348" s="1" t="s">
        <v>14</v>
      </c>
      <c r="AJ348" s="1" t="s">
        <v>274</v>
      </c>
      <c r="AK348" s="1">
        <v>28</v>
      </c>
      <c r="AL348" s="19">
        <v>0.65</v>
      </c>
      <c r="AN348" s="109" t="str">
        <f t="shared" si="34"/>
        <v>Janie &amp; JackUSAOutletJJ 3RD PARTY</v>
      </c>
      <c r="AO348" s="1" t="s">
        <v>30</v>
      </c>
      <c r="AP348" s="1" t="s">
        <v>16</v>
      </c>
      <c r="AQ348" s="1" t="s">
        <v>274</v>
      </c>
      <c r="AR348" s="1">
        <v>2017</v>
      </c>
      <c r="AS348" s="1" t="s">
        <v>33</v>
      </c>
      <c r="AT348" s="123" t="s">
        <v>270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3"/>
        <v>GymboreeWebUSA29</v>
      </c>
      <c r="AH349" s="1" t="s">
        <v>13</v>
      </c>
      <c r="AI349" s="1" t="s">
        <v>14</v>
      </c>
      <c r="AJ349" s="1" t="s">
        <v>274</v>
      </c>
      <c r="AK349" s="1">
        <v>29</v>
      </c>
      <c r="AL349" s="19">
        <v>0.65</v>
      </c>
      <c r="AN349" s="109" t="str">
        <f t="shared" si="34"/>
        <v>Janie &amp; JackUSAOutletJJ 17 SB2</v>
      </c>
      <c r="AO349" s="1" t="s">
        <v>30</v>
      </c>
      <c r="AP349" s="1" t="s">
        <v>16</v>
      </c>
      <c r="AQ349" s="1" t="s">
        <v>274</v>
      </c>
      <c r="AR349" s="1">
        <v>2017</v>
      </c>
      <c r="AS349" s="1" t="s">
        <v>33</v>
      </c>
      <c r="AT349" s="123" t="s">
        <v>163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3"/>
        <v>GymboreeWebUSA30</v>
      </c>
      <c r="AH350" s="1" t="s">
        <v>13</v>
      </c>
      <c r="AI350" s="1" t="s">
        <v>14</v>
      </c>
      <c r="AJ350" s="1" t="s">
        <v>274</v>
      </c>
      <c r="AK350" s="1">
        <v>30</v>
      </c>
      <c r="AL350" s="19">
        <v>0.65</v>
      </c>
      <c r="AN350" s="109" t="str">
        <f t="shared" si="34"/>
        <v>Janie &amp; JackUSAOutletJJ 17 FALL 0</v>
      </c>
      <c r="AO350" s="1" t="s">
        <v>30</v>
      </c>
      <c r="AP350" s="1" t="s">
        <v>16</v>
      </c>
      <c r="AQ350" s="1" t="s">
        <v>274</v>
      </c>
      <c r="AR350" s="1">
        <v>2017</v>
      </c>
      <c r="AS350" s="1" t="s">
        <v>31</v>
      </c>
      <c r="AT350" s="123" t="s">
        <v>145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3"/>
        <v>GymboreeWebUSA31</v>
      </c>
      <c r="AH351" s="1" t="s">
        <v>13</v>
      </c>
      <c r="AI351" s="1" t="s">
        <v>14</v>
      </c>
      <c r="AJ351" s="1" t="s">
        <v>274</v>
      </c>
      <c r="AK351" s="1">
        <v>31</v>
      </c>
      <c r="AL351" s="19">
        <v>0.65</v>
      </c>
      <c r="AN351" s="109" t="str">
        <f t="shared" si="34"/>
        <v>Janie &amp; JackUSAOutlet(new)</v>
      </c>
      <c r="AO351" s="1" t="s">
        <v>30</v>
      </c>
      <c r="AP351" s="1" t="s">
        <v>16</v>
      </c>
      <c r="AQ351" s="1" t="s">
        <v>274</v>
      </c>
      <c r="AR351" s="1">
        <v>2017</v>
      </c>
      <c r="AS351" s="1" t="s">
        <v>15</v>
      </c>
      <c r="AT351" s="123" t="s">
        <v>324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3"/>
        <v>GymboreeWebUSA32</v>
      </c>
      <c r="AH352" s="1" t="s">
        <v>13</v>
      </c>
      <c r="AI352" s="1" t="s">
        <v>14</v>
      </c>
      <c r="AJ352" s="1" t="s">
        <v>274</v>
      </c>
      <c r="AK352" s="1">
        <v>32</v>
      </c>
      <c r="AL352" s="19">
        <v>0.7</v>
      </c>
      <c r="AN352" s="109" t="str">
        <f t="shared" si="34"/>
        <v>Janie &amp; JackUSAOutletJJ 17 DEC SWIM</v>
      </c>
      <c r="AO352" s="1" t="s">
        <v>30</v>
      </c>
      <c r="AP352" s="1" t="s">
        <v>16</v>
      </c>
      <c r="AQ352" s="1" t="s">
        <v>274</v>
      </c>
      <c r="AR352" s="1">
        <v>2017</v>
      </c>
      <c r="AS352" s="1" t="s">
        <v>15</v>
      </c>
      <c r="AT352" s="123" t="s">
        <v>148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3"/>
        <v>GymboreeWebUSA33</v>
      </c>
      <c r="AH353" s="1" t="s">
        <v>13</v>
      </c>
      <c r="AI353" s="1" t="s">
        <v>14</v>
      </c>
      <c r="AJ353" s="1" t="s">
        <v>274</v>
      </c>
      <c r="AK353" s="1">
        <v>33</v>
      </c>
      <c r="AL353" s="19">
        <v>0.7</v>
      </c>
      <c r="AN353" s="109" t="str">
        <f t="shared" si="34"/>
        <v>Janie &amp; JackUSAOutletJJ 17 DEC VDAY</v>
      </c>
      <c r="AO353" s="1" t="s">
        <v>30</v>
      </c>
      <c r="AP353" s="1" t="s">
        <v>16</v>
      </c>
      <c r="AQ353" s="1" t="s">
        <v>274</v>
      </c>
      <c r="AR353" s="1">
        <v>2017</v>
      </c>
      <c r="AS353" s="1" t="s">
        <v>15</v>
      </c>
      <c r="AT353" s="123" t="s">
        <v>170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3"/>
        <v>GymboreeWebUSA34</v>
      </c>
      <c r="AH354" s="1" t="s">
        <v>13</v>
      </c>
      <c r="AI354" s="1" t="s">
        <v>14</v>
      </c>
      <c r="AJ354" s="1" t="s">
        <v>274</v>
      </c>
      <c r="AK354" s="1">
        <v>34</v>
      </c>
      <c r="AL354" s="19">
        <v>0.7</v>
      </c>
      <c r="AN354" s="109" t="str">
        <f t="shared" si="34"/>
        <v>Janie &amp; JackUSAOutletJJ 17 DEC RESORT 2</v>
      </c>
      <c r="AO354" s="1" t="s">
        <v>30</v>
      </c>
      <c r="AP354" s="1" t="s">
        <v>16</v>
      </c>
      <c r="AQ354" s="1" t="s">
        <v>274</v>
      </c>
      <c r="AR354" s="1">
        <v>2017</v>
      </c>
      <c r="AS354" s="1" t="s">
        <v>15</v>
      </c>
      <c r="AT354" s="123" t="s">
        <v>172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3"/>
        <v>GymboreeWebUSA35</v>
      </c>
      <c r="AH355" s="1" t="s">
        <v>13</v>
      </c>
      <c r="AI355" s="1" t="s">
        <v>14</v>
      </c>
      <c r="AJ355" s="1" t="s">
        <v>274</v>
      </c>
      <c r="AK355" s="1">
        <v>35</v>
      </c>
      <c r="AL355" s="19">
        <v>0.7</v>
      </c>
      <c r="AN355" s="109" t="str">
        <f t="shared" si="34"/>
        <v>Janie &amp; JackUSAOutletJJ 17 JAN SPRING TRANS</v>
      </c>
      <c r="AO355" s="1" t="s">
        <v>30</v>
      </c>
      <c r="AP355" s="1" t="s">
        <v>16</v>
      </c>
      <c r="AQ355" s="1" t="s">
        <v>274</v>
      </c>
      <c r="AR355" s="1">
        <v>2017</v>
      </c>
      <c r="AS355" s="1" t="s">
        <v>15</v>
      </c>
      <c r="AT355" s="123" t="s">
        <v>178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3"/>
        <v>GymboreeWebUSA36</v>
      </c>
      <c r="AH356" s="1" t="s">
        <v>13</v>
      </c>
      <c r="AI356" s="1" t="s">
        <v>14</v>
      </c>
      <c r="AJ356" s="1" t="s">
        <v>274</v>
      </c>
      <c r="AK356" s="1">
        <v>36</v>
      </c>
      <c r="AL356" s="19">
        <v>0.7</v>
      </c>
      <c r="AN356" s="109" t="str">
        <f t="shared" si="34"/>
        <v>Janie &amp; JackUSAOutletJJ 17 SB1/YEARLY BASICS</v>
      </c>
      <c r="AO356" s="1" t="s">
        <v>30</v>
      </c>
      <c r="AP356" s="1" t="s">
        <v>16</v>
      </c>
      <c r="AQ356" s="1" t="s">
        <v>274</v>
      </c>
      <c r="AR356" s="1">
        <v>2017</v>
      </c>
      <c r="AS356" s="1" t="s">
        <v>15</v>
      </c>
      <c r="AT356" s="123" t="s">
        <v>150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3"/>
        <v>GymboreeWebUSA37</v>
      </c>
      <c r="AH357" s="1" t="s">
        <v>13</v>
      </c>
      <c r="AI357" s="1" t="s">
        <v>14</v>
      </c>
      <c r="AJ357" s="1" t="s">
        <v>274</v>
      </c>
      <c r="AK357" s="1">
        <v>37</v>
      </c>
      <c r="AL357" s="19">
        <v>0.7</v>
      </c>
      <c r="AN357" s="109" t="str">
        <f t="shared" si="34"/>
        <v>Janie &amp; JackUSAOutletJJ 17 JAN SWIM 2</v>
      </c>
      <c r="AO357" s="1" t="s">
        <v>30</v>
      </c>
      <c r="AP357" s="1" t="s">
        <v>16</v>
      </c>
      <c r="AQ357" s="1" t="s">
        <v>274</v>
      </c>
      <c r="AR357" s="1">
        <v>2017</v>
      </c>
      <c r="AS357" s="1" t="s">
        <v>15</v>
      </c>
      <c r="AT357" s="123" t="s">
        <v>152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3"/>
        <v>GymboreeWebUSA38</v>
      </c>
      <c r="AH358" s="1" t="s">
        <v>13</v>
      </c>
      <c r="AI358" s="1" t="s">
        <v>14</v>
      </c>
      <c r="AJ358" s="1" t="s">
        <v>274</v>
      </c>
      <c r="AK358" s="1">
        <v>38</v>
      </c>
      <c r="AL358" s="19">
        <v>0.75</v>
      </c>
      <c r="AN358" s="109" t="str">
        <f t="shared" si="34"/>
        <v>Janie &amp; JackUSAOutletJJ 17 JAN SPR GIFTING LAYETTE</v>
      </c>
      <c r="AO358" s="1" t="s">
        <v>30</v>
      </c>
      <c r="AP358" s="1" t="s">
        <v>16</v>
      </c>
      <c r="AQ358" s="1" t="s">
        <v>274</v>
      </c>
      <c r="AR358" s="1">
        <v>2017</v>
      </c>
      <c r="AS358" s="1" t="s">
        <v>15</v>
      </c>
      <c r="AT358" s="123" t="s">
        <v>182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3"/>
        <v>GymboreeWebUSA39</v>
      </c>
      <c r="AH359" s="1" t="s">
        <v>13</v>
      </c>
      <c r="AI359" s="1" t="s">
        <v>14</v>
      </c>
      <c r="AJ359" s="1" t="s">
        <v>274</v>
      </c>
      <c r="AK359" s="1">
        <v>39</v>
      </c>
      <c r="AL359" s="19">
        <v>0.75</v>
      </c>
      <c r="AN359" s="109" t="str">
        <f t="shared" si="34"/>
        <v>Janie &amp; JackUSAOutletJJ 17 JAN SPRING 1</v>
      </c>
      <c r="AO359" s="1" t="s">
        <v>30</v>
      </c>
      <c r="AP359" s="1" t="s">
        <v>16</v>
      </c>
      <c r="AQ359" s="1" t="s">
        <v>274</v>
      </c>
      <c r="AR359" s="1">
        <v>2017</v>
      </c>
      <c r="AS359" s="1" t="s">
        <v>15</v>
      </c>
      <c r="AT359" s="123" t="s">
        <v>168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3"/>
        <v>GymboreeWebUSA40</v>
      </c>
      <c r="AH360" s="1" t="s">
        <v>13</v>
      </c>
      <c r="AI360" s="1" t="s">
        <v>14</v>
      </c>
      <c r="AJ360" s="1" t="s">
        <v>274</v>
      </c>
      <c r="AK360" s="1">
        <v>40</v>
      </c>
      <c r="AL360" s="19">
        <v>0.75</v>
      </c>
      <c r="AN360" s="109" t="str">
        <f t="shared" si="34"/>
        <v>Janie &amp; JackUSAOutletJJ 17 JAN SO SB1</v>
      </c>
      <c r="AO360" s="1" t="s">
        <v>30</v>
      </c>
      <c r="AP360" s="1" t="s">
        <v>16</v>
      </c>
      <c r="AQ360" s="1" t="s">
        <v>274</v>
      </c>
      <c r="AR360" s="1">
        <v>2017</v>
      </c>
      <c r="AS360" s="1" t="s">
        <v>15</v>
      </c>
      <c r="AT360" s="123" t="s">
        <v>154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3"/>
        <v>GymboreeWebUSA41</v>
      </c>
      <c r="AH361" s="1" t="s">
        <v>13</v>
      </c>
      <c r="AI361" s="1" t="s">
        <v>14</v>
      </c>
      <c r="AJ361" s="1" t="s">
        <v>274</v>
      </c>
      <c r="AK361" s="1">
        <v>41</v>
      </c>
      <c r="AL361" s="19">
        <v>0.75</v>
      </c>
      <c r="AN361" s="109" t="str">
        <f t="shared" si="34"/>
        <v>Janie &amp; JackUSAOutletJJ 17 FEB EASTER 1</v>
      </c>
      <c r="AO361" s="1" t="s">
        <v>30</v>
      </c>
      <c r="AP361" s="1" t="s">
        <v>16</v>
      </c>
      <c r="AQ361" s="1" t="s">
        <v>274</v>
      </c>
      <c r="AR361" s="1">
        <v>2017</v>
      </c>
      <c r="AS361" s="1" t="s">
        <v>15</v>
      </c>
      <c r="AT361" s="123" t="s">
        <v>174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3"/>
        <v>GymboreeWebUSA42</v>
      </c>
      <c r="AH362" s="1" t="s">
        <v>13</v>
      </c>
      <c r="AI362" s="1" t="s">
        <v>14</v>
      </c>
      <c r="AJ362" s="1" t="s">
        <v>274</v>
      </c>
      <c r="AK362" s="1">
        <v>42</v>
      </c>
      <c r="AL362" s="19">
        <v>0.8</v>
      </c>
      <c r="AN362" s="109" t="str">
        <f t="shared" si="34"/>
        <v>Janie &amp; JackUSAOutletJJ 17 FEB EASTER GIFT LAY</v>
      </c>
      <c r="AO362" s="1" t="s">
        <v>30</v>
      </c>
      <c r="AP362" s="1" t="s">
        <v>16</v>
      </c>
      <c r="AQ362" s="1" t="s">
        <v>274</v>
      </c>
      <c r="AR362" s="1">
        <v>2017</v>
      </c>
      <c r="AS362" s="1" t="s">
        <v>15</v>
      </c>
      <c r="AT362" s="123" t="s">
        <v>176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3"/>
        <v>GymboreeWebUSA43</v>
      </c>
      <c r="AH363" s="1" t="s">
        <v>13</v>
      </c>
      <c r="AI363" s="1" t="s">
        <v>14</v>
      </c>
      <c r="AJ363" s="1" t="s">
        <v>274</v>
      </c>
      <c r="AK363" s="1">
        <v>43</v>
      </c>
      <c r="AL363" s="19">
        <v>0.8</v>
      </c>
      <c r="AN363" s="109" t="str">
        <f t="shared" si="34"/>
        <v>Janie &amp; JackUSAOutletJJ 17 MAR EASTER 2 A+B</v>
      </c>
      <c r="AO363" s="1" t="s">
        <v>30</v>
      </c>
      <c r="AP363" s="1" t="s">
        <v>16</v>
      </c>
      <c r="AQ363" s="1" t="s">
        <v>274</v>
      </c>
      <c r="AR363" s="1">
        <v>2017</v>
      </c>
      <c r="AS363" s="1" t="s">
        <v>15</v>
      </c>
      <c r="AT363" s="123" t="s">
        <v>180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3"/>
        <v>GymboreeWebUSA44</v>
      </c>
      <c r="AH364" s="1" t="s">
        <v>13</v>
      </c>
      <c r="AI364" s="1" t="s">
        <v>14</v>
      </c>
      <c r="AJ364" s="1" t="s">
        <v>274</v>
      </c>
      <c r="AK364" s="1">
        <v>44</v>
      </c>
      <c r="AL364" s="19">
        <v>0.8</v>
      </c>
      <c r="AN364" s="109" t="str">
        <f t="shared" si="34"/>
        <v>Janie &amp; JackUSAOutletJJ 17 SPR SO REFRESH</v>
      </c>
      <c r="AO364" s="1" t="s">
        <v>30</v>
      </c>
      <c r="AP364" s="1" t="s">
        <v>16</v>
      </c>
      <c r="AQ364" s="1" t="s">
        <v>274</v>
      </c>
      <c r="AR364" s="1">
        <v>2017</v>
      </c>
      <c r="AS364" s="1" t="s">
        <v>15</v>
      </c>
      <c r="AT364" s="123" t="s">
        <v>156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3"/>
        <v>GymboreeWebUSA45</v>
      </c>
      <c r="AH365" s="1" t="s">
        <v>13</v>
      </c>
      <c r="AI365" s="1" t="s">
        <v>14</v>
      </c>
      <c r="AJ365" s="1" t="s">
        <v>274</v>
      </c>
      <c r="AK365" s="1">
        <v>45</v>
      </c>
      <c r="AL365" s="19">
        <v>0.8</v>
      </c>
      <c r="AN365" s="109" t="str">
        <f t="shared" si="34"/>
        <v>Janie &amp; JackUSAOutletJJ 17 FEB SPR 2</v>
      </c>
      <c r="AO365" s="1" t="s">
        <v>30</v>
      </c>
      <c r="AP365" s="1" t="s">
        <v>16</v>
      </c>
      <c r="AQ365" s="1" t="s">
        <v>274</v>
      </c>
      <c r="AR365" s="1">
        <v>2017</v>
      </c>
      <c r="AS365" s="1" t="s">
        <v>15</v>
      </c>
      <c r="AT365" s="123" t="s">
        <v>184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3"/>
        <v>GymboreeWebUSA46</v>
      </c>
      <c r="AH366" s="1" t="s">
        <v>13</v>
      </c>
      <c r="AI366" s="1" t="s">
        <v>14</v>
      </c>
      <c r="AJ366" s="1" t="s">
        <v>274</v>
      </c>
      <c r="AK366" s="1">
        <v>46</v>
      </c>
      <c r="AL366" s="19">
        <v>0.8</v>
      </c>
      <c r="AN366" s="109" t="str">
        <f t="shared" si="34"/>
        <v>Janie &amp; JackUSAOutletJJ 17 APR LAY SWIM</v>
      </c>
      <c r="AO366" s="1" t="s">
        <v>30</v>
      </c>
      <c r="AP366" s="1" t="s">
        <v>16</v>
      </c>
      <c r="AQ366" s="1" t="s">
        <v>274</v>
      </c>
      <c r="AR366" s="1">
        <v>2017</v>
      </c>
      <c r="AS366" s="1" t="s">
        <v>15</v>
      </c>
      <c r="AT366" s="123" t="s">
        <v>161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3"/>
        <v>GymboreeWebUSA47</v>
      </c>
      <c r="AH367" s="1" t="s">
        <v>13</v>
      </c>
      <c r="AI367" s="1" t="s">
        <v>14</v>
      </c>
      <c r="AJ367" s="1" t="s">
        <v>274</v>
      </c>
      <c r="AK367" s="1">
        <v>47</v>
      </c>
      <c r="AL367" s="19">
        <v>0.8</v>
      </c>
      <c r="AN367" s="109" t="str">
        <f t="shared" si="34"/>
        <v>Janie &amp; JackUSAOutlet(new)</v>
      </c>
      <c r="AO367" s="1" t="s">
        <v>30</v>
      </c>
      <c r="AP367" s="1" t="s">
        <v>16</v>
      </c>
      <c r="AQ367" s="1" t="s">
        <v>274</v>
      </c>
      <c r="AR367" s="1">
        <v>2017</v>
      </c>
      <c r="AS367" s="1" t="s">
        <v>15</v>
      </c>
      <c r="AT367" s="123" t="s">
        <v>324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3"/>
        <v>GymboreeWebUSA48</v>
      </c>
      <c r="AH368" s="1" t="s">
        <v>13</v>
      </c>
      <c r="AI368" s="1" t="s">
        <v>14</v>
      </c>
      <c r="AJ368" s="1" t="s">
        <v>274</v>
      </c>
      <c r="AK368" s="1">
        <v>48</v>
      </c>
      <c r="AL368" s="19">
        <v>0.8</v>
      </c>
      <c r="AN368" s="109" t="str">
        <f t="shared" si="34"/>
        <v>Janie &amp; JackUSAOutletJJ 17 MAR SUMMER 0</v>
      </c>
      <c r="AO368" s="1" t="s">
        <v>30</v>
      </c>
      <c r="AP368" s="1" t="s">
        <v>16</v>
      </c>
      <c r="AQ368" s="1" t="s">
        <v>274</v>
      </c>
      <c r="AR368" s="1">
        <v>2017</v>
      </c>
      <c r="AS368" s="1" t="s">
        <v>17</v>
      </c>
      <c r="AT368" s="123" t="s">
        <v>188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3"/>
        <v>GymboreeWebUSA49</v>
      </c>
      <c r="AH369" s="1" t="s">
        <v>13</v>
      </c>
      <c r="AI369" s="1" t="s">
        <v>14</v>
      </c>
      <c r="AJ369" s="1" t="s">
        <v>274</v>
      </c>
      <c r="AK369" s="1">
        <v>49</v>
      </c>
      <c r="AL369" s="19">
        <v>0.8</v>
      </c>
      <c r="AN369" s="109" t="str">
        <f t="shared" si="34"/>
        <v>Janie &amp; JackUSAOutletJJ 17 APR SMR 1 A+B</v>
      </c>
      <c r="AO369" s="1" t="s">
        <v>30</v>
      </c>
      <c r="AP369" s="1" t="s">
        <v>16</v>
      </c>
      <c r="AQ369" s="1" t="s">
        <v>274</v>
      </c>
      <c r="AR369" s="1">
        <v>2017</v>
      </c>
      <c r="AS369" s="1" t="s">
        <v>17</v>
      </c>
      <c r="AT369" s="123" t="s">
        <v>190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3"/>
        <v>GymboreeWebUSA50</v>
      </c>
      <c r="AH370" s="1" t="s">
        <v>13</v>
      </c>
      <c r="AI370" s="1" t="s">
        <v>14</v>
      </c>
      <c r="AJ370" s="1" t="s">
        <v>274</v>
      </c>
      <c r="AK370" s="1">
        <v>50</v>
      </c>
      <c r="AL370" s="19">
        <v>0.8</v>
      </c>
      <c r="AN370" s="109" t="str">
        <f t="shared" si="34"/>
        <v>Janie &amp; JackUSAOutletJJ 17 SMR BASICS</v>
      </c>
      <c r="AO370" s="1" t="s">
        <v>30</v>
      </c>
      <c r="AP370" s="1" t="s">
        <v>16</v>
      </c>
      <c r="AQ370" s="1" t="s">
        <v>274</v>
      </c>
      <c r="AR370" s="1">
        <v>2017</v>
      </c>
      <c r="AS370" s="1" t="s">
        <v>17</v>
      </c>
      <c r="AT370" s="123" t="s">
        <v>158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3"/>
        <v>GymboreeWebUSA51</v>
      </c>
      <c r="AH371" s="1" t="s">
        <v>13</v>
      </c>
      <c r="AI371" s="1" t="s">
        <v>14</v>
      </c>
      <c r="AJ371" s="1" t="s">
        <v>274</v>
      </c>
      <c r="AK371" s="1">
        <v>51</v>
      </c>
      <c r="AL371" s="19">
        <v>0.8</v>
      </c>
      <c r="AN371" s="109" t="str">
        <f t="shared" si="34"/>
        <v>Janie &amp; JackUSAOutlet(new)</v>
      </c>
      <c r="AO371" s="1" t="s">
        <v>30</v>
      </c>
      <c r="AP371" s="1" t="s">
        <v>16</v>
      </c>
      <c r="AQ371" s="1" t="s">
        <v>274</v>
      </c>
      <c r="AR371" s="1">
        <v>2017</v>
      </c>
      <c r="AS371" s="1" t="s">
        <v>17</v>
      </c>
      <c r="AT371" s="123" t="s">
        <v>324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3"/>
        <v>GymboreeWebUSA52</v>
      </c>
      <c r="AH372" s="1" t="s">
        <v>13</v>
      </c>
      <c r="AI372" s="1" t="s">
        <v>14</v>
      </c>
      <c r="AJ372" s="1" t="s">
        <v>274</v>
      </c>
      <c r="AK372" s="1">
        <v>52</v>
      </c>
      <c r="AL372" s="19">
        <v>0.8</v>
      </c>
      <c r="AN372" s="109" t="str">
        <f t="shared" si="34"/>
        <v>Janie &amp; JackUSAOutletJJ 17 SUMMER 2</v>
      </c>
      <c r="AO372" s="1" t="s">
        <v>30</v>
      </c>
      <c r="AP372" s="1" t="s">
        <v>16</v>
      </c>
      <c r="AQ372" s="1" t="s">
        <v>274</v>
      </c>
      <c r="AR372" s="1">
        <v>2017</v>
      </c>
      <c r="AS372" s="1" t="s">
        <v>17</v>
      </c>
      <c r="AT372" s="123" t="s">
        <v>192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3"/>
        <v>GymboreeWebUSA53</v>
      </c>
      <c r="AH373" s="1" t="s">
        <v>13</v>
      </c>
      <c r="AI373" s="1" t="s">
        <v>14</v>
      </c>
      <c r="AJ373" s="1" t="s">
        <v>274</v>
      </c>
      <c r="AK373" s="1">
        <v>53</v>
      </c>
      <c r="AL373" s="19">
        <v>0.8</v>
      </c>
      <c r="AN373" s="109" t="str">
        <f t="shared" si="34"/>
        <v>Janie &amp; JackUSAOutletJJ 17 4TH OF JULY</v>
      </c>
      <c r="AO373" s="1" t="s">
        <v>30</v>
      </c>
      <c r="AP373" s="1" t="s">
        <v>16</v>
      </c>
      <c r="AQ373" s="1" t="s">
        <v>274</v>
      </c>
      <c r="AR373" s="1">
        <v>2017</v>
      </c>
      <c r="AS373" s="1" t="s">
        <v>17</v>
      </c>
      <c r="AT373" s="123" t="s">
        <v>194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3"/>
        <v>Crazy 8RetailUSA1</v>
      </c>
      <c r="AH374" s="1" t="s">
        <v>56</v>
      </c>
      <c r="AI374" s="1" t="s">
        <v>5</v>
      </c>
      <c r="AJ374" s="1" t="s">
        <v>274</v>
      </c>
      <c r="AK374" s="1">
        <v>1</v>
      </c>
      <c r="AL374" s="19">
        <v>0.3</v>
      </c>
      <c r="AN374" s="109" t="str">
        <f t="shared" si="34"/>
        <v>Janie &amp; JackUSAOutletJJ 17 TRANS GIFTING LAY</v>
      </c>
      <c r="AO374" s="1" t="s">
        <v>30</v>
      </c>
      <c r="AP374" s="1" t="s">
        <v>16</v>
      </c>
      <c r="AQ374" s="1" t="s">
        <v>274</v>
      </c>
      <c r="AR374" s="1">
        <v>2017</v>
      </c>
      <c r="AS374" s="1" t="s">
        <v>17</v>
      </c>
      <c r="AT374" s="123" t="s">
        <v>203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3"/>
        <v>Crazy 8RetailUSA2</v>
      </c>
      <c r="AH375" s="1" t="s">
        <v>56</v>
      </c>
      <c r="AI375" s="1" t="s">
        <v>5</v>
      </c>
      <c r="AJ375" s="1" t="s">
        <v>274</v>
      </c>
      <c r="AK375" s="1">
        <v>2</v>
      </c>
      <c r="AL375" s="19">
        <v>0.3</v>
      </c>
      <c r="AN375" s="109" t="str">
        <f t="shared" si="34"/>
        <v>Janie &amp; JackUSAOutletJJ 17 SUMMER 3</v>
      </c>
      <c r="AO375" s="1" t="s">
        <v>30</v>
      </c>
      <c r="AP375" s="1" t="s">
        <v>16</v>
      </c>
      <c r="AQ375" s="1" t="s">
        <v>274</v>
      </c>
      <c r="AR375" s="1">
        <v>2017</v>
      </c>
      <c r="AS375" s="1" t="s">
        <v>17</v>
      </c>
      <c r="AT375" s="123" t="s">
        <v>196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3"/>
        <v>Crazy 8RetailUSA3</v>
      </c>
      <c r="AH376" s="1" t="s">
        <v>56</v>
      </c>
      <c r="AI376" s="1" t="s">
        <v>5</v>
      </c>
      <c r="AJ376" s="1" t="s">
        <v>274</v>
      </c>
      <c r="AK376" s="1">
        <v>3</v>
      </c>
      <c r="AL376" s="19">
        <v>0.3</v>
      </c>
      <c r="AN376" s="109" t="str">
        <f t="shared" si="34"/>
        <v>Janie &amp; JackUSAOutlet(new)</v>
      </c>
      <c r="AO376" s="1" t="s">
        <v>30</v>
      </c>
      <c r="AP376" s="1" t="s">
        <v>16</v>
      </c>
      <c r="AQ376" s="1" t="s">
        <v>274</v>
      </c>
      <c r="AR376" s="1">
        <v>2017</v>
      </c>
      <c r="AS376" s="1" t="s">
        <v>17</v>
      </c>
      <c r="AT376" s="123" t="s">
        <v>324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3"/>
        <v>Crazy 8RetailUSA4</v>
      </c>
      <c r="AH377" s="1" t="s">
        <v>56</v>
      </c>
      <c r="AI377" s="1" t="s">
        <v>5</v>
      </c>
      <c r="AJ377" s="1" t="s">
        <v>274</v>
      </c>
      <c r="AK377" s="1">
        <v>4</v>
      </c>
      <c r="AL377" s="19">
        <v>0.3</v>
      </c>
      <c r="AN377" s="109" t="str">
        <f t="shared" si="34"/>
        <v>Janie &amp; JackUSAOutletJJ 17 SUMMER 4</v>
      </c>
      <c r="AO377" s="1" t="s">
        <v>30</v>
      </c>
      <c r="AP377" s="1" t="s">
        <v>16</v>
      </c>
      <c r="AQ377" s="1" t="s">
        <v>274</v>
      </c>
      <c r="AR377" s="1">
        <v>2017</v>
      </c>
      <c r="AS377" s="1" t="s">
        <v>17</v>
      </c>
      <c r="AT377" s="123" t="s">
        <v>198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3"/>
        <v>Crazy 8RetailUSA5</v>
      </c>
      <c r="AH378" s="1" t="s">
        <v>56</v>
      </c>
      <c r="AI378" s="1" t="s">
        <v>5</v>
      </c>
      <c r="AJ378" s="1" t="s">
        <v>274</v>
      </c>
      <c r="AK378" s="1">
        <v>5</v>
      </c>
      <c r="AL378" s="19">
        <v>0.35</v>
      </c>
      <c r="AN378" s="109" t="str">
        <f t="shared" si="34"/>
        <v>Janie &amp; JackUSAOutletJJ 17 JULY TRANS 1</v>
      </c>
      <c r="AO378" s="1" t="s">
        <v>30</v>
      </c>
      <c r="AP378" s="1" t="s">
        <v>16</v>
      </c>
      <c r="AQ378" s="1" t="s">
        <v>274</v>
      </c>
      <c r="AR378" s="1">
        <v>2017</v>
      </c>
      <c r="AS378" s="1" t="s">
        <v>17</v>
      </c>
      <c r="AT378" s="123" t="s">
        <v>200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3"/>
        <v>Crazy 8RetailUSA6</v>
      </c>
      <c r="AH379" s="1" t="s">
        <v>56</v>
      </c>
      <c r="AI379" s="1" t="s">
        <v>5</v>
      </c>
      <c r="AJ379" s="1" t="s">
        <v>274</v>
      </c>
      <c r="AK379" s="1">
        <v>6</v>
      </c>
      <c r="AL379" s="19">
        <v>0.35</v>
      </c>
      <c r="AN379" s="109" t="str">
        <f t="shared" si="34"/>
        <v>Janie &amp; JackUSAOutletJJ 17 TRANS 2</v>
      </c>
      <c r="AO379" s="1" t="s">
        <v>30</v>
      </c>
      <c r="AP379" s="1" t="s">
        <v>16</v>
      </c>
      <c r="AQ379" s="1" t="s">
        <v>274</v>
      </c>
      <c r="AR379" s="1">
        <v>2017</v>
      </c>
      <c r="AS379" s="1" t="s">
        <v>17</v>
      </c>
      <c r="AT379" s="123" t="s">
        <v>141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3"/>
        <v>Crazy 8RetailUSA7</v>
      </c>
      <c r="AH380" s="1" t="s">
        <v>56</v>
      </c>
      <c r="AI380" s="1" t="s">
        <v>5</v>
      </c>
      <c r="AJ380" s="1" t="s">
        <v>274</v>
      </c>
      <c r="AK380" s="1">
        <v>7</v>
      </c>
      <c r="AL380" s="19">
        <v>0.35</v>
      </c>
      <c r="AN380" s="109" t="str">
        <f t="shared" si="34"/>
        <v>Janie &amp; JackUSAOutlet(new)</v>
      </c>
      <c r="AO380" s="1" t="s">
        <v>30</v>
      </c>
      <c r="AP380" s="1" t="s">
        <v>16</v>
      </c>
      <c r="AQ380" s="1" t="s">
        <v>274</v>
      </c>
      <c r="AR380" s="1">
        <v>2017</v>
      </c>
      <c r="AS380" s="1" t="s">
        <v>17</v>
      </c>
      <c r="AT380" s="123" t="s">
        <v>324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3"/>
        <v>Crazy 8RetailUSA8</v>
      </c>
      <c r="AH381" s="1" t="s">
        <v>56</v>
      </c>
      <c r="AI381" s="1" t="s">
        <v>5</v>
      </c>
      <c r="AJ381" s="1" t="s">
        <v>274</v>
      </c>
      <c r="AK381" s="1">
        <v>8</v>
      </c>
      <c r="AL381" s="19">
        <v>0.35</v>
      </c>
      <c r="AN381" s="109" t="str">
        <f t="shared" si="34"/>
        <v>Janie &amp; JackUSAOutletJJ 17 SO SB2</v>
      </c>
      <c r="AO381" s="1" t="s">
        <v>30</v>
      </c>
      <c r="AP381" s="1" t="s">
        <v>16</v>
      </c>
      <c r="AQ381" s="1" t="s">
        <v>274</v>
      </c>
      <c r="AR381" s="1">
        <v>2017</v>
      </c>
      <c r="AS381" s="1" t="s">
        <v>17</v>
      </c>
      <c r="AT381" s="123" t="s">
        <v>165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3"/>
        <v>Crazy 8RetailUSA9</v>
      </c>
      <c r="AH382" s="1" t="s">
        <v>56</v>
      </c>
      <c r="AI382" s="1" t="s">
        <v>5</v>
      </c>
      <c r="AJ382" s="1" t="s">
        <v>274</v>
      </c>
      <c r="AK382" s="1">
        <v>9</v>
      </c>
      <c r="AL382" s="19">
        <v>0.35</v>
      </c>
      <c r="AN382" s="109" t="str">
        <f t="shared" si="34"/>
        <v>Janie &amp; JackUSAOutletJJ 17 JULY TRANS 3 GIRL ONLY</v>
      </c>
      <c r="AO382" s="1" t="s">
        <v>30</v>
      </c>
      <c r="AP382" s="1" t="s">
        <v>16</v>
      </c>
      <c r="AQ382" s="1" t="s">
        <v>274</v>
      </c>
      <c r="AR382" s="1">
        <v>2017</v>
      </c>
      <c r="AS382" s="1" t="s">
        <v>17</v>
      </c>
      <c r="AT382" s="123" t="s">
        <v>143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3"/>
        <v>Crazy 8RetailUSA10</v>
      </c>
      <c r="AH383" s="1" t="s">
        <v>56</v>
      </c>
      <c r="AI383" s="1" t="s">
        <v>5</v>
      </c>
      <c r="AJ383" s="1" t="s">
        <v>274</v>
      </c>
      <c r="AK383" s="1">
        <v>10</v>
      </c>
      <c r="AL383" s="19">
        <v>0.4</v>
      </c>
      <c r="AN383" s="109" t="str">
        <f t="shared" si="34"/>
        <v>Janie &amp; JackUSAOutlet(new)</v>
      </c>
      <c r="AO383" s="1" t="s">
        <v>30</v>
      </c>
      <c r="AP383" s="1" t="s">
        <v>16</v>
      </c>
      <c r="AQ383" s="1" t="s">
        <v>274</v>
      </c>
      <c r="AR383" s="1">
        <v>2017</v>
      </c>
      <c r="AS383" s="1" t="s">
        <v>17</v>
      </c>
      <c r="AT383" s="123" t="s">
        <v>324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3"/>
        <v>Crazy 8RetailUSA11</v>
      </c>
      <c r="AH384" s="1" t="s">
        <v>56</v>
      </c>
      <c r="AI384" s="1" t="s">
        <v>5</v>
      </c>
      <c r="AJ384" s="1" t="s">
        <v>274</v>
      </c>
      <c r="AK384" s="1">
        <v>11</v>
      </c>
      <c r="AL384" s="19">
        <v>0.4</v>
      </c>
      <c r="AN384" s="109" t="str">
        <f t="shared" si="34"/>
        <v>Janie &amp; JackUSAOutletJJ 17 FALL GIFTING LAY</v>
      </c>
      <c r="AO384" s="1" t="s">
        <v>30</v>
      </c>
      <c r="AP384" s="1" t="s">
        <v>16</v>
      </c>
      <c r="AQ384" s="1" t="s">
        <v>274</v>
      </c>
      <c r="AR384" s="1">
        <v>2017</v>
      </c>
      <c r="AS384" s="1" t="s">
        <v>17</v>
      </c>
      <c r="AT384" s="123" t="s">
        <v>308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3"/>
        <v>Crazy 8RetailUSA12</v>
      </c>
      <c r="AH385" s="1" t="s">
        <v>56</v>
      </c>
      <c r="AI385" s="1" t="s">
        <v>5</v>
      </c>
      <c r="AJ385" s="1" t="s">
        <v>274</v>
      </c>
      <c r="AK385" s="1">
        <v>12</v>
      </c>
      <c r="AL385" s="19">
        <v>0.4</v>
      </c>
      <c r="AN385" s="109" t="str">
        <f t="shared" si="34"/>
        <v>GymboreeUSARetailGY 17 JAN CAP</v>
      </c>
      <c r="AO385" s="1" t="s">
        <v>13</v>
      </c>
      <c r="AP385" s="1" t="s">
        <v>5</v>
      </c>
      <c r="AQ385" s="1" t="s">
        <v>274</v>
      </c>
      <c r="AR385" s="1">
        <v>2017</v>
      </c>
      <c r="AS385" s="1" t="s">
        <v>15</v>
      </c>
      <c r="AT385" s="123" t="s">
        <v>309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3"/>
        <v>Crazy 8RetailUSA13</v>
      </c>
      <c r="AH386" s="1" t="s">
        <v>56</v>
      </c>
      <c r="AI386" s="1" t="s">
        <v>5</v>
      </c>
      <c r="AJ386" s="1" t="s">
        <v>274</v>
      </c>
      <c r="AK386" s="1">
        <v>13</v>
      </c>
      <c r="AL386" s="19">
        <v>0.4</v>
      </c>
      <c r="AN386" s="109" t="str">
        <f t="shared" si="34"/>
        <v>GymboreeUSARetailGY 17 SPR</v>
      </c>
      <c r="AO386" s="1" t="s">
        <v>13</v>
      </c>
      <c r="AP386" s="1" t="s">
        <v>5</v>
      </c>
      <c r="AQ386" s="1" t="s">
        <v>274</v>
      </c>
      <c r="AR386" s="1">
        <v>2017</v>
      </c>
      <c r="AS386" s="1" t="s">
        <v>15</v>
      </c>
      <c r="AT386" s="123" t="s">
        <v>115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3"/>
        <v>Crazy 8RetailUSA14</v>
      </c>
      <c r="AH387" s="1" t="s">
        <v>56</v>
      </c>
      <c r="AI387" s="1" t="s">
        <v>5</v>
      </c>
      <c r="AJ387" s="1" t="s">
        <v>274</v>
      </c>
      <c r="AK387" s="1">
        <v>14</v>
      </c>
      <c r="AL387" s="19">
        <v>0.4</v>
      </c>
      <c r="AN387" s="109" t="str">
        <f t="shared" si="34"/>
        <v>GymboreeUSARetailGY 17 SPRING BASICS</v>
      </c>
      <c r="AO387" s="1" t="s">
        <v>13</v>
      </c>
      <c r="AP387" s="1" t="s">
        <v>5</v>
      </c>
      <c r="AQ387" s="1" t="s">
        <v>274</v>
      </c>
      <c r="AR387" s="1">
        <v>2017</v>
      </c>
      <c r="AS387" s="1" t="s">
        <v>15</v>
      </c>
      <c r="AT387" s="123" t="s">
        <v>113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5">AH388&amp;AI388&amp;AJ388&amp;AK388</f>
        <v>Crazy 8RetailUSA15</v>
      </c>
      <c r="AH388" s="1" t="s">
        <v>56</v>
      </c>
      <c r="AI388" s="1" t="s">
        <v>5</v>
      </c>
      <c r="AJ388" s="1" t="s">
        <v>274</v>
      </c>
      <c r="AK388" s="1">
        <v>15</v>
      </c>
      <c r="AL388" s="19">
        <v>0.45</v>
      </c>
      <c r="AN388" s="109" t="str">
        <f t="shared" ref="AN388:AN444" si="36">AO388&amp;AQ388&amp;AP388&amp;AT388</f>
        <v>GymboreeUSARetailGY 17 SPR 1</v>
      </c>
      <c r="AO388" s="1" t="s">
        <v>13</v>
      </c>
      <c r="AP388" s="1" t="s">
        <v>5</v>
      </c>
      <c r="AQ388" s="1" t="s">
        <v>274</v>
      </c>
      <c r="AR388" s="1">
        <v>2017</v>
      </c>
      <c r="AS388" s="1" t="s">
        <v>15</v>
      </c>
      <c r="AT388" s="123" t="s">
        <v>117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5"/>
        <v>Crazy 8RetailUSA16</v>
      </c>
      <c r="AH389" s="1" t="s">
        <v>56</v>
      </c>
      <c r="AI389" s="1" t="s">
        <v>5</v>
      </c>
      <c r="AJ389" s="1" t="s">
        <v>274</v>
      </c>
      <c r="AK389" s="1">
        <v>16</v>
      </c>
      <c r="AL389" s="19">
        <v>0.45</v>
      </c>
      <c r="AN389" s="109" t="str">
        <f t="shared" si="36"/>
        <v>GymboreeUSARetailGY 17 SPR 2</v>
      </c>
      <c r="AO389" s="1" t="s">
        <v>13</v>
      </c>
      <c r="AP389" s="1" t="s">
        <v>5</v>
      </c>
      <c r="AQ389" s="1" t="s">
        <v>274</v>
      </c>
      <c r="AR389" s="1">
        <v>2017</v>
      </c>
      <c r="AS389" s="1" t="s">
        <v>15</v>
      </c>
      <c r="AT389" s="123" t="s">
        <v>47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5"/>
        <v>Crazy 8RetailUSA17</v>
      </c>
      <c r="AH390" s="1" t="s">
        <v>56</v>
      </c>
      <c r="AI390" s="1" t="s">
        <v>5</v>
      </c>
      <c r="AJ390" s="1" t="s">
        <v>274</v>
      </c>
      <c r="AK390" s="1">
        <v>17</v>
      </c>
      <c r="AL390" s="19">
        <v>0.45</v>
      </c>
      <c r="AN390" s="109" t="str">
        <f t="shared" si="36"/>
        <v>GymboreeUSARetailGY 17 SWIM 1</v>
      </c>
      <c r="AO390" s="1" t="s">
        <v>13</v>
      </c>
      <c r="AP390" s="1" t="s">
        <v>5</v>
      </c>
      <c r="AQ390" s="1" t="s">
        <v>274</v>
      </c>
      <c r="AR390" s="1">
        <v>2017</v>
      </c>
      <c r="AS390" s="1" t="s">
        <v>15</v>
      </c>
      <c r="AT390" s="123" t="s">
        <v>119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5"/>
        <v>Crazy 8RetailUSA18</v>
      </c>
      <c r="AH391" s="1" t="s">
        <v>56</v>
      </c>
      <c r="AI391" s="1" t="s">
        <v>5</v>
      </c>
      <c r="AJ391" s="1" t="s">
        <v>274</v>
      </c>
      <c r="AK391" s="1">
        <v>18</v>
      </c>
      <c r="AL391" s="19">
        <v>0.45</v>
      </c>
      <c r="AN391" s="109" t="str">
        <f t="shared" si="36"/>
        <v>GymboreeUSARetailGY 17 SPR VAC</v>
      </c>
      <c r="AO391" s="1" t="s">
        <v>13</v>
      </c>
      <c r="AP391" s="1" t="s">
        <v>5</v>
      </c>
      <c r="AQ391" s="1" t="s">
        <v>274</v>
      </c>
      <c r="AR391" s="1">
        <v>2017</v>
      </c>
      <c r="AS391" s="1" t="s">
        <v>15</v>
      </c>
      <c r="AT391" s="123" t="s">
        <v>123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5"/>
        <v>Crazy 8RetailUSA19</v>
      </c>
      <c r="AH392" s="1" t="s">
        <v>56</v>
      </c>
      <c r="AI392" s="1" t="s">
        <v>5</v>
      </c>
      <c r="AJ392" s="1" t="s">
        <v>274</v>
      </c>
      <c r="AK392" s="1">
        <v>19</v>
      </c>
      <c r="AL392" s="19">
        <v>0.45</v>
      </c>
      <c r="AN392" s="109" t="str">
        <f t="shared" si="36"/>
        <v>GymboreeUSARetailGY 17 SWIM 2</v>
      </c>
      <c r="AO392" s="1" t="s">
        <v>13</v>
      </c>
      <c r="AP392" s="1" t="s">
        <v>5</v>
      </c>
      <c r="AQ392" s="1" t="s">
        <v>274</v>
      </c>
      <c r="AR392" s="1">
        <v>2017</v>
      </c>
      <c r="AS392" s="1" t="s">
        <v>15</v>
      </c>
      <c r="AT392" s="123" t="s">
        <v>127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5"/>
        <v>Crazy 8RetailUSA20</v>
      </c>
      <c r="AH393" s="1" t="s">
        <v>56</v>
      </c>
      <c r="AI393" s="1" t="s">
        <v>5</v>
      </c>
      <c r="AJ393" s="1" t="s">
        <v>274</v>
      </c>
      <c r="AK393" s="1">
        <v>20</v>
      </c>
      <c r="AL393" s="19">
        <v>0.5</v>
      </c>
      <c r="AN393" s="109" t="str">
        <f t="shared" si="36"/>
        <v>GymboreeUSARetailGY 17 SUM 1</v>
      </c>
      <c r="AO393" s="1" t="s">
        <v>13</v>
      </c>
      <c r="AP393" s="1" t="s">
        <v>5</v>
      </c>
      <c r="AQ393" s="1" t="s">
        <v>274</v>
      </c>
      <c r="AR393" s="1">
        <v>2017</v>
      </c>
      <c r="AS393" s="1" t="s">
        <v>15</v>
      </c>
      <c r="AT393" s="123" t="s">
        <v>125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5"/>
        <v>Crazy 8RetailUSA21</v>
      </c>
      <c r="AH394" s="1" t="s">
        <v>56</v>
      </c>
      <c r="AI394" s="1" t="s">
        <v>5</v>
      </c>
      <c r="AJ394" s="1" t="s">
        <v>274</v>
      </c>
      <c r="AK394" s="1">
        <v>21</v>
      </c>
      <c r="AL394" s="19">
        <v>0.5</v>
      </c>
      <c r="AN394" s="109" t="str">
        <f t="shared" si="36"/>
        <v>GymboreeUSARetailGY 17 DRSY CAP</v>
      </c>
      <c r="AO394" s="1" t="s">
        <v>13</v>
      </c>
      <c r="AP394" s="1" t="s">
        <v>5</v>
      </c>
      <c r="AQ394" s="1" t="s">
        <v>274</v>
      </c>
      <c r="AR394" s="1">
        <v>2017</v>
      </c>
      <c r="AS394" s="1" t="s">
        <v>15</v>
      </c>
      <c r="AT394" s="123" t="s">
        <v>121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5"/>
        <v>Crazy 8RetailUSA22</v>
      </c>
      <c r="AH395" s="1" t="s">
        <v>56</v>
      </c>
      <c r="AI395" s="1" t="s">
        <v>5</v>
      </c>
      <c r="AJ395" s="1" t="s">
        <v>274</v>
      </c>
      <c r="AK395" s="1">
        <v>22</v>
      </c>
      <c r="AL395" s="19">
        <v>0.5</v>
      </c>
      <c r="AN395" s="109" t="str">
        <f t="shared" si="36"/>
        <v>GymboreeUSARetailGY 17 SMR</v>
      </c>
      <c r="AO395" s="1" t="s">
        <v>13</v>
      </c>
      <c r="AP395" s="1" t="s">
        <v>5</v>
      </c>
      <c r="AQ395" s="1" t="s">
        <v>274</v>
      </c>
      <c r="AR395" s="1">
        <v>2017</v>
      </c>
      <c r="AS395" s="1" t="s">
        <v>17</v>
      </c>
      <c r="AT395" s="123" t="s">
        <v>139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5"/>
        <v>Crazy 8RetailUSA23</v>
      </c>
      <c r="AH396" s="1" t="s">
        <v>56</v>
      </c>
      <c r="AI396" s="1" t="s">
        <v>5</v>
      </c>
      <c r="AJ396" s="1" t="s">
        <v>274</v>
      </c>
      <c r="AK396" s="1">
        <v>23</v>
      </c>
      <c r="AL396" s="19">
        <v>0.5</v>
      </c>
      <c r="AN396" s="109" t="str">
        <f t="shared" si="36"/>
        <v>GymboreeUSARetailGY 17 SM2</v>
      </c>
      <c r="AO396" s="1" t="s">
        <v>13</v>
      </c>
      <c r="AP396" s="1" t="s">
        <v>5</v>
      </c>
      <c r="AQ396" s="1" t="s">
        <v>274</v>
      </c>
      <c r="AR396" s="1">
        <v>2017</v>
      </c>
      <c r="AS396" s="1" t="s">
        <v>17</v>
      </c>
      <c r="AT396" s="123" t="s">
        <v>129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5"/>
        <v>Crazy 8RetailUSA24</v>
      </c>
      <c r="AH397" s="1" t="s">
        <v>56</v>
      </c>
      <c r="AI397" s="1" t="s">
        <v>5</v>
      </c>
      <c r="AJ397" s="1" t="s">
        <v>274</v>
      </c>
      <c r="AK397" s="1">
        <v>24</v>
      </c>
      <c r="AL397" s="19">
        <v>0.5</v>
      </c>
      <c r="AN397" s="109" t="str">
        <f t="shared" si="36"/>
        <v>GymboreeUSARetailGY 17 SWIM 3</v>
      </c>
      <c r="AO397" s="1" t="s">
        <v>13</v>
      </c>
      <c r="AP397" s="1" t="s">
        <v>5</v>
      </c>
      <c r="AQ397" s="1" t="s">
        <v>274</v>
      </c>
      <c r="AR397" s="1">
        <v>2017</v>
      </c>
      <c r="AS397" s="1" t="s">
        <v>17</v>
      </c>
      <c r="AT397" s="123" t="s">
        <v>133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5"/>
        <v>Crazy 8RetailUSA25</v>
      </c>
      <c r="AH398" s="1" t="s">
        <v>56</v>
      </c>
      <c r="AI398" s="1" t="s">
        <v>5</v>
      </c>
      <c r="AJ398" s="1" t="s">
        <v>274</v>
      </c>
      <c r="AK398" s="1">
        <v>25</v>
      </c>
      <c r="AL398" s="19">
        <v>0.55000000000000004</v>
      </c>
      <c r="AN398" s="109" t="str">
        <f t="shared" si="36"/>
        <v>GymboreeUSARetailGY 17 SM3</v>
      </c>
      <c r="AO398" s="1" t="s">
        <v>13</v>
      </c>
      <c r="AP398" s="1" t="s">
        <v>5</v>
      </c>
      <c r="AQ398" s="1" t="s">
        <v>274</v>
      </c>
      <c r="AR398" s="1">
        <v>2017</v>
      </c>
      <c r="AS398" s="1" t="s">
        <v>17</v>
      </c>
      <c r="AT398" s="123" t="s">
        <v>131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5"/>
        <v>Crazy 8RetailUSA26</v>
      </c>
      <c r="AH399" s="1" t="s">
        <v>56</v>
      </c>
      <c r="AI399" s="1" t="s">
        <v>5</v>
      </c>
      <c r="AJ399" s="1" t="s">
        <v>274</v>
      </c>
      <c r="AK399" s="1">
        <v>26</v>
      </c>
      <c r="AL399" s="19">
        <v>0.55000000000000004</v>
      </c>
      <c r="AN399" s="109" t="str">
        <f t="shared" si="36"/>
        <v>GymboreeUSARetailGY 17 SM4</v>
      </c>
      <c r="AO399" s="1" t="s">
        <v>13</v>
      </c>
      <c r="AP399" s="1" t="s">
        <v>5</v>
      </c>
      <c r="AQ399" s="1" t="s">
        <v>274</v>
      </c>
      <c r="AR399" s="1">
        <v>2017</v>
      </c>
      <c r="AS399" s="1" t="s">
        <v>17</v>
      </c>
      <c r="AT399" s="123" t="s">
        <v>135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5"/>
        <v>Crazy 8RetailUSA27</v>
      </c>
      <c r="AH400" s="1" t="s">
        <v>56</v>
      </c>
      <c r="AI400" s="1" t="s">
        <v>5</v>
      </c>
      <c r="AJ400" s="1" t="s">
        <v>274</v>
      </c>
      <c r="AK400" s="1">
        <v>27</v>
      </c>
      <c r="AL400" s="19">
        <v>0.55000000000000004</v>
      </c>
      <c r="AN400" s="109" t="str">
        <f t="shared" si="36"/>
        <v>GymboreeUSARetailGY 17 TRANS</v>
      </c>
      <c r="AO400" s="1" t="s">
        <v>13</v>
      </c>
      <c r="AP400" s="1" t="s">
        <v>5</v>
      </c>
      <c r="AQ400" s="1" t="s">
        <v>274</v>
      </c>
      <c r="AR400" s="1">
        <v>2017</v>
      </c>
      <c r="AS400" s="1" t="s">
        <v>17</v>
      </c>
      <c r="AT400" s="123" t="s">
        <v>137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5"/>
        <v>Crazy 8RetailUSA28</v>
      </c>
      <c r="AH401" s="1" t="s">
        <v>56</v>
      </c>
      <c r="AI401" s="1" t="s">
        <v>5</v>
      </c>
      <c r="AJ401" s="1" t="s">
        <v>274</v>
      </c>
      <c r="AK401" s="1">
        <v>28</v>
      </c>
      <c r="AL401" s="19">
        <v>0.55000000000000004</v>
      </c>
      <c r="AN401" s="109" t="str">
        <f t="shared" si="36"/>
        <v>GymboreeUSAWebGY 17 JAN CAP</v>
      </c>
      <c r="AO401" s="1" t="s">
        <v>13</v>
      </c>
      <c r="AP401" s="1" t="s">
        <v>14</v>
      </c>
      <c r="AQ401" s="1" t="s">
        <v>274</v>
      </c>
      <c r="AR401" s="1">
        <v>2017</v>
      </c>
      <c r="AS401" s="1" t="s">
        <v>15</v>
      </c>
      <c r="AT401" s="123" t="s">
        <v>309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5"/>
        <v>Crazy 8RetailUSA29</v>
      </c>
      <c r="AH402" s="1" t="s">
        <v>56</v>
      </c>
      <c r="AI402" s="1" t="s">
        <v>5</v>
      </c>
      <c r="AJ402" s="1" t="s">
        <v>274</v>
      </c>
      <c r="AK402" s="1">
        <v>29</v>
      </c>
      <c r="AL402" s="19">
        <v>0.55000000000000004</v>
      </c>
      <c r="AN402" s="109" t="str">
        <f t="shared" si="36"/>
        <v>GymboreeUSAWebGY 17 SPR</v>
      </c>
      <c r="AO402" s="1" t="s">
        <v>13</v>
      </c>
      <c r="AP402" s="1" t="s">
        <v>14</v>
      </c>
      <c r="AQ402" s="1" t="s">
        <v>274</v>
      </c>
      <c r="AR402" s="1">
        <v>2017</v>
      </c>
      <c r="AS402" s="1" t="s">
        <v>15</v>
      </c>
      <c r="AT402" s="123" t="s">
        <v>115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5"/>
        <v>Crazy 8RetailUSA30</v>
      </c>
      <c r="AH403" s="1" t="s">
        <v>56</v>
      </c>
      <c r="AI403" s="1" t="s">
        <v>5</v>
      </c>
      <c r="AJ403" s="1" t="s">
        <v>274</v>
      </c>
      <c r="AK403" s="1">
        <v>30</v>
      </c>
      <c r="AL403" s="19">
        <v>0.6</v>
      </c>
      <c r="AN403" s="109" t="str">
        <f t="shared" si="36"/>
        <v>GymboreeUSAWebGY 17 SPRING BASICS</v>
      </c>
      <c r="AO403" s="1" t="s">
        <v>13</v>
      </c>
      <c r="AP403" s="1" t="s">
        <v>14</v>
      </c>
      <c r="AQ403" s="1" t="s">
        <v>274</v>
      </c>
      <c r="AR403" s="1">
        <v>2017</v>
      </c>
      <c r="AS403" s="1" t="s">
        <v>15</v>
      </c>
      <c r="AT403" s="123" t="s">
        <v>113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5"/>
        <v>Crazy 8RetailUSA31</v>
      </c>
      <c r="AH404" s="1" t="s">
        <v>56</v>
      </c>
      <c r="AI404" s="1" t="s">
        <v>5</v>
      </c>
      <c r="AJ404" s="1" t="s">
        <v>274</v>
      </c>
      <c r="AK404" s="1">
        <v>31</v>
      </c>
      <c r="AL404" s="19">
        <v>0.6</v>
      </c>
      <c r="AN404" s="109" t="str">
        <f t="shared" si="36"/>
        <v>GymboreeUSAWebGY 17 SPR 1</v>
      </c>
      <c r="AO404" s="1" t="s">
        <v>13</v>
      </c>
      <c r="AP404" s="1" t="s">
        <v>14</v>
      </c>
      <c r="AQ404" s="1" t="s">
        <v>274</v>
      </c>
      <c r="AR404" s="1">
        <v>2017</v>
      </c>
      <c r="AS404" s="1" t="s">
        <v>15</v>
      </c>
      <c r="AT404" s="123" t="s">
        <v>117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5"/>
        <v>Crazy 8RetailUSA32</v>
      </c>
      <c r="AH405" s="1" t="s">
        <v>56</v>
      </c>
      <c r="AI405" s="1" t="s">
        <v>5</v>
      </c>
      <c r="AJ405" s="1" t="s">
        <v>274</v>
      </c>
      <c r="AK405" s="1">
        <v>32</v>
      </c>
      <c r="AL405" s="19">
        <v>0.6</v>
      </c>
      <c r="AN405" s="109" t="str">
        <f t="shared" si="36"/>
        <v>GymboreeUSAWebGY 17 SPR 2</v>
      </c>
      <c r="AO405" s="1" t="s">
        <v>13</v>
      </c>
      <c r="AP405" s="1" t="s">
        <v>14</v>
      </c>
      <c r="AQ405" s="1" t="s">
        <v>274</v>
      </c>
      <c r="AR405" s="1">
        <v>2017</v>
      </c>
      <c r="AS405" s="1" t="s">
        <v>15</v>
      </c>
      <c r="AT405" s="123" t="s">
        <v>47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5"/>
        <v>Crazy 8RetailUSA33</v>
      </c>
      <c r="AH406" s="1" t="s">
        <v>56</v>
      </c>
      <c r="AI406" s="1" t="s">
        <v>5</v>
      </c>
      <c r="AJ406" s="1" t="s">
        <v>274</v>
      </c>
      <c r="AK406" s="1">
        <v>33</v>
      </c>
      <c r="AL406" s="19">
        <v>0.6</v>
      </c>
      <c r="AN406" s="109" t="str">
        <f t="shared" si="36"/>
        <v>GymboreeUSAWebGY 17 SWIM 1</v>
      </c>
      <c r="AO406" s="1" t="s">
        <v>13</v>
      </c>
      <c r="AP406" s="1" t="s">
        <v>14</v>
      </c>
      <c r="AQ406" s="1" t="s">
        <v>274</v>
      </c>
      <c r="AR406" s="1">
        <v>2017</v>
      </c>
      <c r="AS406" s="1" t="s">
        <v>15</v>
      </c>
      <c r="AT406" s="123" t="s">
        <v>119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5"/>
        <v>Crazy 8RetailUSA34</v>
      </c>
      <c r="AH407" s="1" t="s">
        <v>56</v>
      </c>
      <c r="AI407" s="1" t="s">
        <v>5</v>
      </c>
      <c r="AJ407" s="1" t="s">
        <v>274</v>
      </c>
      <c r="AK407" s="1">
        <v>34</v>
      </c>
      <c r="AL407" s="19">
        <v>0.6</v>
      </c>
      <c r="AN407" s="109" t="str">
        <f t="shared" si="36"/>
        <v>GymboreeUSAWebGY 17 SPR VAC</v>
      </c>
      <c r="AO407" s="1" t="s">
        <v>13</v>
      </c>
      <c r="AP407" s="1" t="s">
        <v>14</v>
      </c>
      <c r="AQ407" s="1" t="s">
        <v>274</v>
      </c>
      <c r="AR407" s="1">
        <v>2017</v>
      </c>
      <c r="AS407" s="1" t="s">
        <v>15</v>
      </c>
      <c r="AT407" s="123" t="s">
        <v>123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5"/>
        <v>Crazy 8RetailUSA35</v>
      </c>
      <c r="AH408" s="1" t="s">
        <v>56</v>
      </c>
      <c r="AI408" s="1" t="s">
        <v>5</v>
      </c>
      <c r="AJ408" s="1" t="s">
        <v>274</v>
      </c>
      <c r="AK408" s="1">
        <v>35</v>
      </c>
      <c r="AL408" s="19">
        <v>0.65</v>
      </c>
      <c r="AN408" s="109" t="str">
        <f t="shared" si="36"/>
        <v>GymboreeUSAWebGY 17 SWIM 2</v>
      </c>
      <c r="AO408" s="1" t="s">
        <v>13</v>
      </c>
      <c r="AP408" s="1" t="s">
        <v>14</v>
      </c>
      <c r="AQ408" s="1" t="s">
        <v>274</v>
      </c>
      <c r="AR408" s="1">
        <v>2017</v>
      </c>
      <c r="AS408" s="1" t="s">
        <v>15</v>
      </c>
      <c r="AT408" s="123" t="s">
        <v>127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5"/>
        <v>Crazy 8RetailUSA36</v>
      </c>
      <c r="AH409" s="1" t="s">
        <v>56</v>
      </c>
      <c r="AI409" s="1" t="s">
        <v>5</v>
      </c>
      <c r="AJ409" s="1" t="s">
        <v>274</v>
      </c>
      <c r="AK409" s="1">
        <v>36</v>
      </c>
      <c r="AL409" s="19">
        <v>0.65</v>
      </c>
      <c r="AN409" s="109" t="str">
        <f t="shared" si="36"/>
        <v>GymboreeUSAWebGY 17 SUM 1</v>
      </c>
      <c r="AO409" s="1" t="s">
        <v>13</v>
      </c>
      <c r="AP409" s="1" t="s">
        <v>14</v>
      </c>
      <c r="AQ409" s="1" t="s">
        <v>274</v>
      </c>
      <c r="AR409" s="1">
        <v>2017</v>
      </c>
      <c r="AS409" s="1" t="s">
        <v>15</v>
      </c>
      <c r="AT409" s="123" t="s">
        <v>125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5"/>
        <v>Crazy 8RetailUSA37</v>
      </c>
      <c r="AH410" s="1" t="s">
        <v>56</v>
      </c>
      <c r="AI410" s="1" t="s">
        <v>5</v>
      </c>
      <c r="AJ410" s="1" t="s">
        <v>274</v>
      </c>
      <c r="AK410" s="1">
        <v>37</v>
      </c>
      <c r="AL410" s="19">
        <v>0.65</v>
      </c>
      <c r="AN410" s="109" t="str">
        <f t="shared" si="36"/>
        <v>GymboreeUSAWebGY 17 DRSY CAP</v>
      </c>
      <c r="AO410" s="1" t="s">
        <v>13</v>
      </c>
      <c r="AP410" s="1" t="s">
        <v>14</v>
      </c>
      <c r="AQ410" s="1" t="s">
        <v>274</v>
      </c>
      <c r="AR410" s="1">
        <v>2017</v>
      </c>
      <c r="AS410" s="1" t="s">
        <v>15</v>
      </c>
      <c r="AT410" s="123" t="s">
        <v>121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5"/>
        <v>Crazy 8RetailUSA38</v>
      </c>
      <c r="AH411" s="1" t="s">
        <v>56</v>
      </c>
      <c r="AI411" s="1" t="s">
        <v>5</v>
      </c>
      <c r="AJ411" s="1" t="s">
        <v>274</v>
      </c>
      <c r="AK411" s="1">
        <v>38</v>
      </c>
      <c r="AL411" s="19">
        <v>0.65</v>
      </c>
      <c r="AN411" s="109" t="str">
        <f t="shared" si="36"/>
        <v>GymboreeUSAWebGY 17 SMR</v>
      </c>
      <c r="AO411" s="1" t="s">
        <v>13</v>
      </c>
      <c r="AP411" s="1" t="s">
        <v>14</v>
      </c>
      <c r="AQ411" s="1" t="s">
        <v>274</v>
      </c>
      <c r="AR411" s="1">
        <v>2017</v>
      </c>
      <c r="AS411" s="1" t="s">
        <v>17</v>
      </c>
      <c r="AT411" s="123" t="s">
        <v>139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5"/>
        <v>Crazy 8RetailUSA39</v>
      </c>
      <c r="AH412" s="1" t="s">
        <v>56</v>
      </c>
      <c r="AI412" s="1" t="s">
        <v>5</v>
      </c>
      <c r="AJ412" s="1" t="s">
        <v>274</v>
      </c>
      <c r="AK412" s="1">
        <v>39</v>
      </c>
      <c r="AL412" s="19">
        <v>0.65</v>
      </c>
      <c r="AN412" s="109" t="str">
        <f t="shared" si="36"/>
        <v>GymboreeUSAWebGY 17 SM2</v>
      </c>
      <c r="AO412" s="1" t="s">
        <v>13</v>
      </c>
      <c r="AP412" s="1" t="s">
        <v>14</v>
      </c>
      <c r="AQ412" s="1" t="s">
        <v>274</v>
      </c>
      <c r="AR412" s="1">
        <v>2017</v>
      </c>
      <c r="AS412" s="1" t="s">
        <v>17</v>
      </c>
      <c r="AT412" s="123" t="s">
        <v>129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5"/>
        <v>Crazy 8RetailUSA40</v>
      </c>
      <c r="AH413" s="1" t="s">
        <v>56</v>
      </c>
      <c r="AI413" s="1" t="s">
        <v>5</v>
      </c>
      <c r="AJ413" s="1" t="s">
        <v>274</v>
      </c>
      <c r="AK413" s="1">
        <v>40</v>
      </c>
      <c r="AL413" s="19">
        <v>0.7</v>
      </c>
      <c r="AN413" s="109" t="str">
        <f t="shared" si="36"/>
        <v>GymboreeUSAWebGY 17 SWIM 3</v>
      </c>
      <c r="AO413" s="1" t="s">
        <v>13</v>
      </c>
      <c r="AP413" s="1" t="s">
        <v>14</v>
      </c>
      <c r="AQ413" s="1" t="s">
        <v>274</v>
      </c>
      <c r="AR413" s="1">
        <v>2017</v>
      </c>
      <c r="AS413" s="1" t="s">
        <v>17</v>
      </c>
      <c r="AT413" s="123" t="s">
        <v>133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5"/>
        <v>Crazy 8RetailUSA41</v>
      </c>
      <c r="AH414" s="1" t="s">
        <v>56</v>
      </c>
      <c r="AI414" s="1" t="s">
        <v>5</v>
      </c>
      <c r="AJ414" s="1" t="s">
        <v>274</v>
      </c>
      <c r="AK414" s="1">
        <v>41</v>
      </c>
      <c r="AL414" s="19">
        <v>0.7</v>
      </c>
      <c r="AN414" s="109" t="str">
        <f t="shared" si="36"/>
        <v>GymboreeUSAWebGY 17 SM3</v>
      </c>
      <c r="AO414" s="1" t="s">
        <v>13</v>
      </c>
      <c r="AP414" s="1" t="s">
        <v>14</v>
      </c>
      <c r="AQ414" s="1" t="s">
        <v>274</v>
      </c>
      <c r="AR414" s="1">
        <v>2017</v>
      </c>
      <c r="AS414" s="1" t="s">
        <v>17</v>
      </c>
      <c r="AT414" s="123" t="s">
        <v>131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5"/>
        <v>Crazy 8RetailUSA42</v>
      </c>
      <c r="AH415" s="1" t="s">
        <v>56</v>
      </c>
      <c r="AI415" s="1" t="s">
        <v>5</v>
      </c>
      <c r="AJ415" s="1" t="s">
        <v>274</v>
      </c>
      <c r="AK415" s="1">
        <v>42</v>
      </c>
      <c r="AL415" s="19">
        <v>0.7</v>
      </c>
      <c r="AN415" s="109" t="str">
        <f t="shared" si="36"/>
        <v>GymboreeUSAWebGY 17 SM4</v>
      </c>
      <c r="AO415" s="1" t="s">
        <v>13</v>
      </c>
      <c r="AP415" s="1" t="s">
        <v>14</v>
      </c>
      <c r="AQ415" s="1" t="s">
        <v>274</v>
      </c>
      <c r="AR415" s="1">
        <v>2017</v>
      </c>
      <c r="AS415" s="1" t="s">
        <v>17</v>
      </c>
      <c r="AT415" s="123" t="s">
        <v>135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5"/>
        <v>Crazy 8RetailUSA43</v>
      </c>
      <c r="AH416" s="1" t="s">
        <v>56</v>
      </c>
      <c r="AI416" s="1" t="s">
        <v>5</v>
      </c>
      <c r="AJ416" s="1" t="s">
        <v>274</v>
      </c>
      <c r="AK416" s="1">
        <v>43</v>
      </c>
      <c r="AL416" s="19">
        <v>0.7</v>
      </c>
      <c r="AN416" s="109" t="str">
        <f t="shared" si="36"/>
        <v>GymboreeUSAWebGY 17 TRANS</v>
      </c>
      <c r="AO416" s="1" t="s">
        <v>13</v>
      </c>
      <c r="AP416" s="1" t="s">
        <v>14</v>
      </c>
      <c r="AQ416" s="1" t="s">
        <v>274</v>
      </c>
      <c r="AR416" s="1">
        <v>2017</v>
      </c>
      <c r="AS416" s="1" t="s">
        <v>17</v>
      </c>
      <c r="AT416" s="123" t="s">
        <v>137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5"/>
        <v>Crazy 8RetailUSA44</v>
      </c>
      <c r="AH417" s="1" t="s">
        <v>56</v>
      </c>
      <c r="AI417" s="1" t="s">
        <v>5</v>
      </c>
      <c r="AJ417" s="1" t="s">
        <v>274</v>
      </c>
      <c r="AK417" s="1">
        <v>44</v>
      </c>
      <c r="AL417" s="19">
        <v>0.7</v>
      </c>
      <c r="AN417" s="109" t="str">
        <f t="shared" si="36"/>
        <v>GymboreeCanadaRetailGY 17 JAN CAP</v>
      </c>
      <c r="AO417" s="1" t="s">
        <v>13</v>
      </c>
      <c r="AP417" s="1" t="s">
        <v>5</v>
      </c>
      <c r="AQ417" s="1" t="s">
        <v>275</v>
      </c>
      <c r="AR417" s="1">
        <v>2017</v>
      </c>
      <c r="AS417" s="1" t="s">
        <v>15</v>
      </c>
      <c r="AT417" s="123" t="s">
        <v>309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5"/>
        <v>Crazy 8RetailUSA45</v>
      </c>
      <c r="AH418" s="1" t="s">
        <v>56</v>
      </c>
      <c r="AI418" s="1" t="s">
        <v>5</v>
      </c>
      <c r="AJ418" s="1" t="s">
        <v>274</v>
      </c>
      <c r="AK418" s="1">
        <v>45</v>
      </c>
      <c r="AL418" s="19">
        <v>0.7</v>
      </c>
      <c r="AN418" s="109" t="str">
        <f t="shared" si="36"/>
        <v>GymboreeCanadaRetailGY 17 SPR</v>
      </c>
      <c r="AO418" s="1" t="s">
        <v>13</v>
      </c>
      <c r="AP418" s="1" t="s">
        <v>5</v>
      </c>
      <c r="AQ418" s="1" t="s">
        <v>275</v>
      </c>
      <c r="AR418" s="1">
        <v>2017</v>
      </c>
      <c r="AS418" s="1" t="s">
        <v>15</v>
      </c>
      <c r="AT418" s="123" t="s">
        <v>115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5"/>
        <v>Crazy 8RetailUSA46</v>
      </c>
      <c r="AH419" s="1" t="s">
        <v>56</v>
      </c>
      <c r="AI419" s="1" t="s">
        <v>5</v>
      </c>
      <c r="AJ419" s="1" t="s">
        <v>274</v>
      </c>
      <c r="AK419" s="1">
        <v>46</v>
      </c>
      <c r="AL419" s="19">
        <v>0.7</v>
      </c>
      <c r="AN419" s="109" t="str">
        <f t="shared" si="36"/>
        <v>GymboreeCanadaRetailGY 17 SPRING BASICS</v>
      </c>
      <c r="AO419" s="1" t="s">
        <v>13</v>
      </c>
      <c r="AP419" s="1" t="s">
        <v>5</v>
      </c>
      <c r="AQ419" s="1" t="s">
        <v>275</v>
      </c>
      <c r="AR419" s="1">
        <v>2017</v>
      </c>
      <c r="AS419" s="1" t="s">
        <v>15</v>
      </c>
      <c r="AT419" s="123" t="s">
        <v>113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5"/>
        <v>Crazy 8RetailUSA47</v>
      </c>
      <c r="AH420" s="1" t="s">
        <v>56</v>
      </c>
      <c r="AI420" s="1" t="s">
        <v>5</v>
      </c>
      <c r="AJ420" s="1" t="s">
        <v>274</v>
      </c>
      <c r="AK420" s="1">
        <v>47</v>
      </c>
      <c r="AL420" s="19">
        <v>0.7</v>
      </c>
      <c r="AN420" s="109" t="str">
        <f t="shared" si="36"/>
        <v>GymboreeCanadaRetailGY 17 SPR 1</v>
      </c>
      <c r="AO420" s="1" t="s">
        <v>13</v>
      </c>
      <c r="AP420" s="1" t="s">
        <v>5</v>
      </c>
      <c r="AQ420" s="1" t="s">
        <v>275</v>
      </c>
      <c r="AR420" s="1">
        <v>2017</v>
      </c>
      <c r="AS420" s="1" t="s">
        <v>15</v>
      </c>
      <c r="AT420" s="123" t="s">
        <v>117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5"/>
        <v>Crazy 8RetailUSA48</v>
      </c>
      <c r="AH421" s="1" t="s">
        <v>56</v>
      </c>
      <c r="AI421" s="1" t="s">
        <v>5</v>
      </c>
      <c r="AJ421" s="1" t="s">
        <v>274</v>
      </c>
      <c r="AK421" s="1">
        <v>48</v>
      </c>
      <c r="AL421" s="19">
        <v>0.7</v>
      </c>
      <c r="AN421" s="109" t="str">
        <f t="shared" si="36"/>
        <v>GymboreeCanadaRetailGY 17 SPR 2</v>
      </c>
      <c r="AO421" s="1" t="s">
        <v>13</v>
      </c>
      <c r="AP421" s="1" t="s">
        <v>5</v>
      </c>
      <c r="AQ421" s="1" t="s">
        <v>275</v>
      </c>
      <c r="AR421" s="1">
        <v>2017</v>
      </c>
      <c r="AS421" s="1" t="s">
        <v>15</v>
      </c>
      <c r="AT421" s="123" t="s">
        <v>47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5"/>
        <v>Crazy 8RetailUSA49</v>
      </c>
      <c r="AH422" s="1" t="s">
        <v>56</v>
      </c>
      <c r="AI422" s="1" t="s">
        <v>5</v>
      </c>
      <c r="AJ422" s="1" t="s">
        <v>274</v>
      </c>
      <c r="AK422" s="1">
        <v>49</v>
      </c>
      <c r="AL422" s="19">
        <v>0.7</v>
      </c>
      <c r="AN422" s="109" t="str">
        <f t="shared" si="36"/>
        <v>GymboreeCanadaRetailGY 17 SWIM 1</v>
      </c>
      <c r="AO422" s="1" t="s">
        <v>13</v>
      </c>
      <c r="AP422" s="1" t="s">
        <v>5</v>
      </c>
      <c r="AQ422" s="1" t="s">
        <v>275</v>
      </c>
      <c r="AR422" s="1">
        <v>2017</v>
      </c>
      <c r="AS422" s="1" t="s">
        <v>15</v>
      </c>
      <c r="AT422" s="123" t="s">
        <v>119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5"/>
        <v>Crazy 8RetailUSA50</v>
      </c>
      <c r="AH423" s="1" t="s">
        <v>56</v>
      </c>
      <c r="AI423" s="1" t="s">
        <v>5</v>
      </c>
      <c r="AJ423" s="1" t="s">
        <v>274</v>
      </c>
      <c r="AK423" s="1">
        <v>50</v>
      </c>
      <c r="AL423" s="19">
        <v>0.7</v>
      </c>
      <c r="AN423" s="109" t="str">
        <f t="shared" si="36"/>
        <v>GymboreeCanadaRetailGY 17 SPR VAC</v>
      </c>
      <c r="AO423" s="1" t="s">
        <v>13</v>
      </c>
      <c r="AP423" s="1" t="s">
        <v>5</v>
      </c>
      <c r="AQ423" s="1" t="s">
        <v>275</v>
      </c>
      <c r="AR423" s="1">
        <v>2017</v>
      </c>
      <c r="AS423" s="1" t="s">
        <v>15</v>
      </c>
      <c r="AT423" s="123" t="s">
        <v>123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5"/>
        <v>Crazy 8RetailUSA51</v>
      </c>
      <c r="AH424" s="1" t="s">
        <v>56</v>
      </c>
      <c r="AI424" s="1" t="s">
        <v>5</v>
      </c>
      <c r="AJ424" s="1" t="s">
        <v>274</v>
      </c>
      <c r="AK424" s="1">
        <v>51</v>
      </c>
      <c r="AL424" s="19">
        <v>0.7</v>
      </c>
      <c r="AN424" s="109" t="str">
        <f t="shared" si="36"/>
        <v>GymboreeCanadaRetailGY 17 SWIM 2</v>
      </c>
      <c r="AO424" s="1" t="s">
        <v>13</v>
      </c>
      <c r="AP424" s="1" t="s">
        <v>5</v>
      </c>
      <c r="AQ424" s="1" t="s">
        <v>275</v>
      </c>
      <c r="AR424" s="1">
        <v>2017</v>
      </c>
      <c r="AS424" s="1" t="s">
        <v>15</v>
      </c>
      <c r="AT424" s="123" t="s">
        <v>127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5"/>
        <v>Crazy 8RetailUSA52</v>
      </c>
      <c r="AH425" s="1" t="s">
        <v>56</v>
      </c>
      <c r="AI425" s="1" t="s">
        <v>5</v>
      </c>
      <c r="AJ425" s="1" t="s">
        <v>274</v>
      </c>
      <c r="AK425" s="1">
        <v>52</v>
      </c>
      <c r="AL425" s="19">
        <v>0.7</v>
      </c>
      <c r="AN425" s="109" t="str">
        <f t="shared" si="36"/>
        <v>GymboreeCanadaRetailGY 17 SUM 1</v>
      </c>
      <c r="AO425" s="1" t="s">
        <v>13</v>
      </c>
      <c r="AP425" s="1" t="s">
        <v>5</v>
      </c>
      <c r="AQ425" s="1" t="s">
        <v>275</v>
      </c>
      <c r="AR425" s="1">
        <v>2017</v>
      </c>
      <c r="AS425" s="1" t="s">
        <v>15</v>
      </c>
      <c r="AT425" s="123" t="s">
        <v>125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5"/>
        <v>Crazy 8RetailUSA53</v>
      </c>
      <c r="AH426" s="1" t="s">
        <v>56</v>
      </c>
      <c r="AI426" s="1" t="s">
        <v>5</v>
      </c>
      <c r="AJ426" s="1" t="s">
        <v>274</v>
      </c>
      <c r="AK426" s="1">
        <v>53</v>
      </c>
      <c r="AL426" s="19">
        <v>0.7</v>
      </c>
      <c r="AN426" s="109" t="str">
        <f t="shared" si="36"/>
        <v>GymboreeCanadaRetailGY 17 DRSY CAP</v>
      </c>
      <c r="AO426" s="1" t="s">
        <v>13</v>
      </c>
      <c r="AP426" s="1" t="s">
        <v>5</v>
      </c>
      <c r="AQ426" s="1" t="s">
        <v>275</v>
      </c>
      <c r="AR426" s="1">
        <v>2017</v>
      </c>
      <c r="AS426" s="1" t="s">
        <v>15</v>
      </c>
      <c r="AT426" s="123" t="s">
        <v>121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5"/>
        <v>Crazy 8WebUSA1</v>
      </c>
      <c r="AH427" s="1" t="s">
        <v>56</v>
      </c>
      <c r="AI427" s="1" t="s">
        <v>14</v>
      </c>
      <c r="AJ427" s="1" t="s">
        <v>274</v>
      </c>
      <c r="AK427" s="1">
        <v>1</v>
      </c>
      <c r="AL427" s="19">
        <v>0.3</v>
      </c>
      <c r="AN427" s="109" t="str">
        <f t="shared" si="36"/>
        <v>GymboreeCanadaRetailGY 17 SMR</v>
      </c>
      <c r="AO427" s="1" t="s">
        <v>13</v>
      </c>
      <c r="AP427" s="1" t="s">
        <v>5</v>
      </c>
      <c r="AQ427" s="1" t="s">
        <v>275</v>
      </c>
      <c r="AR427" s="1">
        <v>2017</v>
      </c>
      <c r="AS427" s="1" t="s">
        <v>17</v>
      </c>
      <c r="AT427" s="123" t="s">
        <v>139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5"/>
        <v>Crazy 8WebUSA2</v>
      </c>
      <c r="AH428" s="1" t="s">
        <v>56</v>
      </c>
      <c r="AI428" s="1" t="s">
        <v>14</v>
      </c>
      <c r="AJ428" s="1" t="s">
        <v>274</v>
      </c>
      <c r="AK428" s="1">
        <v>2</v>
      </c>
      <c r="AL428" s="19">
        <v>0.3</v>
      </c>
      <c r="AN428" s="109" t="str">
        <f t="shared" si="36"/>
        <v>GymboreeCanadaRetailGY 17 SM2</v>
      </c>
      <c r="AO428" s="1" t="s">
        <v>13</v>
      </c>
      <c r="AP428" s="1" t="s">
        <v>5</v>
      </c>
      <c r="AQ428" s="1" t="s">
        <v>275</v>
      </c>
      <c r="AR428" s="1">
        <v>2017</v>
      </c>
      <c r="AS428" s="1" t="s">
        <v>17</v>
      </c>
      <c r="AT428" s="123" t="s">
        <v>129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5"/>
        <v>Crazy 8WebUSA3</v>
      </c>
      <c r="AH429" s="1" t="s">
        <v>56</v>
      </c>
      <c r="AI429" s="1" t="s">
        <v>14</v>
      </c>
      <c r="AJ429" s="1" t="s">
        <v>274</v>
      </c>
      <c r="AK429" s="1">
        <v>3</v>
      </c>
      <c r="AL429" s="19">
        <v>0.3</v>
      </c>
      <c r="AN429" s="109" t="str">
        <f t="shared" si="36"/>
        <v>GymboreeCanadaRetailGY 17 SWIM 3</v>
      </c>
      <c r="AO429" s="1" t="s">
        <v>13</v>
      </c>
      <c r="AP429" s="1" t="s">
        <v>5</v>
      </c>
      <c r="AQ429" s="1" t="s">
        <v>275</v>
      </c>
      <c r="AR429" s="1">
        <v>2017</v>
      </c>
      <c r="AS429" s="1" t="s">
        <v>17</v>
      </c>
      <c r="AT429" s="123" t="s">
        <v>133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5"/>
        <v>Crazy 8WebUSA4</v>
      </c>
      <c r="AH430" s="1" t="s">
        <v>56</v>
      </c>
      <c r="AI430" s="1" t="s">
        <v>14</v>
      </c>
      <c r="AJ430" s="1" t="s">
        <v>274</v>
      </c>
      <c r="AK430" s="1">
        <v>4</v>
      </c>
      <c r="AL430" s="19">
        <v>0.3</v>
      </c>
      <c r="AN430" s="109" t="str">
        <f t="shared" si="36"/>
        <v>GymboreeCanadaRetailGY 17 SM3</v>
      </c>
      <c r="AO430" s="1" t="s">
        <v>13</v>
      </c>
      <c r="AP430" s="1" t="s">
        <v>5</v>
      </c>
      <c r="AQ430" s="1" t="s">
        <v>275</v>
      </c>
      <c r="AR430" s="1">
        <v>2017</v>
      </c>
      <c r="AS430" s="1" t="s">
        <v>17</v>
      </c>
      <c r="AT430" s="123" t="s">
        <v>131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5"/>
        <v>Crazy 8WebUSA5</v>
      </c>
      <c r="AH431" s="1" t="s">
        <v>56</v>
      </c>
      <c r="AI431" s="1" t="s">
        <v>14</v>
      </c>
      <c r="AJ431" s="1" t="s">
        <v>274</v>
      </c>
      <c r="AK431" s="1">
        <v>5</v>
      </c>
      <c r="AL431" s="19">
        <v>0.35</v>
      </c>
      <c r="AN431" s="109" t="str">
        <f t="shared" si="36"/>
        <v>GymboreeCanadaRetailGY 17 SM4</v>
      </c>
      <c r="AO431" s="1" t="s">
        <v>13</v>
      </c>
      <c r="AP431" s="1" t="s">
        <v>5</v>
      </c>
      <c r="AQ431" s="1" t="s">
        <v>275</v>
      </c>
      <c r="AR431" s="1">
        <v>2017</v>
      </c>
      <c r="AS431" s="1" t="s">
        <v>17</v>
      </c>
      <c r="AT431" s="123" t="s">
        <v>135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5"/>
        <v>Crazy 8WebUSA6</v>
      </c>
      <c r="AH432" s="1" t="s">
        <v>56</v>
      </c>
      <c r="AI432" s="1" t="s">
        <v>14</v>
      </c>
      <c r="AJ432" s="1" t="s">
        <v>274</v>
      </c>
      <c r="AK432" s="1">
        <v>6</v>
      </c>
      <c r="AL432" s="19">
        <v>0.35</v>
      </c>
      <c r="AN432" s="109" t="str">
        <f t="shared" si="36"/>
        <v>GymboreeCanadaRetailGY 17 TRANS</v>
      </c>
      <c r="AO432" s="1" t="s">
        <v>13</v>
      </c>
      <c r="AP432" s="1" t="s">
        <v>5</v>
      </c>
      <c r="AQ432" s="1" t="s">
        <v>275</v>
      </c>
      <c r="AR432" s="1">
        <v>2017</v>
      </c>
      <c r="AS432" s="1" t="s">
        <v>17</v>
      </c>
      <c r="AT432" s="123" t="s">
        <v>137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5"/>
        <v>Crazy 8WebUSA7</v>
      </c>
      <c r="AH433" s="1" t="s">
        <v>56</v>
      </c>
      <c r="AI433" s="1" t="s">
        <v>14</v>
      </c>
      <c r="AJ433" s="1" t="s">
        <v>274</v>
      </c>
      <c r="AK433" s="1">
        <v>7</v>
      </c>
      <c r="AL433" s="19">
        <v>0.35</v>
      </c>
      <c r="AN433" s="109" t="str">
        <f t="shared" si="36"/>
        <v>Crazy 8USARetailGY C8 17 UNIFORM CAP</v>
      </c>
      <c r="AO433" s="1" t="s">
        <v>56</v>
      </c>
      <c r="AP433" s="1" t="s">
        <v>5</v>
      </c>
      <c r="AQ433" s="1" t="s">
        <v>274</v>
      </c>
      <c r="AR433" s="1">
        <v>2017</v>
      </c>
      <c r="AS433" s="1" t="s">
        <v>33</v>
      </c>
      <c r="AT433" s="123" t="s">
        <v>311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5"/>
        <v>Crazy 8WebUSA8</v>
      </c>
      <c r="AH434" s="1" t="s">
        <v>56</v>
      </c>
      <c r="AI434" s="1" t="s">
        <v>14</v>
      </c>
      <c r="AJ434" s="1" t="s">
        <v>274</v>
      </c>
      <c r="AK434" s="1">
        <v>8</v>
      </c>
      <c r="AL434" s="19">
        <v>0.35</v>
      </c>
      <c r="AN434" s="109" t="str">
        <f t="shared" si="36"/>
        <v>Crazy 8USARetailGY C8 17 FAL</v>
      </c>
      <c r="AO434" s="1" t="s">
        <v>56</v>
      </c>
      <c r="AP434" s="1" t="s">
        <v>5</v>
      </c>
      <c r="AQ434" s="1" t="s">
        <v>274</v>
      </c>
      <c r="AR434" s="1">
        <v>2017</v>
      </c>
      <c r="AS434" s="1" t="s">
        <v>31</v>
      </c>
      <c r="AT434" s="123" t="s">
        <v>63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5"/>
        <v>Crazy 8WebUSA9</v>
      </c>
      <c r="AH435" s="1" t="s">
        <v>56</v>
      </c>
      <c r="AI435" s="1" t="s">
        <v>14</v>
      </c>
      <c r="AJ435" s="1" t="s">
        <v>274</v>
      </c>
      <c r="AK435" s="1">
        <v>9</v>
      </c>
      <c r="AL435" s="19">
        <v>0.35</v>
      </c>
      <c r="AN435" s="109" t="str">
        <f t="shared" si="36"/>
        <v>Crazy 8USARetailGY C8 17 SB1</v>
      </c>
      <c r="AO435" s="1" t="s">
        <v>56</v>
      </c>
      <c r="AP435" s="1" t="s">
        <v>5</v>
      </c>
      <c r="AQ435" s="1" t="s">
        <v>274</v>
      </c>
      <c r="AR435" s="1">
        <v>2017</v>
      </c>
      <c r="AS435" s="1" t="s">
        <v>65</v>
      </c>
      <c r="AT435" s="123" t="s">
        <v>58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5"/>
        <v>Crazy 8WebUSA10</v>
      </c>
      <c r="AH436" s="1" t="s">
        <v>56</v>
      </c>
      <c r="AI436" s="1" t="s">
        <v>14</v>
      </c>
      <c r="AJ436" s="1" t="s">
        <v>274</v>
      </c>
      <c r="AK436" s="1">
        <v>10</v>
      </c>
      <c r="AL436" s="19">
        <v>0.4</v>
      </c>
      <c r="AN436" s="109" t="str">
        <f t="shared" si="36"/>
        <v>Crazy 8USARetailGY C8 17 VDAY CAP</v>
      </c>
      <c r="AO436" s="1" t="s">
        <v>56</v>
      </c>
      <c r="AP436" s="1" t="s">
        <v>5</v>
      </c>
      <c r="AQ436" s="1" t="s">
        <v>274</v>
      </c>
      <c r="AR436" s="1">
        <v>2017</v>
      </c>
      <c r="AS436" s="1" t="s">
        <v>15</v>
      </c>
      <c r="AT436" s="123" t="s">
        <v>74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5"/>
        <v>Crazy 8WebUSA11</v>
      </c>
      <c r="AH437" s="1" t="s">
        <v>56</v>
      </c>
      <c r="AI437" s="1" t="s">
        <v>14</v>
      </c>
      <c r="AJ437" s="1" t="s">
        <v>274</v>
      </c>
      <c r="AK437" s="1">
        <v>11</v>
      </c>
      <c r="AL437" s="19">
        <v>0.4</v>
      </c>
      <c r="AN437" s="109" t="str">
        <f t="shared" si="36"/>
        <v>Crazy 8USARetailGY C8 17 SPRING TRANS</v>
      </c>
      <c r="AO437" s="1" t="s">
        <v>56</v>
      </c>
      <c r="AP437" s="1" t="s">
        <v>5</v>
      </c>
      <c r="AQ437" s="1" t="s">
        <v>274</v>
      </c>
      <c r="AR437" s="1">
        <v>2017</v>
      </c>
      <c r="AS437" s="1" t="s">
        <v>15</v>
      </c>
      <c r="AT437" s="123" t="s">
        <v>76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5"/>
        <v>Crazy 8WebUSA12</v>
      </c>
      <c r="AH438" s="1" t="s">
        <v>56</v>
      </c>
      <c r="AI438" s="1" t="s">
        <v>14</v>
      </c>
      <c r="AJ438" s="1" t="s">
        <v>274</v>
      </c>
      <c r="AK438" s="1">
        <v>12</v>
      </c>
      <c r="AL438" s="19">
        <v>0.4</v>
      </c>
      <c r="AN438" s="109" t="str">
        <f t="shared" si="36"/>
        <v>Crazy 8USARetailGY C8 17 SPR</v>
      </c>
      <c r="AO438" s="1" t="s">
        <v>56</v>
      </c>
      <c r="AP438" s="1" t="s">
        <v>5</v>
      </c>
      <c r="AQ438" s="1" t="s">
        <v>274</v>
      </c>
      <c r="AR438" s="1">
        <v>2017</v>
      </c>
      <c r="AS438" s="1" t="s">
        <v>15</v>
      </c>
      <c r="AT438" s="123" t="s">
        <v>72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5"/>
        <v>Crazy 8WebUSA13</v>
      </c>
      <c r="AH439" s="1" t="s">
        <v>56</v>
      </c>
      <c r="AI439" s="1" t="s">
        <v>14</v>
      </c>
      <c r="AJ439" s="1" t="s">
        <v>274</v>
      </c>
      <c r="AK439" s="1">
        <v>13</v>
      </c>
      <c r="AL439" s="19">
        <v>0.4</v>
      </c>
      <c r="AN439" s="109" t="str">
        <f t="shared" si="36"/>
        <v>Crazy 8USARetailGY C8 17 SPRING</v>
      </c>
      <c r="AO439" s="1" t="s">
        <v>56</v>
      </c>
      <c r="AP439" s="1" t="s">
        <v>5</v>
      </c>
      <c r="AQ439" s="1" t="s">
        <v>274</v>
      </c>
      <c r="AR439" s="1">
        <v>2017</v>
      </c>
      <c r="AS439" s="1" t="s">
        <v>15</v>
      </c>
      <c r="AT439" s="123" t="s">
        <v>80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5"/>
        <v>Crazy 8WebUSA14</v>
      </c>
      <c r="AH440" s="1" t="s">
        <v>56</v>
      </c>
      <c r="AI440" s="1" t="s">
        <v>14</v>
      </c>
      <c r="AJ440" s="1" t="s">
        <v>274</v>
      </c>
      <c r="AK440" s="1">
        <v>14</v>
      </c>
      <c r="AL440" s="19">
        <v>0.4</v>
      </c>
      <c r="AN440" s="109" t="str">
        <f t="shared" si="36"/>
        <v>Crazy 8USARetailGY C8 17 SPR DOORBUSTER</v>
      </c>
      <c r="AO440" s="1" t="s">
        <v>56</v>
      </c>
      <c r="AP440" s="1" t="s">
        <v>5</v>
      </c>
      <c r="AQ440" s="1" t="s">
        <v>274</v>
      </c>
      <c r="AR440" s="1">
        <v>2017</v>
      </c>
      <c r="AS440" s="1" t="s">
        <v>15</v>
      </c>
      <c r="AT440" s="123" t="s">
        <v>78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5"/>
        <v>Crazy 8WebUSA15</v>
      </c>
      <c r="AH441" s="1" t="s">
        <v>56</v>
      </c>
      <c r="AI441" s="1" t="s">
        <v>14</v>
      </c>
      <c r="AJ441" s="1" t="s">
        <v>274</v>
      </c>
      <c r="AK441" s="1">
        <v>15</v>
      </c>
      <c r="AL441" s="19">
        <v>0.45</v>
      </c>
      <c r="AN441" s="109" t="str">
        <f t="shared" si="36"/>
        <v>Crazy 8USARetailGY C8 17 SWIM 1</v>
      </c>
      <c r="AO441" s="1" t="s">
        <v>56</v>
      </c>
      <c r="AP441" s="1" t="s">
        <v>5</v>
      </c>
      <c r="AQ441" s="1" t="s">
        <v>274</v>
      </c>
      <c r="AR441" s="1">
        <v>2017</v>
      </c>
      <c r="AS441" s="1" t="s">
        <v>15</v>
      </c>
      <c r="AT441" s="123" t="s">
        <v>82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5"/>
        <v>Crazy 8WebUSA16</v>
      </c>
      <c r="AH442" s="1" t="s">
        <v>56</v>
      </c>
      <c r="AI442" s="1" t="s">
        <v>14</v>
      </c>
      <c r="AJ442" s="1" t="s">
        <v>274</v>
      </c>
      <c r="AK442" s="1">
        <v>16</v>
      </c>
      <c r="AL442" s="19">
        <v>0.45</v>
      </c>
      <c r="AN442" s="109" t="str">
        <f t="shared" si="36"/>
        <v>Crazy 8USARetailGY C8 17 SPRING CAP</v>
      </c>
      <c r="AO442" s="1" t="s">
        <v>56</v>
      </c>
      <c r="AP442" s="1" t="s">
        <v>5</v>
      </c>
      <c r="AQ442" s="1" t="s">
        <v>274</v>
      </c>
      <c r="AR442" s="1">
        <v>2017</v>
      </c>
      <c r="AS442" s="1" t="s">
        <v>15</v>
      </c>
      <c r="AT442" s="123" t="s">
        <v>84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5"/>
        <v>Crazy 8WebUSA17</v>
      </c>
      <c r="AH443" s="1" t="s">
        <v>56</v>
      </c>
      <c r="AI443" s="1" t="s">
        <v>14</v>
      </c>
      <c r="AJ443" s="1" t="s">
        <v>274</v>
      </c>
      <c r="AK443" s="1">
        <v>17</v>
      </c>
      <c r="AL443" s="19">
        <v>0.45</v>
      </c>
      <c r="AN443" s="109" t="str">
        <f t="shared" si="36"/>
        <v>Crazy 8USARetailGY C8 17 SPRING BREAK</v>
      </c>
      <c r="AO443" s="1" t="s">
        <v>56</v>
      </c>
      <c r="AP443" s="1" t="s">
        <v>5</v>
      </c>
      <c r="AQ443" s="1" t="s">
        <v>274</v>
      </c>
      <c r="AR443" s="1">
        <v>2017</v>
      </c>
      <c r="AS443" s="1" t="s">
        <v>15</v>
      </c>
      <c r="AT443" s="123" t="s">
        <v>86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5"/>
        <v>Crazy 8WebUSA18</v>
      </c>
      <c r="AH444" s="1" t="s">
        <v>56</v>
      </c>
      <c r="AI444" s="1" t="s">
        <v>14</v>
      </c>
      <c r="AJ444" s="1" t="s">
        <v>274</v>
      </c>
      <c r="AK444" s="1">
        <v>18</v>
      </c>
      <c r="AL444" s="19">
        <v>0.45</v>
      </c>
      <c r="AN444" s="109" t="str">
        <f t="shared" si="36"/>
        <v>Crazy 8USARetailGY C8 17 SWIM 2</v>
      </c>
      <c r="AO444" s="1" t="s">
        <v>56</v>
      </c>
      <c r="AP444" s="1" t="s">
        <v>5</v>
      </c>
      <c r="AQ444" s="1" t="s">
        <v>274</v>
      </c>
      <c r="AR444" s="1">
        <v>2017</v>
      </c>
      <c r="AS444" s="1" t="s">
        <v>15</v>
      </c>
      <c r="AT444" s="123" t="s">
        <v>88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5"/>
        <v>Crazy 8WebUSA19</v>
      </c>
      <c r="AH445" s="1" t="s">
        <v>56</v>
      </c>
      <c r="AI445" s="1" t="s">
        <v>14</v>
      </c>
      <c r="AJ445" s="1" t="s">
        <v>274</v>
      </c>
      <c r="AK445" s="1">
        <v>19</v>
      </c>
      <c r="AL445" s="19">
        <v>0.45</v>
      </c>
      <c r="AN445" s="123"/>
      <c r="AO445" s="1" t="s">
        <v>56</v>
      </c>
      <c r="AP445" s="1" t="s">
        <v>5</v>
      </c>
      <c r="AQ445" s="1" t="s">
        <v>274</v>
      </c>
      <c r="AR445" s="1">
        <v>2017</v>
      </c>
      <c r="AS445" s="1" t="s">
        <v>15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5"/>
        <v>Crazy 8WebUSA20</v>
      </c>
      <c r="AH446" s="1" t="s">
        <v>56</v>
      </c>
      <c r="AI446" s="1" t="s">
        <v>14</v>
      </c>
      <c r="AJ446" s="1" t="s">
        <v>274</v>
      </c>
      <c r="AK446" s="1">
        <v>20</v>
      </c>
      <c r="AL446" s="19">
        <v>0.5</v>
      </c>
      <c r="AN446" s="123" t="s">
        <v>93</v>
      </c>
      <c r="AO446" s="1" t="s">
        <v>56</v>
      </c>
      <c r="AP446" s="1" t="s">
        <v>5</v>
      </c>
      <c r="AQ446" s="1" t="s">
        <v>274</v>
      </c>
      <c r="AR446" s="1">
        <v>2017</v>
      </c>
      <c r="AS446" s="1" t="s">
        <v>15</v>
      </c>
      <c r="AT446" s="123" t="s">
        <v>93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5"/>
        <v>Crazy 8WebUSA21</v>
      </c>
      <c r="AH447" s="1" t="s">
        <v>56</v>
      </c>
      <c r="AI447" s="1" t="s">
        <v>14</v>
      </c>
      <c r="AJ447" s="1" t="s">
        <v>274</v>
      </c>
      <c r="AK447" s="1">
        <v>21</v>
      </c>
      <c r="AL447" s="19">
        <v>0.5</v>
      </c>
      <c r="AN447" s="123" t="s">
        <v>91</v>
      </c>
      <c r="AO447" s="1" t="s">
        <v>56</v>
      </c>
      <c r="AP447" s="1" t="s">
        <v>5</v>
      </c>
      <c r="AQ447" s="1" t="s">
        <v>274</v>
      </c>
      <c r="AR447" s="1">
        <v>2017</v>
      </c>
      <c r="AS447" s="1" t="s">
        <v>15</v>
      </c>
      <c r="AT447" s="123" t="s">
        <v>91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5"/>
        <v>Crazy 8WebUSA22</v>
      </c>
      <c r="AH448" s="1" t="s">
        <v>56</v>
      </c>
      <c r="AI448" s="1" t="s">
        <v>14</v>
      </c>
      <c r="AJ448" s="1" t="s">
        <v>274</v>
      </c>
      <c r="AK448" s="1">
        <v>22</v>
      </c>
      <c r="AL448" s="19">
        <v>0.5</v>
      </c>
      <c r="AN448" s="123"/>
      <c r="AO448" s="1" t="s">
        <v>56</v>
      </c>
      <c r="AP448" s="1" t="s">
        <v>5</v>
      </c>
      <c r="AQ448" s="1" t="s">
        <v>274</v>
      </c>
      <c r="AR448" s="1">
        <v>2017</v>
      </c>
      <c r="AS448" s="1" t="s">
        <v>15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5"/>
        <v>Crazy 8WebUSA23</v>
      </c>
      <c r="AH449" s="1" t="s">
        <v>56</v>
      </c>
      <c r="AI449" s="1" t="s">
        <v>14</v>
      </c>
      <c r="AJ449" s="1" t="s">
        <v>274</v>
      </c>
      <c r="AK449" s="1">
        <v>23</v>
      </c>
      <c r="AL449" s="19">
        <v>0.5</v>
      </c>
      <c r="AN449" s="123" t="s">
        <v>97</v>
      </c>
      <c r="AO449" s="1" t="s">
        <v>56</v>
      </c>
      <c r="AP449" s="1" t="s">
        <v>5</v>
      </c>
      <c r="AQ449" s="1" t="s">
        <v>274</v>
      </c>
      <c r="AR449" s="1">
        <v>2017</v>
      </c>
      <c r="AS449" s="1" t="s">
        <v>17</v>
      </c>
      <c r="AT449" s="123" t="s">
        <v>97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5"/>
        <v>Crazy 8WebUSA24</v>
      </c>
      <c r="AH450" s="1" t="s">
        <v>56</v>
      </c>
      <c r="AI450" s="1" t="s">
        <v>14</v>
      </c>
      <c r="AJ450" s="1" t="s">
        <v>274</v>
      </c>
      <c r="AK450" s="1">
        <v>24</v>
      </c>
      <c r="AL450" s="19">
        <v>0.5</v>
      </c>
      <c r="AN450" s="123" t="s">
        <v>95</v>
      </c>
      <c r="AO450" s="1" t="s">
        <v>56</v>
      </c>
      <c r="AP450" s="1" t="s">
        <v>5</v>
      </c>
      <c r="AQ450" s="1" t="s">
        <v>274</v>
      </c>
      <c r="AR450" s="1">
        <v>2017</v>
      </c>
      <c r="AS450" s="1" t="s">
        <v>17</v>
      </c>
      <c r="AT450" s="123" t="s">
        <v>95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5"/>
        <v>Crazy 8WebUSA25</v>
      </c>
      <c r="AH451" s="1" t="s">
        <v>56</v>
      </c>
      <c r="AI451" s="1" t="s">
        <v>14</v>
      </c>
      <c r="AJ451" s="1" t="s">
        <v>274</v>
      </c>
      <c r="AK451" s="1">
        <v>25</v>
      </c>
      <c r="AL451" s="19">
        <v>0.55000000000000004</v>
      </c>
      <c r="AN451" s="123" t="s">
        <v>99</v>
      </c>
      <c r="AO451" s="1" t="s">
        <v>56</v>
      </c>
      <c r="AP451" s="1" t="s">
        <v>5</v>
      </c>
      <c r="AQ451" s="1" t="s">
        <v>274</v>
      </c>
      <c r="AR451" s="1">
        <v>2017</v>
      </c>
      <c r="AS451" s="1" t="s">
        <v>17</v>
      </c>
      <c r="AT451" s="123" t="s">
        <v>99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7">AH452&amp;AI452&amp;AJ452&amp;AK452</f>
        <v>Crazy 8WebUSA26</v>
      </c>
      <c r="AH452" s="1" t="s">
        <v>56</v>
      </c>
      <c r="AI452" s="1" t="s">
        <v>14</v>
      </c>
      <c r="AJ452" s="1" t="s">
        <v>274</v>
      </c>
      <c r="AK452" s="1">
        <v>26</v>
      </c>
      <c r="AL452" s="19">
        <v>0.55000000000000004</v>
      </c>
      <c r="AN452" s="123" t="s">
        <v>105</v>
      </c>
      <c r="AO452" s="1" t="s">
        <v>56</v>
      </c>
      <c r="AP452" s="1" t="s">
        <v>5</v>
      </c>
      <c r="AQ452" s="1" t="s">
        <v>274</v>
      </c>
      <c r="AR452" s="1">
        <v>2017</v>
      </c>
      <c r="AS452" s="1" t="s">
        <v>17</v>
      </c>
      <c r="AT452" s="123" t="s">
        <v>105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7"/>
        <v>Crazy 8WebUSA27</v>
      </c>
      <c r="AH453" s="1" t="s">
        <v>56</v>
      </c>
      <c r="AI453" s="1" t="s">
        <v>14</v>
      </c>
      <c r="AJ453" s="1" t="s">
        <v>274</v>
      </c>
      <c r="AK453" s="1">
        <v>27</v>
      </c>
      <c r="AL453" s="19">
        <v>0.55000000000000004</v>
      </c>
      <c r="AN453" s="123" t="s">
        <v>101</v>
      </c>
      <c r="AO453" s="1" t="s">
        <v>56</v>
      </c>
      <c r="AP453" s="1" t="s">
        <v>5</v>
      </c>
      <c r="AQ453" s="1" t="s">
        <v>274</v>
      </c>
      <c r="AR453" s="1">
        <v>2017</v>
      </c>
      <c r="AS453" s="1" t="s">
        <v>17</v>
      </c>
      <c r="AT453" s="123" t="s">
        <v>101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7"/>
        <v>Crazy 8WebUSA28</v>
      </c>
      <c r="AH454" s="1" t="s">
        <v>56</v>
      </c>
      <c r="AI454" s="1" t="s">
        <v>14</v>
      </c>
      <c r="AJ454" s="1" t="s">
        <v>274</v>
      </c>
      <c r="AK454" s="1">
        <v>28</v>
      </c>
      <c r="AL454" s="19">
        <v>0.55000000000000004</v>
      </c>
      <c r="AN454" s="123" t="s">
        <v>103</v>
      </c>
      <c r="AO454" s="1" t="s">
        <v>56</v>
      </c>
      <c r="AP454" s="1" t="s">
        <v>5</v>
      </c>
      <c r="AQ454" s="1" t="s">
        <v>274</v>
      </c>
      <c r="AR454" s="1">
        <v>2017</v>
      </c>
      <c r="AS454" s="1" t="s">
        <v>17</v>
      </c>
      <c r="AT454" s="123" t="s">
        <v>103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7"/>
        <v>Crazy 8WebUSA29</v>
      </c>
      <c r="AH455" s="1" t="s">
        <v>56</v>
      </c>
      <c r="AI455" s="1" t="s">
        <v>14</v>
      </c>
      <c r="AJ455" s="1" t="s">
        <v>274</v>
      </c>
      <c r="AK455" s="1">
        <v>29</v>
      </c>
      <c r="AL455" s="19">
        <v>0.55000000000000004</v>
      </c>
      <c r="AN455" s="123" t="s">
        <v>107</v>
      </c>
      <c r="AO455" s="1" t="s">
        <v>56</v>
      </c>
      <c r="AP455" s="1" t="s">
        <v>5</v>
      </c>
      <c r="AQ455" s="1" t="s">
        <v>274</v>
      </c>
      <c r="AR455" s="1">
        <v>2017</v>
      </c>
      <c r="AS455" s="1" t="s">
        <v>17</v>
      </c>
      <c r="AT455" s="123" t="s">
        <v>107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7"/>
        <v>Crazy 8WebUSA30</v>
      </c>
      <c r="AH456" s="1" t="s">
        <v>56</v>
      </c>
      <c r="AI456" s="1" t="s">
        <v>14</v>
      </c>
      <c r="AJ456" s="1" t="s">
        <v>274</v>
      </c>
      <c r="AK456" s="1">
        <v>30</v>
      </c>
      <c r="AL456" s="19">
        <v>0.6</v>
      </c>
      <c r="AN456" s="123" t="s">
        <v>109</v>
      </c>
      <c r="AO456" s="1" t="s">
        <v>56</v>
      </c>
      <c r="AP456" s="1" t="s">
        <v>5</v>
      </c>
      <c r="AQ456" s="1" t="s">
        <v>274</v>
      </c>
      <c r="AR456" s="1">
        <v>2017</v>
      </c>
      <c r="AS456" s="1" t="s">
        <v>17</v>
      </c>
      <c r="AT456" s="123" t="s">
        <v>109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7"/>
        <v>Crazy 8WebUSA31</v>
      </c>
      <c r="AH457" s="1" t="s">
        <v>56</v>
      </c>
      <c r="AI457" s="1" t="s">
        <v>14</v>
      </c>
      <c r="AJ457" s="1" t="s">
        <v>274</v>
      </c>
      <c r="AK457" s="1">
        <v>31</v>
      </c>
      <c r="AL457" s="19">
        <v>0.6</v>
      </c>
      <c r="AN457" s="123" t="s">
        <v>111</v>
      </c>
      <c r="AO457" s="1" t="s">
        <v>56</v>
      </c>
      <c r="AP457" s="1" t="s">
        <v>5</v>
      </c>
      <c r="AQ457" s="1" t="s">
        <v>274</v>
      </c>
      <c r="AR457" s="1">
        <v>2017</v>
      </c>
      <c r="AS457" s="1" t="s">
        <v>17</v>
      </c>
      <c r="AT457" s="123" t="s">
        <v>111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7"/>
        <v>Crazy 8WebUSA32</v>
      </c>
      <c r="AH458" s="1" t="s">
        <v>56</v>
      </c>
      <c r="AI458" s="1" t="s">
        <v>14</v>
      </c>
      <c r="AJ458" s="1" t="s">
        <v>274</v>
      </c>
      <c r="AK458" s="1">
        <v>32</v>
      </c>
      <c r="AL458" s="19">
        <v>0.6</v>
      </c>
      <c r="AN458" s="123" t="s">
        <v>311</v>
      </c>
      <c r="AO458" s="1" t="s">
        <v>56</v>
      </c>
      <c r="AP458" s="1" t="s">
        <v>14</v>
      </c>
      <c r="AQ458" s="1" t="s">
        <v>274</v>
      </c>
      <c r="AR458" s="1">
        <v>2017</v>
      </c>
      <c r="AS458" s="1" t="s">
        <v>33</v>
      </c>
      <c r="AT458" s="123" t="s">
        <v>311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7"/>
        <v>Crazy 8WebUSA33</v>
      </c>
      <c r="AH459" s="1" t="s">
        <v>56</v>
      </c>
      <c r="AI459" s="1" t="s">
        <v>14</v>
      </c>
      <c r="AJ459" s="1" t="s">
        <v>274</v>
      </c>
      <c r="AK459" s="1">
        <v>33</v>
      </c>
      <c r="AL459" s="19">
        <v>0.6</v>
      </c>
      <c r="AN459" s="123" t="s">
        <v>63</v>
      </c>
      <c r="AO459" s="1" t="s">
        <v>56</v>
      </c>
      <c r="AP459" s="1" t="s">
        <v>14</v>
      </c>
      <c r="AQ459" s="1" t="s">
        <v>274</v>
      </c>
      <c r="AR459" s="1">
        <v>2017</v>
      </c>
      <c r="AS459" s="1" t="s">
        <v>31</v>
      </c>
      <c r="AT459" s="123" t="s">
        <v>63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7"/>
        <v>Crazy 8WebUSA34</v>
      </c>
      <c r="AH460" s="1" t="s">
        <v>56</v>
      </c>
      <c r="AI460" s="1" t="s">
        <v>14</v>
      </c>
      <c r="AJ460" s="1" t="s">
        <v>274</v>
      </c>
      <c r="AK460" s="1">
        <v>34</v>
      </c>
      <c r="AL460" s="19">
        <v>0.6</v>
      </c>
      <c r="AN460" s="123" t="s">
        <v>58</v>
      </c>
      <c r="AO460" s="1" t="s">
        <v>56</v>
      </c>
      <c r="AP460" s="1" t="s">
        <v>14</v>
      </c>
      <c r="AQ460" s="1" t="s">
        <v>274</v>
      </c>
      <c r="AR460" s="1">
        <v>2017</v>
      </c>
      <c r="AS460" s="1" t="s">
        <v>65</v>
      </c>
      <c r="AT460" s="123" t="s">
        <v>58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7"/>
        <v>Crazy 8WebUSA35</v>
      </c>
      <c r="AH461" s="1" t="s">
        <v>56</v>
      </c>
      <c r="AI461" s="1" t="s">
        <v>14</v>
      </c>
      <c r="AJ461" s="1" t="s">
        <v>274</v>
      </c>
      <c r="AK461" s="1">
        <v>35</v>
      </c>
      <c r="AL461" s="19">
        <v>0.65</v>
      </c>
      <c r="AN461" s="123" t="s">
        <v>74</v>
      </c>
      <c r="AO461" s="1" t="s">
        <v>56</v>
      </c>
      <c r="AP461" s="1" t="s">
        <v>14</v>
      </c>
      <c r="AQ461" s="1" t="s">
        <v>274</v>
      </c>
      <c r="AR461" s="1">
        <v>2017</v>
      </c>
      <c r="AS461" s="1" t="s">
        <v>15</v>
      </c>
      <c r="AT461" s="123" t="s">
        <v>74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7"/>
        <v>Crazy 8WebUSA36</v>
      </c>
      <c r="AH462" s="1" t="s">
        <v>56</v>
      </c>
      <c r="AI462" s="1" t="s">
        <v>14</v>
      </c>
      <c r="AJ462" s="1" t="s">
        <v>274</v>
      </c>
      <c r="AK462" s="1">
        <v>36</v>
      </c>
      <c r="AL462" s="19">
        <v>0.65</v>
      </c>
      <c r="AN462" s="123" t="s">
        <v>76</v>
      </c>
      <c r="AO462" s="1" t="s">
        <v>56</v>
      </c>
      <c r="AP462" s="1" t="s">
        <v>14</v>
      </c>
      <c r="AQ462" s="1" t="s">
        <v>274</v>
      </c>
      <c r="AR462" s="1">
        <v>2017</v>
      </c>
      <c r="AS462" s="1" t="s">
        <v>15</v>
      </c>
      <c r="AT462" s="123" t="s">
        <v>76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7"/>
        <v>Crazy 8WebUSA37</v>
      </c>
      <c r="AH463" s="1" t="s">
        <v>56</v>
      </c>
      <c r="AI463" s="1" t="s">
        <v>14</v>
      </c>
      <c r="AJ463" s="1" t="s">
        <v>274</v>
      </c>
      <c r="AK463" s="1">
        <v>37</v>
      </c>
      <c r="AL463" s="19">
        <v>0.65</v>
      </c>
      <c r="AN463" s="123" t="s">
        <v>72</v>
      </c>
      <c r="AO463" s="1" t="s">
        <v>56</v>
      </c>
      <c r="AP463" s="1" t="s">
        <v>14</v>
      </c>
      <c r="AQ463" s="1" t="s">
        <v>274</v>
      </c>
      <c r="AR463" s="1">
        <v>2017</v>
      </c>
      <c r="AS463" s="1" t="s">
        <v>15</v>
      </c>
      <c r="AT463" s="123" t="s">
        <v>72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7"/>
        <v>Crazy 8WebUSA38</v>
      </c>
      <c r="AH464" s="1" t="s">
        <v>56</v>
      </c>
      <c r="AI464" s="1" t="s">
        <v>14</v>
      </c>
      <c r="AJ464" s="1" t="s">
        <v>274</v>
      </c>
      <c r="AK464" s="1">
        <v>38</v>
      </c>
      <c r="AL464" s="19">
        <v>0.65</v>
      </c>
      <c r="AN464" s="123" t="s">
        <v>80</v>
      </c>
      <c r="AO464" s="1" t="s">
        <v>56</v>
      </c>
      <c r="AP464" s="1" t="s">
        <v>14</v>
      </c>
      <c r="AQ464" s="1" t="s">
        <v>274</v>
      </c>
      <c r="AR464" s="1">
        <v>2017</v>
      </c>
      <c r="AS464" s="1" t="s">
        <v>15</v>
      </c>
      <c r="AT464" s="123" t="s">
        <v>80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7"/>
        <v>Crazy 8WebUSA39</v>
      </c>
      <c r="AH465" s="1" t="s">
        <v>56</v>
      </c>
      <c r="AI465" s="1" t="s">
        <v>14</v>
      </c>
      <c r="AJ465" s="1" t="s">
        <v>274</v>
      </c>
      <c r="AK465" s="1">
        <v>39</v>
      </c>
      <c r="AL465" s="19">
        <v>0.65</v>
      </c>
      <c r="AN465" s="123" t="s">
        <v>78</v>
      </c>
      <c r="AO465" s="1" t="s">
        <v>56</v>
      </c>
      <c r="AP465" s="1" t="s">
        <v>14</v>
      </c>
      <c r="AQ465" s="1" t="s">
        <v>274</v>
      </c>
      <c r="AR465" s="1">
        <v>2017</v>
      </c>
      <c r="AS465" s="1" t="s">
        <v>15</v>
      </c>
      <c r="AT465" s="123" t="s">
        <v>78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7"/>
        <v>Crazy 8WebUSA40</v>
      </c>
      <c r="AH466" s="1" t="s">
        <v>56</v>
      </c>
      <c r="AI466" s="1" t="s">
        <v>14</v>
      </c>
      <c r="AJ466" s="1" t="s">
        <v>274</v>
      </c>
      <c r="AK466" s="1">
        <v>40</v>
      </c>
      <c r="AL466" s="19">
        <v>0.7</v>
      </c>
      <c r="AN466" s="123" t="s">
        <v>82</v>
      </c>
      <c r="AO466" s="1" t="s">
        <v>56</v>
      </c>
      <c r="AP466" s="1" t="s">
        <v>14</v>
      </c>
      <c r="AQ466" s="1" t="s">
        <v>274</v>
      </c>
      <c r="AR466" s="1">
        <v>2017</v>
      </c>
      <c r="AS466" s="1" t="s">
        <v>15</v>
      </c>
      <c r="AT466" s="123" t="s">
        <v>82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7"/>
        <v>Crazy 8WebUSA41</v>
      </c>
      <c r="AH467" s="1" t="s">
        <v>56</v>
      </c>
      <c r="AI467" s="1" t="s">
        <v>14</v>
      </c>
      <c r="AJ467" s="1" t="s">
        <v>274</v>
      </c>
      <c r="AK467" s="1">
        <v>41</v>
      </c>
      <c r="AL467" s="19">
        <v>0.7</v>
      </c>
      <c r="AN467" s="123" t="s">
        <v>84</v>
      </c>
      <c r="AO467" s="1" t="s">
        <v>56</v>
      </c>
      <c r="AP467" s="1" t="s">
        <v>14</v>
      </c>
      <c r="AQ467" s="1" t="s">
        <v>274</v>
      </c>
      <c r="AR467" s="1">
        <v>2017</v>
      </c>
      <c r="AS467" s="1" t="s">
        <v>15</v>
      </c>
      <c r="AT467" s="123" t="s">
        <v>84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7"/>
        <v>Crazy 8WebUSA42</v>
      </c>
      <c r="AH468" s="1" t="s">
        <v>56</v>
      </c>
      <c r="AI468" s="1" t="s">
        <v>14</v>
      </c>
      <c r="AJ468" s="1" t="s">
        <v>274</v>
      </c>
      <c r="AK468" s="1">
        <v>42</v>
      </c>
      <c r="AL468" s="19">
        <v>0.7</v>
      </c>
      <c r="AN468" s="123" t="s">
        <v>86</v>
      </c>
      <c r="AO468" s="1" t="s">
        <v>56</v>
      </c>
      <c r="AP468" s="1" t="s">
        <v>14</v>
      </c>
      <c r="AQ468" s="1" t="s">
        <v>274</v>
      </c>
      <c r="AR468" s="1">
        <v>2017</v>
      </c>
      <c r="AS468" s="1" t="s">
        <v>15</v>
      </c>
      <c r="AT468" s="123" t="s">
        <v>86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7"/>
        <v>Crazy 8WebUSA43</v>
      </c>
      <c r="AH469" s="1" t="s">
        <v>56</v>
      </c>
      <c r="AI469" s="1" t="s">
        <v>14</v>
      </c>
      <c r="AJ469" s="1" t="s">
        <v>274</v>
      </c>
      <c r="AK469" s="1">
        <v>43</v>
      </c>
      <c r="AL469" s="19">
        <v>0.7</v>
      </c>
      <c r="AN469" s="123" t="s">
        <v>88</v>
      </c>
      <c r="AO469" s="1" t="s">
        <v>56</v>
      </c>
      <c r="AP469" s="1" t="s">
        <v>14</v>
      </c>
      <c r="AQ469" s="1" t="s">
        <v>274</v>
      </c>
      <c r="AR469" s="1">
        <v>2017</v>
      </c>
      <c r="AS469" s="1" t="s">
        <v>15</v>
      </c>
      <c r="AT469" s="123" t="s">
        <v>88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7"/>
        <v>Crazy 8WebUSA44</v>
      </c>
      <c r="AH470" s="1" t="s">
        <v>56</v>
      </c>
      <c r="AI470" s="1" t="s">
        <v>14</v>
      </c>
      <c r="AJ470" s="1" t="s">
        <v>274</v>
      </c>
      <c r="AK470" s="1">
        <v>44</v>
      </c>
      <c r="AL470" s="19">
        <v>0.7</v>
      </c>
      <c r="AN470" s="123"/>
      <c r="AO470" s="1" t="s">
        <v>56</v>
      </c>
      <c r="AP470" s="1" t="s">
        <v>14</v>
      </c>
      <c r="AQ470" s="1" t="s">
        <v>274</v>
      </c>
      <c r="AR470" s="1">
        <v>2017</v>
      </c>
      <c r="AS470" s="1" t="s">
        <v>15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7"/>
        <v>Crazy 8WebUSA45</v>
      </c>
      <c r="AH471" s="1" t="s">
        <v>56</v>
      </c>
      <c r="AI471" s="1" t="s">
        <v>14</v>
      </c>
      <c r="AJ471" s="1" t="s">
        <v>274</v>
      </c>
      <c r="AK471" s="1">
        <v>45</v>
      </c>
      <c r="AL471" s="19">
        <v>0.7</v>
      </c>
      <c r="AN471" s="123" t="s">
        <v>93</v>
      </c>
      <c r="AO471" s="1" t="s">
        <v>56</v>
      </c>
      <c r="AP471" s="1" t="s">
        <v>14</v>
      </c>
      <c r="AQ471" s="1" t="s">
        <v>274</v>
      </c>
      <c r="AR471" s="1">
        <v>2017</v>
      </c>
      <c r="AS471" s="1" t="s">
        <v>15</v>
      </c>
      <c r="AT471" s="123" t="s">
        <v>93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7"/>
        <v>Crazy 8WebUSA46</v>
      </c>
      <c r="AH472" s="1" t="s">
        <v>56</v>
      </c>
      <c r="AI472" s="1" t="s">
        <v>14</v>
      </c>
      <c r="AJ472" s="1" t="s">
        <v>274</v>
      </c>
      <c r="AK472" s="1">
        <v>46</v>
      </c>
      <c r="AL472" s="19">
        <v>0.7</v>
      </c>
      <c r="AN472" s="123" t="s">
        <v>91</v>
      </c>
      <c r="AO472" s="1" t="s">
        <v>56</v>
      </c>
      <c r="AP472" s="1" t="s">
        <v>14</v>
      </c>
      <c r="AQ472" s="1" t="s">
        <v>274</v>
      </c>
      <c r="AR472" s="1">
        <v>2017</v>
      </c>
      <c r="AS472" s="1" t="s">
        <v>15</v>
      </c>
      <c r="AT472" s="123" t="s">
        <v>91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7"/>
        <v>Crazy 8WebUSA47</v>
      </c>
      <c r="AH473" s="1" t="s">
        <v>56</v>
      </c>
      <c r="AI473" s="1" t="s">
        <v>14</v>
      </c>
      <c r="AJ473" s="1" t="s">
        <v>274</v>
      </c>
      <c r="AK473" s="1">
        <v>47</v>
      </c>
      <c r="AL473" s="19">
        <v>0.7</v>
      </c>
      <c r="AN473" s="123"/>
      <c r="AO473" s="1" t="s">
        <v>56</v>
      </c>
      <c r="AP473" s="1" t="s">
        <v>14</v>
      </c>
      <c r="AQ473" s="1" t="s">
        <v>274</v>
      </c>
      <c r="AR473" s="1">
        <v>2017</v>
      </c>
      <c r="AS473" s="1" t="s">
        <v>15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7"/>
        <v>Crazy 8WebUSA48</v>
      </c>
      <c r="AH474" s="1" t="s">
        <v>56</v>
      </c>
      <c r="AI474" s="1" t="s">
        <v>14</v>
      </c>
      <c r="AJ474" s="1" t="s">
        <v>274</v>
      </c>
      <c r="AK474" s="1">
        <v>48</v>
      </c>
      <c r="AL474" s="19">
        <v>0.7</v>
      </c>
      <c r="AN474" s="123" t="s">
        <v>97</v>
      </c>
      <c r="AO474" s="1" t="s">
        <v>56</v>
      </c>
      <c r="AP474" s="1" t="s">
        <v>14</v>
      </c>
      <c r="AQ474" s="1" t="s">
        <v>274</v>
      </c>
      <c r="AR474" s="1">
        <v>2017</v>
      </c>
      <c r="AS474" s="1" t="s">
        <v>17</v>
      </c>
      <c r="AT474" s="123" t="s">
        <v>97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7"/>
        <v>Crazy 8WebUSA49</v>
      </c>
      <c r="AH475" s="1" t="s">
        <v>56</v>
      </c>
      <c r="AI475" s="1" t="s">
        <v>14</v>
      </c>
      <c r="AJ475" s="1" t="s">
        <v>274</v>
      </c>
      <c r="AK475" s="1">
        <v>49</v>
      </c>
      <c r="AL475" s="19">
        <v>0.7</v>
      </c>
      <c r="AN475" s="123" t="s">
        <v>95</v>
      </c>
      <c r="AO475" s="1" t="s">
        <v>56</v>
      </c>
      <c r="AP475" s="1" t="s">
        <v>14</v>
      </c>
      <c r="AQ475" s="1" t="s">
        <v>274</v>
      </c>
      <c r="AR475" s="1">
        <v>2017</v>
      </c>
      <c r="AS475" s="1" t="s">
        <v>17</v>
      </c>
      <c r="AT475" s="123" t="s">
        <v>95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7"/>
        <v>Crazy 8WebUSA50</v>
      </c>
      <c r="AH476" s="1" t="s">
        <v>56</v>
      </c>
      <c r="AI476" s="1" t="s">
        <v>14</v>
      </c>
      <c r="AJ476" s="1" t="s">
        <v>274</v>
      </c>
      <c r="AK476" s="1">
        <v>50</v>
      </c>
      <c r="AL476" s="19">
        <v>0.7</v>
      </c>
      <c r="AN476" s="123" t="s">
        <v>99</v>
      </c>
      <c r="AO476" s="1" t="s">
        <v>56</v>
      </c>
      <c r="AP476" s="1" t="s">
        <v>14</v>
      </c>
      <c r="AQ476" s="1" t="s">
        <v>274</v>
      </c>
      <c r="AR476" s="1">
        <v>2017</v>
      </c>
      <c r="AS476" s="1" t="s">
        <v>17</v>
      </c>
      <c r="AT476" s="123" t="s">
        <v>99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7"/>
        <v>Crazy 8WebUSA51</v>
      </c>
      <c r="AH477" s="1" t="s">
        <v>56</v>
      </c>
      <c r="AI477" s="1" t="s">
        <v>14</v>
      </c>
      <c r="AJ477" s="1" t="s">
        <v>274</v>
      </c>
      <c r="AK477" s="1">
        <v>51</v>
      </c>
      <c r="AL477" s="19">
        <v>0.7</v>
      </c>
      <c r="AN477" s="123" t="s">
        <v>105</v>
      </c>
      <c r="AO477" s="1" t="s">
        <v>56</v>
      </c>
      <c r="AP477" s="1" t="s">
        <v>14</v>
      </c>
      <c r="AQ477" s="1" t="s">
        <v>274</v>
      </c>
      <c r="AR477" s="1">
        <v>2017</v>
      </c>
      <c r="AS477" s="1" t="s">
        <v>17</v>
      </c>
      <c r="AT477" s="123" t="s">
        <v>105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7"/>
        <v>Crazy 8WebUSA52</v>
      </c>
      <c r="AH478" s="1" t="s">
        <v>56</v>
      </c>
      <c r="AI478" s="1" t="s">
        <v>14</v>
      </c>
      <c r="AJ478" s="1" t="s">
        <v>274</v>
      </c>
      <c r="AK478" s="1">
        <v>52</v>
      </c>
      <c r="AL478" s="19">
        <v>0.7</v>
      </c>
      <c r="AN478" s="123" t="s">
        <v>101</v>
      </c>
      <c r="AO478" s="1" t="s">
        <v>56</v>
      </c>
      <c r="AP478" s="1" t="s">
        <v>14</v>
      </c>
      <c r="AQ478" s="1" t="s">
        <v>274</v>
      </c>
      <c r="AR478" s="1">
        <v>2017</v>
      </c>
      <c r="AS478" s="1" t="s">
        <v>17</v>
      </c>
      <c r="AT478" s="123" t="s">
        <v>101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7"/>
        <v>Crazy 8WebUSA53</v>
      </c>
      <c r="AH479" s="29" t="s">
        <v>56</v>
      </c>
      <c r="AI479" s="29" t="s">
        <v>14</v>
      </c>
      <c r="AJ479" s="29" t="s">
        <v>274</v>
      </c>
      <c r="AK479" s="29">
        <v>53</v>
      </c>
      <c r="AL479" s="26">
        <v>0.7</v>
      </c>
      <c r="AN479" s="123" t="s">
        <v>103</v>
      </c>
      <c r="AO479" s="1" t="s">
        <v>56</v>
      </c>
      <c r="AP479" s="1" t="s">
        <v>14</v>
      </c>
      <c r="AQ479" s="1" t="s">
        <v>274</v>
      </c>
      <c r="AR479" s="1">
        <v>2017</v>
      </c>
      <c r="AS479" s="1" t="s">
        <v>17</v>
      </c>
      <c r="AT479" s="123" t="s">
        <v>103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107</v>
      </c>
      <c r="AO480" s="1" t="s">
        <v>56</v>
      </c>
      <c r="AP480" s="1" t="s">
        <v>14</v>
      </c>
      <c r="AQ480" s="1" t="s">
        <v>274</v>
      </c>
      <c r="AR480" s="1">
        <v>2017</v>
      </c>
      <c r="AS480" s="1" t="s">
        <v>17</v>
      </c>
      <c r="AT480" s="123" t="s">
        <v>107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109</v>
      </c>
      <c r="AO481" s="1" t="s">
        <v>56</v>
      </c>
      <c r="AP481" s="1" t="s">
        <v>14</v>
      </c>
      <c r="AQ481" s="1" t="s">
        <v>274</v>
      </c>
      <c r="AR481" s="1">
        <v>2017</v>
      </c>
      <c r="AS481" s="1" t="s">
        <v>17</v>
      </c>
      <c r="AT481" s="123" t="s">
        <v>109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111</v>
      </c>
      <c r="AO482" s="29" t="s">
        <v>56</v>
      </c>
      <c r="AP482" s="29" t="s">
        <v>14</v>
      </c>
      <c r="AQ482" s="29" t="s">
        <v>274</v>
      </c>
      <c r="AR482" s="1">
        <v>2017</v>
      </c>
      <c r="AS482" s="29" t="s">
        <v>17</v>
      </c>
      <c r="AT482" s="124" t="s">
        <v>111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sortState ref="Q2:X135">
    <sortCondition ref="T2:T135"/>
    <sortCondition ref="X2:X135"/>
    <sortCondition ref="U2:U135"/>
    <sortCondition ref="S2:S135"/>
    <sortCondition ref="V2:V135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D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A6" sqref="A6:AD258"/>
    </sheetView>
  </sheetViews>
  <sheetFormatPr defaultColWidth="11" defaultRowHeight="12.75" x14ac:dyDescent="0.2"/>
  <cols>
    <col min="1" max="1" width="11.375" style="302" bestFit="1" customWidth="1"/>
    <col min="2" max="2" width="6.25" style="323" bestFit="1" customWidth="1"/>
    <col min="3" max="3" width="7.25" style="323" bestFit="1" customWidth="1"/>
    <col min="4" max="4" width="9.875" style="323" bestFit="1" customWidth="1"/>
    <col min="5" max="5" width="9.125" style="302" bestFit="1" customWidth="1"/>
    <col min="6" max="8" width="8.75" style="302" bestFit="1" customWidth="1"/>
    <col min="9" max="9" width="8" style="302" bestFit="1" customWidth="1"/>
    <col min="10" max="10" width="7.25" style="302" bestFit="1" customWidth="1"/>
    <col min="11" max="11" width="10.5" style="302" bestFit="1" customWidth="1"/>
    <col min="12" max="12" width="11.375" style="302" bestFit="1" customWidth="1"/>
    <col min="13" max="13" width="12.625" style="302" bestFit="1" customWidth="1"/>
    <col min="14" max="14" width="11.375" style="302" bestFit="1" customWidth="1"/>
    <col min="15" max="15" width="8" style="302" bestFit="1" customWidth="1"/>
    <col min="16" max="16" width="9" style="302" bestFit="1" customWidth="1"/>
    <col min="17" max="17" width="10.125" style="302" bestFit="1" customWidth="1"/>
    <col min="18" max="18" width="10.875" style="302" bestFit="1" customWidth="1"/>
    <col min="19" max="19" width="10.25" style="302" bestFit="1" customWidth="1"/>
    <col min="20" max="20" width="11.125" style="302" bestFit="1" customWidth="1"/>
    <col min="21" max="21" width="11.75" style="302" bestFit="1" customWidth="1"/>
    <col min="22" max="22" width="11.25" style="302" bestFit="1" customWidth="1"/>
    <col min="23" max="24" width="12.125" style="302" bestFit="1" customWidth="1"/>
    <col min="25" max="25" width="11.875" style="303" bestFit="1" customWidth="1"/>
    <col min="26" max="26" width="11.875" style="303" customWidth="1"/>
    <col min="27" max="27" width="11" style="302"/>
    <col min="28" max="28" width="11.75" style="302" bestFit="1" customWidth="1"/>
    <col min="29" max="30" width="10.5" style="302" bestFit="1" customWidth="1"/>
    <col min="31" max="16384" width="11" style="302"/>
  </cols>
  <sheetData>
    <row r="1" spans="1:30" s="376" customFormat="1" x14ac:dyDescent="0.2">
      <c r="B1" s="376" t="s">
        <v>295</v>
      </c>
      <c r="C1" s="376" t="s">
        <v>296</v>
      </c>
      <c r="E1" s="376" t="s">
        <v>401</v>
      </c>
      <c r="F1" s="376" t="s">
        <v>297</v>
      </c>
      <c r="G1" s="376" t="s">
        <v>298</v>
      </c>
      <c r="H1" s="376" t="s">
        <v>299</v>
      </c>
      <c r="I1" s="376" t="s">
        <v>387</v>
      </c>
      <c r="J1" s="376" t="s">
        <v>388</v>
      </c>
      <c r="K1" s="376" t="s">
        <v>389</v>
      </c>
      <c r="L1" s="376" t="s">
        <v>395</v>
      </c>
      <c r="M1" s="376" t="s">
        <v>396</v>
      </c>
      <c r="N1" s="376" t="s">
        <v>390</v>
      </c>
      <c r="O1" s="376" t="s">
        <v>398</v>
      </c>
      <c r="P1" s="376" t="s">
        <v>397</v>
      </c>
      <c r="Q1" s="376" t="s">
        <v>391</v>
      </c>
      <c r="R1" s="376" t="s">
        <v>393</v>
      </c>
      <c r="S1" s="376" t="s">
        <v>399</v>
      </c>
      <c r="T1" s="376" t="s">
        <v>392</v>
      </c>
      <c r="U1" s="376" t="s">
        <v>394</v>
      </c>
      <c r="V1" s="376" t="s">
        <v>400</v>
      </c>
      <c r="W1" s="397" t="s">
        <v>486</v>
      </c>
      <c r="X1" s="397" t="s">
        <v>487</v>
      </c>
      <c r="Z1" s="376" t="s">
        <v>317</v>
      </c>
      <c r="AA1" s="376" t="s">
        <v>402</v>
      </c>
      <c r="AB1" s="376" t="s">
        <v>488</v>
      </c>
      <c r="AC1" s="376" t="s">
        <v>472</v>
      </c>
      <c r="AD1" s="376" t="s">
        <v>474</v>
      </c>
    </row>
    <row r="2" spans="1:30" s="376" customFormat="1" x14ac:dyDescent="0.2">
      <c r="D2" s="376">
        <v>4</v>
      </c>
      <c r="E2" s="376">
        <f>D2+1</f>
        <v>5</v>
      </c>
      <c r="F2" s="376">
        <f t="shared" ref="F2:V2" si="0">E2+1</f>
        <v>6</v>
      </c>
      <c r="G2" s="376">
        <f t="shared" si="0"/>
        <v>7</v>
      </c>
      <c r="H2" s="376">
        <f t="shared" si="0"/>
        <v>8</v>
      </c>
      <c r="I2" s="376">
        <f t="shared" si="0"/>
        <v>9</v>
      </c>
      <c r="J2" s="376">
        <f t="shared" si="0"/>
        <v>10</v>
      </c>
      <c r="K2" s="376">
        <f t="shared" si="0"/>
        <v>11</v>
      </c>
      <c r="L2" s="376">
        <f t="shared" si="0"/>
        <v>12</v>
      </c>
      <c r="M2" s="376">
        <f t="shared" si="0"/>
        <v>13</v>
      </c>
      <c r="N2" s="376">
        <f t="shared" si="0"/>
        <v>14</v>
      </c>
      <c r="O2" s="376">
        <f t="shared" si="0"/>
        <v>15</v>
      </c>
      <c r="P2" s="376">
        <f t="shared" si="0"/>
        <v>16</v>
      </c>
      <c r="Q2" s="376">
        <f t="shared" si="0"/>
        <v>17</v>
      </c>
      <c r="R2" s="376">
        <f t="shared" si="0"/>
        <v>18</v>
      </c>
      <c r="S2" s="376">
        <f t="shared" si="0"/>
        <v>19</v>
      </c>
      <c r="T2" s="376">
        <f t="shared" si="0"/>
        <v>20</v>
      </c>
      <c r="U2" s="376">
        <f t="shared" si="0"/>
        <v>21</v>
      </c>
      <c r="V2" s="376">
        <f t="shared" si="0"/>
        <v>22</v>
      </c>
      <c r="W2" s="376">
        <f t="shared" ref="W2" si="1">V2+1</f>
        <v>23</v>
      </c>
      <c r="X2" s="376">
        <f t="shared" ref="X2" si="2">W2+1</f>
        <v>24</v>
      </c>
      <c r="Y2" s="376">
        <f t="shared" ref="Y2" si="3">X2+1</f>
        <v>25</v>
      </c>
      <c r="Z2" s="376">
        <f t="shared" ref="Z2:AA2" si="4">Y2+1</f>
        <v>26</v>
      </c>
      <c r="AA2" s="376">
        <f t="shared" si="4"/>
        <v>27</v>
      </c>
      <c r="AB2" s="376">
        <f t="shared" ref="AB2" si="5">AA2+1</f>
        <v>28</v>
      </c>
      <c r="AC2" s="376">
        <f t="shared" ref="AC2" si="6">AB2+1</f>
        <v>29</v>
      </c>
      <c r="AD2" s="376">
        <f t="shared" ref="AD2" si="7">AC2+1</f>
        <v>30</v>
      </c>
    </row>
    <row r="3" spans="1:30" s="377" customFormat="1" x14ac:dyDescent="0.2">
      <c r="A3" s="380">
        <v>0</v>
      </c>
      <c r="B3" s="375">
        <f>A3+1</f>
        <v>1</v>
      </c>
      <c r="C3" s="375">
        <f t="shared" ref="C3:AD3" si="8">B3+1</f>
        <v>2</v>
      </c>
      <c r="D3" s="375">
        <f t="shared" si="8"/>
        <v>3</v>
      </c>
      <c r="E3" s="375">
        <f t="shared" si="8"/>
        <v>4</v>
      </c>
      <c r="F3" s="375">
        <f t="shared" si="8"/>
        <v>5</v>
      </c>
      <c r="G3" s="375">
        <f t="shared" si="8"/>
        <v>6</v>
      </c>
      <c r="H3" s="375">
        <f t="shared" si="8"/>
        <v>7</v>
      </c>
      <c r="I3" s="375">
        <f t="shared" si="8"/>
        <v>8</v>
      </c>
      <c r="J3" s="375">
        <f t="shared" si="8"/>
        <v>9</v>
      </c>
      <c r="K3" s="375">
        <f t="shared" si="8"/>
        <v>10</v>
      </c>
      <c r="L3" s="375">
        <f t="shared" si="8"/>
        <v>11</v>
      </c>
      <c r="M3" s="375">
        <f t="shared" si="8"/>
        <v>12</v>
      </c>
      <c r="N3" s="375">
        <f t="shared" si="8"/>
        <v>13</v>
      </c>
      <c r="O3" s="375">
        <f t="shared" si="8"/>
        <v>14</v>
      </c>
      <c r="P3" s="375">
        <f t="shared" si="8"/>
        <v>15</v>
      </c>
      <c r="Q3" s="375">
        <f t="shared" si="8"/>
        <v>16</v>
      </c>
      <c r="R3" s="375">
        <f t="shared" si="8"/>
        <v>17</v>
      </c>
      <c r="S3" s="375">
        <f t="shared" si="8"/>
        <v>18</v>
      </c>
      <c r="T3" s="375">
        <f t="shared" si="8"/>
        <v>19</v>
      </c>
      <c r="U3" s="375">
        <f t="shared" si="8"/>
        <v>20</v>
      </c>
      <c r="V3" s="375">
        <f t="shared" si="8"/>
        <v>21</v>
      </c>
      <c r="W3" s="375">
        <f t="shared" si="8"/>
        <v>22</v>
      </c>
      <c r="X3" s="375">
        <f t="shared" si="8"/>
        <v>23</v>
      </c>
      <c r="Y3" s="375">
        <f t="shared" si="8"/>
        <v>24</v>
      </c>
      <c r="Z3" s="375">
        <f t="shared" si="8"/>
        <v>25</v>
      </c>
      <c r="AA3" s="375">
        <f t="shared" si="8"/>
        <v>26</v>
      </c>
      <c r="AB3" s="375">
        <f t="shared" si="8"/>
        <v>27</v>
      </c>
      <c r="AC3" s="375">
        <f t="shared" si="8"/>
        <v>28</v>
      </c>
      <c r="AD3" s="375">
        <f t="shared" si="8"/>
        <v>29</v>
      </c>
    </row>
    <row r="4" spans="1:30" x14ac:dyDescent="0.2">
      <c r="A4" s="304"/>
      <c r="B4" s="305"/>
      <c r="C4" s="306"/>
      <c r="D4" s="305"/>
      <c r="E4" s="307"/>
      <c r="F4" s="308"/>
      <c r="G4" s="308"/>
      <c r="H4" s="308"/>
      <c r="I4" s="308"/>
      <c r="J4" s="308"/>
      <c r="K4" s="308"/>
      <c r="L4" s="309"/>
      <c r="M4" s="309"/>
      <c r="N4" s="307"/>
      <c r="O4" s="308"/>
      <c r="P4" s="310"/>
      <c r="Q4" s="307"/>
      <c r="R4" s="308"/>
      <c r="S4" s="311"/>
      <c r="T4" s="312"/>
      <c r="U4" s="309"/>
      <c r="V4" s="311"/>
      <c r="W4" s="309"/>
      <c r="X4" s="308"/>
      <c r="Y4" s="308"/>
      <c r="Z4" s="310"/>
    </row>
    <row r="5" spans="1:30" s="322" customFormat="1" x14ac:dyDescent="0.2">
      <c r="A5" s="313" t="s">
        <v>49</v>
      </c>
      <c r="B5" s="314" t="s">
        <v>19</v>
      </c>
      <c r="C5" s="314" t="s">
        <v>0</v>
      </c>
      <c r="D5" s="314" t="s">
        <v>303</v>
      </c>
      <c r="E5" s="315" t="s">
        <v>8</v>
      </c>
      <c r="F5" s="316" t="s">
        <v>1</v>
      </c>
      <c r="G5" s="317" t="s">
        <v>2</v>
      </c>
      <c r="H5" s="316" t="s">
        <v>3</v>
      </c>
      <c r="I5" s="318" t="s">
        <v>293</v>
      </c>
      <c r="J5" s="319" t="s">
        <v>352</v>
      </c>
      <c r="K5" s="318" t="s">
        <v>285</v>
      </c>
      <c r="L5" s="318" t="s">
        <v>350</v>
      </c>
      <c r="M5" s="318" t="s">
        <v>351</v>
      </c>
      <c r="N5" s="320" t="s">
        <v>292</v>
      </c>
      <c r="O5" s="318" t="s">
        <v>42</v>
      </c>
      <c r="P5" s="321" t="s">
        <v>9</v>
      </c>
      <c r="Q5" s="320" t="s">
        <v>366</v>
      </c>
      <c r="R5" s="318" t="s">
        <v>368</v>
      </c>
      <c r="S5" s="321" t="s">
        <v>349</v>
      </c>
      <c r="T5" s="320" t="s">
        <v>367</v>
      </c>
      <c r="U5" s="318" t="s">
        <v>369</v>
      </c>
      <c r="V5" s="321" t="s">
        <v>348</v>
      </c>
      <c r="W5" s="319" t="s">
        <v>473</v>
      </c>
      <c r="X5" s="318" t="s">
        <v>469</v>
      </c>
      <c r="Y5" s="318" t="s">
        <v>294</v>
      </c>
      <c r="Z5" s="321"/>
      <c r="AA5" s="321" t="s">
        <v>407</v>
      </c>
      <c r="AB5" s="376" t="s">
        <v>488</v>
      </c>
      <c r="AC5" s="379" t="s">
        <v>470</v>
      </c>
      <c r="AD5" s="379" t="s">
        <v>471</v>
      </c>
    </row>
    <row r="6" spans="1:30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30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30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30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30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30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30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30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30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30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30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30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30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30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30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30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30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30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30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30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30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30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30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 s="378"/>
      <c r="AC44" s="378"/>
      <c r="AD44" s="378"/>
    </row>
    <row r="45" spans="1:30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 s="378"/>
      <c r="AC45" s="378"/>
      <c r="AD45" s="378"/>
    </row>
    <row r="46" spans="1:30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 s="378"/>
      <c r="AC46" s="378"/>
      <c r="AD46" s="378"/>
    </row>
    <row r="47" spans="1:30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 s="378"/>
      <c r="AC47" s="378"/>
      <c r="AD47" s="378"/>
    </row>
    <row r="48" spans="1:30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 s="378"/>
      <c r="AC48" s="378"/>
      <c r="AD48" s="378"/>
    </row>
    <row r="49" spans="1:30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 s="378"/>
      <c r="AC49" s="378"/>
      <c r="AD49" s="378"/>
    </row>
    <row r="50" spans="1:30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 s="378"/>
      <c r="AC50" s="378"/>
      <c r="AD50" s="378"/>
    </row>
    <row r="51" spans="1:30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 s="378"/>
      <c r="AC51" s="378"/>
      <c r="AD51" s="378"/>
    </row>
    <row r="52" spans="1:30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 s="378"/>
      <c r="AC52" s="378"/>
      <c r="AD52" s="378"/>
    </row>
    <row r="53" spans="1:30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 s="378"/>
      <c r="AC53" s="378"/>
      <c r="AD53" s="378"/>
    </row>
    <row r="54" spans="1:30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 s="378"/>
      <c r="AC54" s="378"/>
      <c r="AD54" s="378"/>
    </row>
    <row r="55" spans="1:30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 s="378"/>
      <c r="AC55" s="378"/>
      <c r="AD55" s="378"/>
    </row>
    <row r="56" spans="1:30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 s="378"/>
      <c r="AC56" s="378"/>
      <c r="AD56" s="378"/>
    </row>
    <row r="57" spans="1:30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 s="378"/>
      <c r="AC57" s="378"/>
      <c r="AD57" s="378"/>
    </row>
    <row r="58" spans="1:30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 s="378"/>
      <c r="AC58" s="378"/>
      <c r="AD58" s="378"/>
    </row>
    <row r="59" spans="1:30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 s="378"/>
      <c r="AC59" s="378"/>
      <c r="AD59" s="378"/>
    </row>
    <row r="60" spans="1:30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 s="378"/>
      <c r="AC60" s="378"/>
      <c r="AD60" s="378"/>
    </row>
    <row r="61" spans="1:30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 s="378"/>
      <c r="AC61" s="378"/>
      <c r="AD61" s="378"/>
    </row>
    <row r="62" spans="1:30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 s="378"/>
      <c r="AC62" s="378"/>
      <c r="AD62" s="378"/>
    </row>
    <row r="63" spans="1:30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378"/>
      <c r="AC63" s="378"/>
      <c r="AD63" s="378"/>
    </row>
    <row r="64" spans="1:30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 s="378"/>
      <c r="AC64" s="378"/>
      <c r="AD64" s="378"/>
    </row>
    <row r="65" spans="1:30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 s="378"/>
      <c r="AC65" s="378"/>
      <c r="AD65" s="378"/>
    </row>
    <row r="66" spans="1:30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 s="378"/>
      <c r="AC66" s="378"/>
      <c r="AD66" s="378"/>
    </row>
    <row r="67" spans="1:30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 s="378"/>
      <c r="AC67" s="378"/>
      <c r="AD67" s="378"/>
    </row>
    <row r="68" spans="1:30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 s="378"/>
      <c r="AC68" s="378"/>
      <c r="AD68" s="378"/>
    </row>
    <row r="69" spans="1:30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 s="378"/>
      <c r="AC69" s="378"/>
      <c r="AD69" s="378"/>
    </row>
    <row r="70" spans="1:30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 s="378"/>
      <c r="AC70" s="378"/>
      <c r="AD70" s="378"/>
    </row>
    <row r="71" spans="1:30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 s="378"/>
      <c r="AC71" s="378"/>
      <c r="AD71" s="378"/>
    </row>
    <row r="72" spans="1:30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 s="378"/>
      <c r="AC72" s="378"/>
      <c r="AD72" s="378"/>
    </row>
    <row r="73" spans="1:30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 s="378"/>
      <c r="AC73" s="378"/>
      <c r="AD73" s="378"/>
    </row>
    <row r="74" spans="1:30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 s="378"/>
      <c r="AC74" s="378"/>
      <c r="AD74" s="378"/>
    </row>
    <row r="75" spans="1:30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 s="378"/>
      <c r="AC75" s="378"/>
      <c r="AD75" s="378"/>
    </row>
    <row r="76" spans="1:30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 s="378"/>
      <c r="AC76" s="378"/>
      <c r="AD76" s="378"/>
    </row>
    <row r="77" spans="1:30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 s="378"/>
      <c r="AC77" s="378"/>
      <c r="AD77" s="378"/>
    </row>
    <row r="78" spans="1:30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 s="378"/>
      <c r="AC78" s="378"/>
      <c r="AD78" s="378"/>
    </row>
    <row r="79" spans="1:30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 s="378"/>
      <c r="AC79" s="378"/>
      <c r="AD79" s="378"/>
    </row>
    <row r="80" spans="1:30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 s="378"/>
      <c r="AC80" s="378"/>
      <c r="AD80" s="378"/>
    </row>
    <row r="81" spans="1:30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 s="378"/>
      <c r="AC81" s="378"/>
      <c r="AD81" s="378"/>
    </row>
    <row r="82" spans="1:30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 s="378"/>
      <c r="AC82" s="378"/>
      <c r="AD82" s="378"/>
    </row>
    <row r="83" spans="1:30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 s="378"/>
      <c r="AC83" s="378"/>
      <c r="AD83" s="378"/>
    </row>
    <row r="84" spans="1:30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378"/>
      <c r="AC84" s="378"/>
      <c r="AD84" s="378"/>
    </row>
    <row r="85" spans="1:30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 s="378"/>
      <c r="AC85" s="378"/>
      <c r="AD85" s="378"/>
    </row>
    <row r="86" spans="1:30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 s="378"/>
      <c r="AC86" s="378"/>
      <c r="AD86" s="378"/>
    </row>
    <row r="87" spans="1:30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 s="378"/>
      <c r="AC87" s="378"/>
      <c r="AD87" s="378"/>
    </row>
    <row r="88" spans="1:30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 s="378"/>
      <c r="AC88" s="378"/>
      <c r="AD88" s="378"/>
    </row>
    <row r="89" spans="1:30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 s="378"/>
      <c r="AC89" s="378"/>
      <c r="AD89" s="378"/>
    </row>
    <row r="90" spans="1:30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 s="378"/>
      <c r="AC90" s="378"/>
      <c r="AD90" s="378"/>
    </row>
    <row r="91" spans="1:30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 s="378"/>
      <c r="AC91" s="378"/>
      <c r="AD91" s="378"/>
    </row>
    <row r="92" spans="1:30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 s="378"/>
      <c r="AC92" s="378"/>
      <c r="AD92" s="378"/>
    </row>
    <row r="93" spans="1:30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 s="378"/>
      <c r="AC93" s="378"/>
      <c r="AD93" s="378"/>
    </row>
    <row r="94" spans="1:30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 s="378"/>
      <c r="AC94" s="378"/>
      <c r="AD94" s="378"/>
    </row>
    <row r="95" spans="1:30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 s="378"/>
      <c r="AC95" s="378"/>
      <c r="AD95" s="378"/>
    </row>
    <row r="96" spans="1:30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 s="378"/>
      <c r="AC96" s="378"/>
      <c r="AD96" s="378"/>
    </row>
    <row r="97" spans="1:30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 s="378"/>
      <c r="AC97" s="378"/>
      <c r="AD97" s="378"/>
    </row>
    <row r="98" spans="1:30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 s="378"/>
      <c r="AC98" s="378"/>
      <c r="AD98" s="378"/>
    </row>
    <row r="99" spans="1:30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 s="378"/>
      <c r="AC99" s="378"/>
      <c r="AD99" s="378"/>
    </row>
    <row r="100" spans="1:30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 s="378"/>
      <c r="AC100" s="378"/>
      <c r="AD100" s="378"/>
    </row>
    <row r="101" spans="1:30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 s="378"/>
      <c r="AC101" s="378"/>
      <c r="AD101" s="378"/>
    </row>
    <row r="102" spans="1:30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 s="378"/>
      <c r="AC102" s="378"/>
      <c r="AD102" s="378"/>
    </row>
    <row r="103" spans="1:30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 s="378"/>
      <c r="AC103" s="378"/>
      <c r="AD103" s="378"/>
    </row>
    <row r="104" spans="1:30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 s="378"/>
      <c r="AC104" s="378"/>
      <c r="AD104" s="378"/>
    </row>
    <row r="105" spans="1:30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 s="378"/>
      <c r="AC105" s="378"/>
      <c r="AD105" s="378"/>
    </row>
    <row r="106" spans="1:30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 s="378"/>
      <c r="AC106" s="378"/>
      <c r="AD106" s="378"/>
    </row>
    <row r="107" spans="1:30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 s="378"/>
      <c r="AC107" s="378"/>
      <c r="AD107" s="378"/>
    </row>
    <row r="108" spans="1:30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 s="378"/>
      <c r="AC108" s="378"/>
      <c r="AD108" s="378"/>
    </row>
    <row r="109" spans="1:30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 s="378"/>
      <c r="AC109" s="378"/>
      <c r="AD109" s="378"/>
    </row>
    <row r="110" spans="1:30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78"/>
      <c r="AC110" s="378"/>
      <c r="AD110" s="378"/>
    </row>
    <row r="111" spans="1:30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378"/>
      <c r="AC111" s="378"/>
      <c r="AD111" s="378"/>
    </row>
    <row r="112" spans="1:30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s="378"/>
      <c r="AC112" s="378"/>
      <c r="AD112" s="378"/>
    </row>
    <row r="113" spans="1:30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 s="378"/>
      <c r="AC113" s="378"/>
      <c r="AD113" s="378"/>
    </row>
    <row r="114" spans="1:30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 s="378"/>
      <c r="AC114" s="378"/>
      <c r="AD114" s="378"/>
    </row>
    <row r="115" spans="1:30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 s="378"/>
      <c r="AC115" s="378"/>
      <c r="AD115" s="378"/>
    </row>
    <row r="116" spans="1:30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 s="378"/>
      <c r="AC116" s="378"/>
      <c r="AD116" s="378"/>
    </row>
    <row r="117" spans="1:30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 s="378"/>
      <c r="AC117" s="378"/>
      <c r="AD117" s="378"/>
    </row>
    <row r="118" spans="1:30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 s="378"/>
      <c r="AC118" s="378"/>
      <c r="AD118" s="378"/>
    </row>
    <row r="119" spans="1:30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 s="378"/>
      <c r="AC119" s="378"/>
      <c r="AD119" s="378"/>
    </row>
    <row r="120" spans="1:30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 s="378"/>
      <c r="AC120" s="378"/>
      <c r="AD120" s="378"/>
    </row>
    <row r="121" spans="1:30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 s="378"/>
      <c r="AC121" s="378"/>
      <c r="AD121" s="378"/>
    </row>
    <row r="122" spans="1:30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 s="378"/>
      <c r="AC122" s="378"/>
      <c r="AD122" s="378"/>
    </row>
    <row r="123" spans="1:30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 s="378"/>
      <c r="AC123" s="378"/>
      <c r="AD123" s="378"/>
    </row>
    <row r="124" spans="1:30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378"/>
      <c r="AC124" s="378"/>
      <c r="AD124" s="378"/>
    </row>
    <row r="125" spans="1:30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s="378"/>
      <c r="AC125" s="378"/>
      <c r="AD125" s="378"/>
    </row>
    <row r="126" spans="1:30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 s="378"/>
      <c r="AC126" s="378"/>
      <c r="AD126" s="378"/>
    </row>
    <row r="127" spans="1:30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 s="378"/>
      <c r="AC127" s="378"/>
      <c r="AD127" s="378"/>
    </row>
    <row r="128" spans="1:30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 s="378"/>
      <c r="AC128" s="378"/>
      <c r="AD128" s="378"/>
    </row>
    <row r="129" spans="1:30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 s="378"/>
      <c r="AC129" s="378"/>
      <c r="AD129" s="378"/>
    </row>
    <row r="130" spans="1:30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 s="378"/>
      <c r="AC130" s="378"/>
      <c r="AD130" s="378"/>
    </row>
    <row r="131" spans="1:30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 s="378"/>
      <c r="AC131" s="378"/>
      <c r="AD131" s="378"/>
    </row>
    <row r="132" spans="1:30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 s="378"/>
      <c r="AC132" s="378"/>
      <c r="AD132" s="378"/>
    </row>
    <row r="133" spans="1:30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 s="378"/>
      <c r="AC133" s="378"/>
      <c r="AD133" s="378"/>
    </row>
    <row r="134" spans="1:30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 s="378"/>
      <c r="AC134" s="378"/>
      <c r="AD134" s="378"/>
    </row>
    <row r="135" spans="1:30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 s="378"/>
      <c r="AC135" s="378"/>
      <c r="AD135" s="378"/>
    </row>
    <row r="136" spans="1:30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 s="378"/>
      <c r="AC136" s="378"/>
      <c r="AD136" s="378"/>
    </row>
    <row r="137" spans="1:30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 s="378"/>
      <c r="AC137" s="378"/>
      <c r="AD137" s="378"/>
    </row>
    <row r="138" spans="1:30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 s="378"/>
      <c r="AC138" s="378"/>
      <c r="AD138" s="378"/>
    </row>
    <row r="139" spans="1:30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 s="378"/>
      <c r="AC139" s="378"/>
      <c r="AD139" s="378"/>
    </row>
    <row r="140" spans="1:30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 s="378"/>
      <c r="AC140" s="378"/>
      <c r="AD140" s="378"/>
    </row>
    <row r="141" spans="1:30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 s="378"/>
      <c r="AC141" s="378"/>
      <c r="AD141" s="378"/>
    </row>
    <row r="142" spans="1:30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 s="378"/>
      <c r="AC142" s="378"/>
      <c r="AD142" s="378"/>
    </row>
    <row r="143" spans="1:30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 s="378"/>
      <c r="AC143" s="378"/>
      <c r="AD143" s="378"/>
    </row>
    <row r="144" spans="1:30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 s="378"/>
      <c r="AC144" s="378"/>
      <c r="AD144" s="378"/>
    </row>
    <row r="145" spans="1:30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 s="378"/>
      <c r="AC145" s="378"/>
      <c r="AD145" s="378"/>
    </row>
    <row r="146" spans="1:30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 s="378"/>
      <c r="AC146" s="378"/>
      <c r="AD146" s="378"/>
    </row>
    <row r="147" spans="1:30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 s="378"/>
      <c r="AC147" s="378"/>
      <c r="AD147" s="378"/>
    </row>
    <row r="148" spans="1:30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 s="378"/>
      <c r="AC148" s="378"/>
      <c r="AD148" s="378"/>
    </row>
    <row r="149" spans="1:30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 s="378"/>
      <c r="AC149" s="378"/>
      <c r="AD149" s="378"/>
    </row>
    <row r="150" spans="1:30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 s="378"/>
      <c r="AC150" s="378"/>
      <c r="AD150" s="378"/>
    </row>
    <row r="151" spans="1:30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 s="378"/>
      <c r="AC151" s="378"/>
      <c r="AD151" s="378"/>
    </row>
    <row r="152" spans="1:30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 s="378"/>
      <c r="AC152" s="378"/>
      <c r="AD152" s="378"/>
    </row>
    <row r="153" spans="1:30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 s="378"/>
      <c r="AC153" s="378"/>
      <c r="AD153" s="378"/>
    </row>
    <row r="154" spans="1:30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 s="378"/>
      <c r="AC154" s="378"/>
      <c r="AD154" s="378"/>
    </row>
    <row r="155" spans="1:30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 s="378"/>
      <c r="AC155" s="378"/>
      <c r="AD155" s="378"/>
    </row>
    <row r="156" spans="1:30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 s="378"/>
      <c r="AC156" s="378"/>
      <c r="AD156" s="378"/>
    </row>
    <row r="157" spans="1:30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 s="378"/>
      <c r="AC157" s="378"/>
      <c r="AD157" s="378"/>
    </row>
    <row r="158" spans="1:30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 s="378"/>
      <c r="AC158" s="378"/>
      <c r="AD158" s="378"/>
    </row>
    <row r="159" spans="1:30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 s="378"/>
      <c r="AC159" s="378"/>
      <c r="AD159" s="378"/>
    </row>
    <row r="160" spans="1:30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 s="378"/>
      <c r="AC160" s="378"/>
      <c r="AD160" s="378"/>
    </row>
    <row r="161" spans="1:30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 s="378"/>
      <c r="AC161" s="378"/>
      <c r="AD161" s="378"/>
    </row>
    <row r="162" spans="1:30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 s="378"/>
      <c r="AC162" s="378"/>
      <c r="AD162" s="378"/>
    </row>
    <row r="163" spans="1:30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 s="378"/>
      <c r="AC163" s="378"/>
      <c r="AD163" s="378"/>
    </row>
    <row r="164" spans="1:30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 s="378"/>
      <c r="AC164" s="378"/>
      <c r="AD164" s="378"/>
    </row>
    <row r="165" spans="1:30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 s="378"/>
      <c r="AC165" s="378"/>
      <c r="AD165" s="378"/>
    </row>
    <row r="166" spans="1:30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 s="378"/>
      <c r="AC166" s="378"/>
      <c r="AD166" s="378"/>
    </row>
    <row r="167" spans="1:30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 s="378"/>
      <c r="AC167" s="378"/>
      <c r="AD167" s="378"/>
    </row>
    <row r="168" spans="1:30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 s="378"/>
      <c r="AC168" s="378"/>
      <c r="AD168" s="378"/>
    </row>
    <row r="169" spans="1:30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 s="378"/>
      <c r="AC169" s="378"/>
      <c r="AD169" s="378"/>
    </row>
    <row r="170" spans="1:30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 s="378"/>
      <c r="AC170" s="378"/>
      <c r="AD170" s="378"/>
    </row>
    <row r="171" spans="1:30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 s="378"/>
      <c r="AC171" s="378"/>
      <c r="AD171" s="378"/>
    </row>
    <row r="172" spans="1:30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 s="378"/>
      <c r="AC172" s="378"/>
      <c r="AD172" s="378"/>
    </row>
    <row r="173" spans="1:30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 s="378"/>
      <c r="AC173" s="378"/>
      <c r="AD173" s="378"/>
    </row>
    <row r="174" spans="1:30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 s="378"/>
      <c r="AC174" s="378"/>
      <c r="AD174" s="378"/>
    </row>
    <row r="175" spans="1:30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 s="378"/>
      <c r="AC175" s="378"/>
      <c r="AD175" s="378"/>
    </row>
    <row r="176" spans="1:30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 s="378"/>
      <c r="AC176" s="378"/>
      <c r="AD176" s="378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D5"/>
  <sortState ref="A6:Y96">
    <sortCondition ref="D6:D96"/>
    <sortCondition ref="B6:B96"/>
    <sortCondition ref="C6:C96"/>
  </sortState>
  <pageMargins left="0.7" right="0.7" top="0.75" bottom="0.75" header="0.3" footer="0.3"/>
  <pageSetup scale="34"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Settings</vt:lpstr>
      <vt:lpstr>Source Data</vt:lpstr>
      <vt:lpstr>Brand</vt:lpstr>
      <vt:lpstr>Channel</vt:lpstr>
      <vt:lpstr>ColumnLookup</vt:lpstr>
      <vt:lpstr>CompareVer</vt:lpstr>
      <vt:lpstr>Country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ForecastTotal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2018-09-13T06:03:53Z</dcterms:modified>
</cp:coreProperties>
</file>